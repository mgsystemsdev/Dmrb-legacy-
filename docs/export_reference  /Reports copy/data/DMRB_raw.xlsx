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MRB\DMRB report\raw\"/>
    </mc:Choice>
  </mc:AlternateContent>
  <xr:revisionPtr revIDLastSave="0" documentId="13_ncr:1_{14E65756-A1C0-4607-9309-C60D8C93B390}" xr6:coauthVersionLast="47" xr6:coauthVersionMax="47" xr10:uidLastSave="{00000000-0000-0000-0000-000000000000}"/>
  <bookViews>
    <workbookView xWindow="-28910" yWindow="-80" windowWidth="29020" windowHeight="15700" xr2:uid="{DBB02E41-1DE9-BE44-AF2B-460DEE85450E}"/>
  </bookViews>
  <sheets>
    <sheet name="DMRB " sheetId="2" r:id="rId1"/>
    <sheet name="Engine" sheetId="15" r:id="rId2"/>
    <sheet name="Dashboard " sheetId="13" r:id="rId3"/>
    <sheet name="Data_Validation" sheetId="3" r:id="rId4"/>
  </sheets>
  <externalReferences>
    <externalReference r:id="rId5"/>
  </externalReferences>
  <definedNames>
    <definedName name="Alert">Data_Validation!$K$13:$K$24</definedName>
    <definedName name="Assign">Data_Validation!$S$4:$S$9</definedName>
    <definedName name="Assing">[1]Data_Validation!$T$9:$T$13</definedName>
    <definedName name="Core_Facts">Engine!$A$1</definedName>
    <definedName name="ENGINE_OUTPUT">_xlfn.ANCHORARRAY(Engine!$H$1)</definedName>
    <definedName name="Intelligence_Layer">Engine!$B$1</definedName>
    <definedName name="PH">Data_Validation!$W$4:$W$7</definedName>
    <definedName name="QC">Data_Validation!$Y$4:$Y$5</definedName>
    <definedName name="Status">Data_Validation!$K$4:$K$6</definedName>
    <definedName name="Status_apt">Data_Validation!$U$4:$U$8</definedName>
    <definedName name="Task_status">[1]Data_Validation!$I$9:$I$13</definedName>
    <definedName name="TS">Data_Validation!$H$4:$H$8</definedName>
    <definedName name="W_D">Data_Validation!$Q$4:$Q$6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ecs="http://schemas.microsoft.com/office/spreadsheetml/2023/externalCodeService" uri="{FA53438D-04C0-449E-B49E-183307DE486D}">
      <xlecs:externalCodeService autoShow="0"/>
    </ext>
  </extLst>
</workbook>
</file>

<file path=xl/calcChain.xml><?xml version="1.0" encoding="utf-8"?>
<calcChain xmlns="http://schemas.openxmlformats.org/spreadsheetml/2006/main">
  <c r="E82" i="2" l="1"/>
  <c r="G82" i="2"/>
  <c r="H82" i="2"/>
  <c r="I82" i="2"/>
  <c r="K82" i="2"/>
  <c r="M82" i="2"/>
  <c r="O82" i="2"/>
  <c r="Q82" i="2"/>
  <c r="V82" i="2"/>
  <c r="W82" i="2"/>
  <c r="X82" i="2"/>
  <c r="E84" i="2"/>
  <c r="G84" i="2"/>
  <c r="H84" i="2"/>
  <c r="I84" i="2"/>
  <c r="K84" i="2"/>
  <c r="M84" i="2"/>
  <c r="O84" i="2"/>
  <c r="Q84" i="2"/>
  <c r="V84" i="2"/>
  <c r="W84" i="2"/>
  <c r="X84" i="2"/>
  <c r="Q2" i="2"/>
  <c r="Q3" i="2"/>
  <c r="Q4" i="2"/>
  <c r="Q5" i="2"/>
  <c r="Q6" i="2"/>
  <c r="Q7" i="2"/>
  <c r="Q8" i="2"/>
  <c r="Q9" i="2"/>
  <c r="Q10" i="2"/>
  <c r="Q11" i="2"/>
  <c r="Q12" i="2"/>
  <c r="Q128" i="2"/>
  <c r="Q129" i="2"/>
  <c r="Q15" i="2"/>
  <c r="Q16" i="2"/>
  <c r="Q127" i="2"/>
  <c r="Q18" i="2"/>
  <c r="Q126" i="2"/>
  <c r="Q125" i="2"/>
  <c r="Q124" i="2"/>
  <c r="Q123" i="2"/>
  <c r="Q120" i="2"/>
  <c r="Q121" i="2"/>
  <c r="Q122" i="2"/>
  <c r="Q119" i="2"/>
  <c r="Q117" i="2"/>
  <c r="Q118" i="2"/>
  <c r="Q114" i="2"/>
  <c r="Q115" i="2"/>
  <c r="Q116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7" i="2"/>
  <c r="Q46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1" i="2"/>
  <c r="Q70" i="2"/>
  <c r="Q72" i="2"/>
  <c r="Q73" i="2"/>
  <c r="Q74" i="2"/>
  <c r="Q75" i="2"/>
  <c r="Q76" i="2"/>
  <c r="Q77" i="2"/>
  <c r="Q78" i="2"/>
  <c r="Q79" i="2"/>
  <c r="Q81" i="2"/>
  <c r="Q80" i="2"/>
  <c r="Q86" i="2"/>
  <c r="Q85" i="2"/>
  <c r="Q83" i="2"/>
  <c r="Q113" i="2"/>
  <c r="Q112" i="2"/>
  <c r="Q111" i="2"/>
  <c r="Q110" i="2"/>
  <c r="Q109" i="2"/>
  <c r="Q27" i="2"/>
  <c r="Q108" i="2"/>
  <c r="Q25" i="2"/>
  <c r="Q107" i="2"/>
  <c r="Q106" i="2"/>
  <c r="Q105" i="2"/>
  <c r="Q104" i="2"/>
  <c r="Q102" i="2"/>
  <c r="Q103" i="2"/>
  <c r="Q101" i="2"/>
  <c r="Q100" i="2"/>
  <c r="Q99" i="2"/>
  <c r="Q98" i="2"/>
  <c r="Q96" i="2"/>
  <c r="Q97" i="2"/>
  <c r="Q95" i="2"/>
  <c r="Q94" i="2"/>
  <c r="Q93" i="2"/>
  <c r="Q91" i="2"/>
  <c r="Q92" i="2"/>
  <c r="Q90" i="2"/>
  <c r="Q89" i="2"/>
  <c r="Q88" i="2"/>
  <c r="Q19" i="2"/>
  <c r="Q20" i="2"/>
  <c r="Q87" i="2"/>
  <c r="Q13" i="2"/>
  <c r="Q14" i="2"/>
  <c r="Q17" i="2"/>
  <c r="Q21" i="2"/>
  <c r="Q23" i="2"/>
  <c r="Q22" i="2"/>
  <c r="Q24" i="2"/>
  <c r="Q26" i="2"/>
  <c r="Q28" i="2"/>
  <c r="Q29" i="2"/>
  <c r="Q30" i="2"/>
  <c r="Q31" i="2"/>
  <c r="O14" i="2"/>
  <c r="E79" i="2"/>
  <c r="E83" i="2"/>
  <c r="E88" i="2"/>
  <c r="E91" i="2"/>
  <c r="E92" i="2"/>
  <c r="E93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21" i="2"/>
  <c r="E23" i="2"/>
  <c r="E22" i="2"/>
  <c r="E24" i="2"/>
  <c r="E26" i="2"/>
  <c r="E28" i="2"/>
  <c r="E29" i="2"/>
  <c r="E30" i="2"/>
  <c r="E31" i="2"/>
  <c r="G79" i="2"/>
  <c r="G83" i="2"/>
  <c r="G88" i="2"/>
  <c r="G91" i="2"/>
  <c r="G92" i="2"/>
  <c r="G93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21" i="2"/>
  <c r="G23" i="2"/>
  <c r="G22" i="2"/>
  <c r="G24" i="2"/>
  <c r="G26" i="2"/>
  <c r="G28" i="2"/>
  <c r="G29" i="2"/>
  <c r="G30" i="2"/>
  <c r="G31" i="2"/>
  <c r="H79" i="2"/>
  <c r="H83" i="2"/>
  <c r="H88" i="2"/>
  <c r="H91" i="2"/>
  <c r="H92" i="2"/>
  <c r="H93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21" i="2"/>
  <c r="H23" i="2"/>
  <c r="H22" i="2"/>
  <c r="H24" i="2"/>
  <c r="H26" i="2"/>
  <c r="H28" i="2"/>
  <c r="H29" i="2"/>
  <c r="H30" i="2"/>
  <c r="H31" i="2"/>
  <c r="I79" i="2"/>
  <c r="I83" i="2"/>
  <c r="I88" i="2"/>
  <c r="I91" i="2"/>
  <c r="I92" i="2"/>
  <c r="I93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21" i="2"/>
  <c r="I23" i="2"/>
  <c r="I22" i="2"/>
  <c r="I24" i="2"/>
  <c r="I26" i="2"/>
  <c r="I28" i="2"/>
  <c r="I29" i="2"/>
  <c r="I30" i="2"/>
  <c r="I31" i="2"/>
  <c r="K79" i="2"/>
  <c r="K83" i="2"/>
  <c r="K88" i="2"/>
  <c r="K91" i="2"/>
  <c r="K92" i="2"/>
  <c r="K93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21" i="2"/>
  <c r="K23" i="2"/>
  <c r="K22" i="2"/>
  <c r="K24" i="2"/>
  <c r="K26" i="2"/>
  <c r="K28" i="2"/>
  <c r="K29" i="2"/>
  <c r="K30" i="2"/>
  <c r="K31" i="2"/>
  <c r="M79" i="2"/>
  <c r="M83" i="2"/>
  <c r="M88" i="2"/>
  <c r="M91" i="2"/>
  <c r="M92" i="2"/>
  <c r="M93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21" i="2"/>
  <c r="M23" i="2"/>
  <c r="M22" i="2"/>
  <c r="M24" i="2"/>
  <c r="M26" i="2"/>
  <c r="M28" i="2"/>
  <c r="M29" i="2"/>
  <c r="M30" i="2"/>
  <c r="M31" i="2"/>
  <c r="O79" i="2"/>
  <c r="O83" i="2"/>
  <c r="O88" i="2"/>
  <c r="O91" i="2"/>
  <c r="O92" i="2"/>
  <c r="O93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21" i="2"/>
  <c r="O23" i="2"/>
  <c r="O22" i="2"/>
  <c r="O24" i="2"/>
  <c r="O26" i="2"/>
  <c r="O28" i="2"/>
  <c r="O29" i="2"/>
  <c r="O30" i="2"/>
  <c r="O31" i="2"/>
  <c r="V79" i="2"/>
  <c r="V83" i="2"/>
  <c r="V88" i="2"/>
  <c r="V91" i="2"/>
  <c r="V92" i="2"/>
  <c r="V93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21" i="2"/>
  <c r="V23" i="2"/>
  <c r="V22" i="2"/>
  <c r="V24" i="2"/>
  <c r="V26" i="2"/>
  <c r="V28" i="2"/>
  <c r="V29" i="2"/>
  <c r="V30" i="2"/>
  <c r="V31" i="2"/>
  <c r="W79" i="2"/>
  <c r="W83" i="2"/>
  <c r="W88" i="2"/>
  <c r="W91" i="2"/>
  <c r="W92" i="2"/>
  <c r="W93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21" i="2"/>
  <c r="W23" i="2"/>
  <c r="W22" i="2"/>
  <c r="W24" i="2"/>
  <c r="W26" i="2"/>
  <c r="W28" i="2"/>
  <c r="W29" i="2"/>
  <c r="W30" i="2"/>
  <c r="W31" i="2"/>
  <c r="X79" i="2"/>
  <c r="X83" i="2"/>
  <c r="X88" i="2"/>
  <c r="X91" i="2"/>
  <c r="X92" i="2"/>
  <c r="X93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21" i="2"/>
  <c r="X23" i="2"/>
  <c r="X22" i="2"/>
  <c r="X24" i="2"/>
  <c r="X26" i="2"/>
  <c r="X28" i="2"/>
  <c r="X29" i="2"/>
  <c r="X30" i="2"/>
  <c r="X31" i="2"/>
  <c r="E74" i="2"/>
  <c r="G74" i="2"/>
  <c r="H74" i="2"/>
  <c r="I74" i="2"/>
  <c r="K74" i="2"/>
  <c r="M74" i="2"/>
  <c r="O74" i="2"/>
  <c r="V74" i="2"/>
  <c r="W74" i="2"/>
  <c r="X74" i="2"/>
  <c r="E80" i="2"/>
  <c r="G80" i="2"/>
  <c r="H80" i="2"/>
  <c r="I80" i="2"/>
  <c r="K80" i="2"/>
  <c r="M80" i="2"/>
  <c r="O80" i="2"/>
  <c r="V80" i="2"/>
  <c r="W80" i="2"/>
  <c r="X80" i="2"/>
  <c r="E15" i="2"/>
  <c r="G15" i="2"/>
  <c r="H15" i="2"/>
  <c r="I15" i="2"/>
  <c r="K15" i="2"/>
  <c r="M15" i="2"/>
  <c r="O15" i="2"/>
  <c r="V15" i="2"/>
  <c r="W15" i="2"/>
  <c r="X15" i="2"/>
  <c r="E67" i="2"/>
  <c r="G67" i="2"/>
  <c r="H67" i="2"/>
  <c r="I67" i="2"/>
  <c r="K67" i="2"/>
  <c r="M67" i="2"/>
  <c r="O67" i="2"/>
  <c r="V67" i="2"/>
  <c r="W67" i="2"/>
  <c r="X67" i="2"/>
  <c r="E81" i="2"/>
  <c r="G81" i="2"/>
  <c r="H81" i="2"/>
  <c r="I81" i="2"/>
  <c r="K81" i="2"/>
  <c r="M81" i="2"/>
  <c r="O81" i="2"/>
  <c r="V81" i="2"/>
  <c r="W81" i="2"/>
  <c r="X81" i="2"/>
  <c r="E58" i="2"/>
  <c r="G58" i="2"/>
  <c r="H58" i="2"/>
  <c r="I58" i="2"/>
  <c r="K58" i="2"/>
  <c r="M58" i="2"/>
  <c r="O58" i="2"/>
  <c r="V58" i="2"/>
  <c r="W58" i="2"/>
  <c r="X58" i="2"/>
  <c r="E5" i="2"/>
  <c r="G5" i="2"/>
  <c r="H5" i="2"/>
  <c r="I5" i="2"/>
  <c r="K5" i="2"/>
  <c r="M5" i="2"/>
  <c r="O5" i="2"/>
  <c r="V5" i="2"/>
  <c r="W5" i="2"/>
  <c r="X5" i="2"/>
  <c r="E2" i="2"/>
  <c r="G2" i="2"/>
  <c r="H2" i="2"/>
  <c r="I2" i="2"/>
  <c r="K2" i="2"/>
  <c r="M2" i="2"/>
  <c r="O2" i="2"/>
  <c r="V2" i="2"/>
  <c r="W2" i="2"/>
  <c r="X2" i="2"/>
  <c r="E27" i="2"/>
  <c r="G27" i="2"/>
  <c r="H27" i="2"/>
  <c r="I27" i="2"/>
  <c r="K27" i="2"/>
  <c r="M27" i="2"/>
  <c r="O27" i="2"/>
  <c r="V27" i="2"/>
  <c r="W27" i="2"/>
  <c r="X27" i="2"/>
  <c r="E25" i="2"/>
  <c r="G25" i="2"/>
  <c r="H25" i="2"/>
  <c r="I25" i="2"/>
  <c r="K25" i="2"/>
  <c r="M25" i="2"/>
  <c r="O25" i="2"/>
  <c r="V25" i="2"/>
  <c r="W25" i="2"/>
  <c r="X25" i="2"/>
  <c r="E9" i="2"/>
  <c r="G9" i="2"/>
  <c r="H9" i="2"/>
  <c r="I9" i="2"/>
  <c r="K9" i="2"/>
  <c r="M9" i="2"/>
  <c r="O9" i="2"/>
  <c r="V9" i="2"/>
  <c r="W9" i="2"/>
  <c r="X9" i="2"/>
  <c r="E11" i="2"/>
  <c r="G11" i="2"/>
  <c r="H11" i="2"/>
  <c r="I11" i="2"/>
  <c r="K11" i="2"/>
  <c r="M11" i="2"/>
  <c r="O11" i="2"/>
  <c r="V11" i="2"/>
  <c r="W11" i="2"/>
  <c r="X11" i="2"/>
  <c r="E33" i="2"/>
  <c r="E34" i="2"/>
  <c r="E35" i="2"/>
  <c r="E36" i="2"/>
  <c r="E37" i="2"/>
  <c r="E38" i="2"/>
  <c r="E39" i="2"/>
  <c r="E40" i="2"/>
  <c r="E8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9" i="2"/>
  <c r="E60" i="2"/>
  <c r="E61" i="2"/>
  <c r="E62" i="2"/>
  <c r="E63" i="2"/>
  <c r="E64" i="2"/>
  <c r="E65" i="2"/>
  <c r="E3" i="2"/>
  <c r="E18" i="2"/>
  <c r="E66" i="2"/>
  <c r="E68" i="2"/>
  <c r="E69" i="2"/>
  <c r="E70" i="2"/>
  <c r="E71" i="2"/>
  <c r="E72" i="2"/>
  <c r="E73" i="2"/>
  <c r="E4" i="2"/>
  <c r="E6" i="2"/>
  <c r="E7" i="2"/>
  <c r="E75" i="2"/>
  <c r="E76" i="2"/>
  <c r="E16" i="2"/>
  <c r="E77" i="2"/>
  <c r="E78" i="2"/>
  <c r="E10" i="2"/>
  <c r="E12" i="2"/>
  <c r="E14" i="2"/>
  <c r="E17" i="2"/>
  <c r="E86" i="2"/>
  <c r="E13" i="2"/>
  <c r="E85" i="2"/>
  <c r="E87" i="2"/>
  <c r="E20" i="2"/>
  <c r="E19" i="2"/>
  <c r="E89" i="2"/>
  <c r="E90" i="2"/>
  <c r="E94" i="2"/>
  <c r="E95" i="2"/>
  <c r="G33" i="2"/>
  <c r="G34" i="2"/>
  <c r="G35" i="2"/>
  <c r="G36" i="2"/>
  <c r="G37" i="2"/>
  <c r="G38" i="2"/>
  <c r="G39" i="2"/>
  <c r="G40" i="2"/>
  <c r="G8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9" i="2"/>
  <c r="G60" i="2"/>
  <c r="G61" i="2"/>
  <c r="G62" i="2"/>
  <c r="G63" i="2"/>
  <c r="G64" i="2"/>
  <c r="G65" i="2"/>
  <c r="G3" i="2"/>
  <c r="G18" i="2"/>
  <c r="G66" i="2"/>
  <c r="G68" i="2"/>
  <c r="G69" i="2"/>
  <c r="G70" i="2"/>
  <c r="G71" i="2"/>
  <c r="G72" i="2"/>
  <c r="G73" i="2"/>
  <c r="G4" i="2"/>
  <c r="G6" i="2"/>
  <c r="G7" i="2"/>
  <c r="G75" i="2"/>
  <c r="G76" i="2"/>
  <c r="G16" i="2"/>
  <c r="G77" i="2"/>
  <c r="G78" i="2"/>
  <c r="G10" i="2"/>
  <c r="G12" i="2"/>
  <c r="G14" i="2"/>
  <c r="G17" i="2"/>
  <c r="G86" i="2"/>
  <c r="G13" i="2"/>
  <c r="G85" i="2"/>
  <c r="G87" i="2"/>
  <c r="G20" i="2"/>
  <c r="G19" i="2"/>
  <c r="G89" i="2"/>
  <c r="G90" i="2"/>
  <c r="G94" i="2"/>
  <c r="G95" i="2"/>
  <c r="H33" i="2"/>
  <c r="H34" i="2"/>
  <c r="H35" i="2"/>
  <c r="H36" i="2"/>
  <c r="H37" i="2"/>
  <c r="H38" i="2"/>
  <c r="H39" i="2"/>
  <c r="H40" i="2"/>
  <c r="H8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9" i="2"/>
  <c r="H60" i="2"/>
  <c r="H61" i="2"/>
  <c r="H62" i="2"/>
  <c r="H63" i="2"/>
  <c r="H64" i="2"/>
  <c r="H65" i="2"/>
  <c r="H3" i="2"/>
  <c r="H18" i="2"/>
  <c r="H66" i="2"/>
  <c r="H68" i="2"/>
  <c r="H69" i="2"/>
  <c r="H70" i="2"/>
  <c r="H71" i="2"/>
  <c r="H72" i="2"/>
  <c r="H73" i="2"/>
  <c r="H4" i="2"/>
  <c r="H6" i="2"/>
  <c r="H7" i="2"/>
  <c r="H75" i="2"/>
  <c r="H76" i="2"/>
  <c r="H16" i="2"/>
  <c r="H77" i="2"/>
  <c r="H78" i="2"/>
  <c r="H10" i="2"/>
  <c r="H12" i="2"/>
  <c r="H14" i="2"/>
  <c r="H17" i="2"/>
  <c r="H86" i="2"/>
  <c r="H13" i="2"/>
  <c r="H85" i="2"/>
  <c r="H87" i="2"/>
  <c r="H20" i="2"/>
  <c r="H19" i="2"/>
  <c r="H89" i="2"/>
  <c r="H90" i="2"/>
  <c r="H94" i="2"/>
  <c r="H95" i="2"/>
  <c r="I33" i="2"/>
  <c r="I34" i="2"/>
  <c r="I35" i="2"/>
  <c r="I36" i="2"/>
  <c r="I37" i="2"/>
  <c r="I38" i="2"/>
  <c r="I39" i="2"/>
  <c r="I40" i="2"/>
  <c r="I8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9" i="2"/>
  <c r="I60" i="2"/>
  <c r="I61" i="2"/>
  <c r="I62" i="2"/>
  <c r="I63" i="2"/>
  <c r="I64" i="2"/>
  <c r="I65" i="2"/>
  <c r="I3" i="2"/>
  <c r="I18" i="2"/>
  <c r="I66" i="2"/>
  <c r="I68" i="2"/>
  <c r="I69" i="2"/>
  <c r="I70" i="2"/>
  <c r="I71" i="2"/>
  <c r="I72" i="2"/>
  <c r="I73" i="2"/>
  <c r="I4" i="2"/>
  <c r="I6" i="2"/>
  <c r="I7" i="2"/>
  <c r="I75" i="2"/>
  <c r="I76" i="2"/>
  <c r="I16" i="2"/>
  <c r="I77" i="2"/>
  <c r="I78" i="2"/>
  <c r="I10" i="2"/>
  <c r="I12" i="2"/>
  <c r="I14" i="2"/>
  <c r="I17" i="2"/>
  <c r="I86" i="2"/>
  <c r="I13" i="2"/>
  <c r="I85" i="2"/>
  <c r="I87" i="2"/>
  <c r="I20" i="2"/>
  <c r="I19" i="2"/>
  <c r="I89" i="2"/>
  <c r="I90" i="2"/>
  <c r="I94" i="2"/>
  <c r="I95" i="2"/>
  <c r="K33" i="2"/>
  <c r="K34" i="2"/>
  <c r="K35" i="2"/>
  <c r="K36" i="2"/>
  <c r="K37" i="2"/>
  <c r="K38" i="2"/>
  <c r="K39" i="2"/>
  <c r="K40" i="2"/>
  <c r="K8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9" i="2"/>
  <c r="K60" i="2"/>
  <c r="K61" i="2"/>
  <c r="K62" i="2"/>
  <c r="K63" i="2"/>
  <c r="K64" i="2"/>
  <c r="K65" i="2"/>
  <c r="K3" i="2"/>
  <c r="K18" i="2"/>
  <c r="K66" i="2"/>
  <c r="K68" i="2"/>
  <c r="K69" i="2"/>
  <c r="K70" i="2"/>
  <c r="K71" i="2"/>
  <c r="K72" i="2"/>
  <c r="K73" i="2"/>
  <c r="K4" i="2"/>
  <c r="K6" i="2"/>
  <c r="K7" i="2"/>
  <c r="K75" i="2"/>
  <c r="K76" i="2"/>
  <c r="K16" i="2"/>
  <c r="K77" i="2"/>
  <c r="K78" i="2"/>
  <c r="K10" i="2"/>
  <c r="K12" i="2"/>
  <c r="K14" i="2"/>
  <c r="K17" i="2"/>
  <c r="K86" i="2"/>
  <c r="K13" i="2"/>
  <c r="K85" i="2"/>
  <c r="K87" i="2"/>
  <c r="K20" i="2"/>
  <c r="K19" i="2"/>
  <c r="K89" i="2"/>
  <c r="K90" i="2"/>
  <c r="K94" i="2"/>
  <c r="K95" i="2"/>
  <c r="M33" i="2"/>
  <c r="M34" i="2"/>
  <c r="M35" i="2"/>
  <c r="M36" i="2"/>
  <c r="M37" i="2"/>
  <c r="M38" i="2"/>
  <c r="M39" i="2"/>
  <c r="M40" i="2"/>
  <c r="M8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9" i="2"/>
  <c r="M60" i="2"/>
  <c r="M61" i="2"/>
  <c r="M62" i="2"/>
  <c r="M63" i="2"/>
  <c r="M64" i="2"/>
  <c r="M65" i="2"/>
  <c r="M3" i="2"/>
  <c r="M18" i="2"/>
  <c r="M66" i="2"/>
  <c r="M68" i="2"/>
  <c r="M69" i="2"/>
  <c r="M70" i="2"/>
  <c r="M71" i="2"/>
  <c r="M72" i="2"/>
  <c r="M73" i="2"/>
  <c r="M4" i="2"/>
  <c r="M6" i="2"/>
  <c r="M7" i="2"/>
  <c r="M75" i="2"/>
  <c r="M76" i="2"/>
  <c r="M16" i="2"/>
  <c r="M77" i="2"/>
  <c r="M78" i="2"/>
  <c r="M10" i="2"/>
  <c r="M12" i="2"/>
  <c r="M14" i="2"/>
  <c r="M17" i="2"/>
  <c r="M86" i="2"/>
  <c r="M13" i="2"/>
  <c r="M85" i="2"/>
  <c r="M87" i="2"/>
  <c r="M20" i="2"/>
  <c r="M19" i="2"/>
  <c r="M89" i="2"/>
  <c r="M90" i="2"/>
  <c r="M94" i="2"/>
  <c r="M95" i="2"/>
  <c r="O33" i="2"/>
  <c r="O34" i="2"/>
  <c r="O35" i="2"/>
  <c r="O36" i="2"/>
  <c r="O37" i="2"/>
  <c r="O38" i="2"/>
  <c r="O39" i="2"/>
  <c r="O40" i="2"/>
  <c r="O8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9" i="2"/>
  <c r="O60" i="2"/>
  <c r="O61" i="2"/>
  <c r="O62" i="2"/>
  <c r="O63" i="2"/>
  <c r="O64" i="2"/>
  <c r="O65" i="2"/>
  <c r="O3" i="2"/>
  <c r="O18" i="2"/>
  <c r="O66" i="2"/>
  <c r="O68" i="2"/>
  <c r="O69" i="2"/>
  <c r="O70" i="2"/>
  <c r="O71" i="2"/>
  <c r="O72" i="2"/>
  <c r="O73" i="2"/>
  <c r="O4" i="2"/>
  <c r="O6" i="2"/>
  <c r="O7" i="2"/>
  <c r="O75" i="2"/>
  <c r="O76" i="2"/>
  <c r="O16" i="2"/>
  <c r="O77" i="2"/>
  <c r="O78" i="2"/>
  <c r="O10" i="2"/>
  <c r="O12" i="2"/>
  <c r="O17" i="2"/>
  <c r="O86" i="2"/>
  <c r="O13" i="2"/>
  <c r="O85" i="2"/>
  <c r="O87" i="2"/>
  <c r="O20" i="2"/>
  <c r="O19" i="2"/>
  <c r="O89" i="2"/>
  <c r="O90" i="2"/>
  <c r="O94" i="2"/>
  <c r="O95" i="2"/>
  <c r="V33" i="2"/>
  <c r="V34" i="2"/>
  <c r="V35" i="2"/>
  <c r="V36" i="2"/>
  <c r="V37" i="2"/>
  <c r="V38" i="2"/>
  <c r="V39" i="2"/>
  <c r="V40" i="2"/>
  <c r="V8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9" i="2"/>
  <c r="V60" i="2"/>
  <c r="V61" i="2"/>
  <c r="V62" i="2"/>
  <c r="V63" i="2"/>
  <c r="V64" i="2"/>
  <c r="V65" i="2"/>
  <c r="V3" i="2"/>
  <c r="V18" i="2"/>
  <c r="V66" i="2"/>
  <c r="V68" i="2"/>
  <c r="V69" i="2"/>
  <c r="V70" i="2"/>
  <c r="V71" i="2"/>
  <c r="V72" i="2"/>
  <c r="V73" i="2"/>
  <c r="V4" i="2"/>
  <c r="V6" i="2"/>
  <c r="V7" i="2"/>
  <c r="V75" i="2"/>
  <c r="V76" i="2"/>
  <c r="V16" i="2"/>
  <c r="V77" i="2"/>
  <c r="V78" i="2"/>
  <c r="V10" i="2"/>
  <c r="V12" i="2"/>
  <c r="V14" i="2"/>
  <c r="V17" i="2"/>
  <c r="V86" i="2"/>
  <c r="V13" i="2"/>
  <c r="V85" i="2"/>
  <c r="V87" i="2"/>
  <c r="V20" i="2"/>
  <c r="V19" i="2"/>
  <c r="V89" i="2"/>
  <c r="V90" i="2"/>
  <c r="V94" i="2"/>
  <c r="V95" i="2"/>
  <c r="W33" i="2"/>
  <c r="W34" i="2"/>
  <c r="W35" i="2"/>
  <c r="W36" i="2"/>
  <c r="W37" i="2"/>
  <c r="W38" i="2"/>
  <c r="W39" i="2"/>
  <c r="W40" i="2"/>
  <c r="W8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9" i="2"/>
  <c r="W60" i="2"/>
  <c r="W61" i="2"/>
  <c r="W62" i="2"/>
  <c r="W63" i="2"/>
  <c r="W64" i="2"/>
  <c r="W65" i="2"/>
  <c r="W3" i="2"/>
  <c r="W18" i="2"/>
  <c r="W66" i="2"/>
  <c r="W68" i="2"/>
  <c r="W69" i="2"/>
  <c r="W70" i="2"/>
  <c r="W71" i="2"/>
  <c r="W72" i="2"/>
  <c r="W73" i="2"/>
  <c r="W4" i="2"/>
  <c r="W6" i="2"/>
  <c r="W7" i="2"/>
  <c r="W75" i="2"/>
  <c r="W76" i="2"/>
  <c r="W16" i="2"/>
  <c r="W77" i="2"/>
  <c r="W78" i="2"/>
  <c r="W10" i="2"/>
  <c r="W12" i="2"/>
  <c r="W14" i="2"/>
  <c r="W17" i="2"/>
  <c r="W86" i="2"/>
  <c r="W13" i="2"/>
  <c r="W85" i="2"/>
  <c r="W87" i="2"/>
  <c r="W20" i="2"/>
  <c r="W19" i="2"/>
  <c r="W89" i="2"/>
  <c r="W90" i="2"/>
  <c r="W94" i="2"/>
  <c r="W95" i="2"/>
  <c r="X33" i="2"/>
  <c r="X34" i="2"/>
  <c r="X35" i="2"/>
  <c r="X36" i="2"/>
  <c r="X37" i="2"/>
  <c r="X38" i="2"/>
  <c r="X39" i="2"/>
  <c r="X40" i="2"/>
  <c r="X8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9" i="2"/>
  <c r="X60" i="2"/>
  <c r="X61" i="2"/>
  <c r="X62" i="2"/>
  <c r="X63" i="2"/>
  <c r="X64" i="2"/>
  <c r="X65" i="2"/>
  <c r="X3" i="2"/>
  <c r="X18" i="2"/>
  <c r="X66" i="2"/>
  <c r="X68" i="2"/>
  <c r="X69" i="2"/>
  <c r="X70" i="2"/>
  <c r="X71" i="2"/>
  <c r="X72" i="2"/>
  <c r="X73" i="2"/>
  <c r="X4" i="2"/>
  <c r="X6" i="2"/>
  <c r="X7" i="2"/>
  <c r="X75" i="2"/>
  <c r="X76" i="2"/>
  <c r="X16" i="2"/>
  <c r="X77" i="2"/>
  <c r="X78" i="2"/>
  <c r="X10" i="2"/>
  <c r="X12" i="2"/>
  <c r="X14" i="2"/>
  <c r="X17" i="2"/>
  <c r="X86" i="2"/>
  <c r="X13" i="2"/>
  <c r="X85" i="2"/>
  <c r="X87" i="2"/>
  <c r="X20" i="2"/>
  <c r="X19" i="2"/>
  <c r="X89" i="2"/>
  <c r="X90" i="2"/>
  <c r="X94" i="2"/>
  <c r="X95" i="2"/>
  <c r="B4" i="3" l="1"/>
  <c r="E4" i="3"/>
  <c r="B5" i="3"/>
  <c r="E5" i="3"/>
  <c r="B6" i="3"/>
  <c r="E6" i="3"/>
  <c r="B7" i="3"/>
  <c r="E7" i="3"/>
  <c r="B8" i="3"/>
  <c r="E8" i="3"/>
  <c r="B9" i="3"/>
  <c r="E9" i="3"/>
  <c r="B10" i="3"/>
  <c r="E10" i="3"/>
  <c r="B11" i="3"/>
  <c r="E11" i="3"/>
  <c r="B12" i="3"/>
  <c r="E12" i="3"/>
  <c r="B13" i="3"/>
  <c r="E13" i="3"/>
  <c r="B14" i="3"/>
  <c r="E14" i="3"/>
  <c r="B15" i="3"/>
  <c r="E15" i="3"/>
  <c r="B16" i="3"/>
  <c r="E16" i="3"/>
  <c r="B17" i="3"/>
  <c r="E17" i="3"/>
  <c r="B18" i="3"/>
  <c r="E18" i="3"/>
  <c r="B19" i="3"/>
  <c r="E19" i="3"/>
  <c r="B20" i="3"/>
  <c r="E20" i="3"/>
  <c r="B21" i="3"/>
  <c r="E21" i="3"/>
  <c r="B22" i="3"/>
  <c r="E22" i="3"/>
  <c r="B23" i="3"/>
  <c r="E23" i="3"/>
  <c r="B24" i="3"/>
  <c r="E24" i="3"/>
  <c r="B25" i="3"/>
  <c r="E25" i="3"/>
  <c r="B26" i="3"/>
  <c r="E26" i="3"/>
  <c r="B27" i="3"/>
  <c r="E27" i="3"/>
  <c r="B28" i="3"/>
  <c r="E28" i="3"/>
  <c r="B29" i="3"/>
  <c r="E29" i="3"/>
  <c r="B30" i="3"/>
  <c r="E30" i="3"/>
  <c r="B31" i="3"/>
  <c r="E31" i="3"/>
  <c r="B32" i="3"/>
  <c r="E32" i="3"/>
  <c r="B33" i="3"/>
  <c r="E33" i="3"/>
  <c r="B34" i="3"/>
  <c r="E34" i="3"/>
  <c r="B35" i="3"/>
  <c r="E35" i="3"/>
  <c r="B36" i="3"/>
  <c r="E36" i="3"/>
  <c r="B37" i="3"/>
  <c r="E37" i="3"/>
  <c r="B38" i="3"/>
  <c r="E38" i="3"/>
  <c r="B39" i="3"/>
  <c r="E39" i="3"/>
  <c r="B40" i="3"/>
  <c r="E40" i="3"/>
  <c r="B41" i="3"/>
  <c r="E41" i="3"/>
  <c r="B42" i="3"/>
  <c r="E42" i="3"/>
  <c r="B43" i="3"/>
  <c r="E43" i="3"/>
  <c r="B44" i="3"/>
  <c r="E44" i="3"/>
  <c r="B45" i="3"/>
  <c r="E45" i="3"/>
  <c r="B46" i="3"/>
  <c r="E46" i="3"/>
  <c r="B47" i="3"/>
  <c r="E47" i="3"/>
  <c r="B48" i="3"/>
  <c r="E48" i="3"/>
  <c r="B49" i="3"/>
  <c r="E49" i="3"/>
  <c r="B50" i="3"/>
  <c r="E50" i="3"/>
  <c r="B51" i="3"/>
  <c r="E51" i="3"/>
  <c r="B52" i="3"/>
  <c r="E52" i="3"/>
  <c r="B53" i="3"/>
  <c r="E53" i="3"/>
  <c r="B54" i="3"/>
  <c r="E54" i="3"/>
  <c r="B55" i="3"/>
  <c r="E55" i="3"/>
  <c r="B56" i="3"/>
  <c r="E56" i="3"/>
  <c r="B57" i="3"/>
  <c r="E57" i="3"/>
  <c r="B58" i="3"/>
  <c r="E58" i="3"/>
  <c r="B59" i="3"/>
  <c r="E59" i="3"/>
  <c r="B60" i="3"/>
  <c r="E60" i="3"/>
  <c r="B61" i="3"/>
  <c r="E61" i="3"/>
  <c r="B62" i="3"/>
  <c r="E62" i="3"/>
  <c r="B63" i="3"/>
  <c r="E63" i="3"/>
  <c r="B64" i="3"/>
  <c r="E64" i="3"/>
  <c r="B65" i="3"/>
  <c r="E65" i="3"/>
  <c r="B66" i="3"/>
  <c r="E66" i="3"/>
  <c r="B67" i="3"/>
  <c r="E67" i="3"/>
  <c r="B68" i="3"/>
  <c r="E68" i="3"/>
  <c r="B69" i="3"/>
  <c r="E69" i="3"/>
  <c r="B70" i="3"/>
  <c r="E70" i="3"/>
  <c r="B71" i="3"/>
  <c r="E71" i="3"/>
  <c r="B72" i="3"/>
  <c r="E72" i="3"/>
  <c r="B73" i="3"/>
  <c r="E73" i="3"/>
  <c r="B74" i="3"/>
  <c r="E74" i="3"/>
  <c r="B75" i="3"/>
  <c r="E75" i="3"/>
  <c r="B76" i="3"/>
  <c r="E76" i="3"/>
  <c r="B77" i="3"/>
  <c r="E77" i="3"/>
  <c r="B78" i="3"/>
  <c r="E78" i="3"/>
  <c r="B79" i="3"/>
  <c r="E79" i="3"/>
  <c r="B80" i="3"/>
  <c r="E80" i="3"/>
  <c r="B81" i="3"/>
  <c r="E81" i="3"/>
  <c r="B82" i="3"/>
  <c r="E82" i="3"/>
  <c r="B83" i="3"/>
  <c r="E83" i="3"/>
  <c r="B84" i="3"/>
  <c r="E84" i="3"/>
  <c r="B85" i="3"/>
  <c r="E85" i="3"/>
  <c r="B86" i="3"/>
  <c r="E86" i="3"/>
  <c r="B87" i="3"/>
  <c r="E87" i="3"/>
  <c r="B88" i="3"/>
  <c r="E88" i="3"/>
  <c r="B89" i="3"/>
  <c r="E89" i="3"/>
  <c r="B90" i="3"/>
  <c r="E90" i="3"/>
  <c r="B91" i="3"/>
  <c r="E91" i="3"/>
  <c r="B92" i="3"/>
  <c r="E92" i="3"/>
  <c r="B93" i="3"/>
  <c r="E93" i="3"/>
  <c r="B94" i="3"/>
  <c r="E94" i="3"/>
  <c r="B95" i="3"/>
  <c r="E95" i="3"/>
  <c r="B96" i="3"/>
  <c r="E96" i="3"/>
  <c r="B97" i="3"/>
  <c r="E97" i="3"/>
  <c r="B98" i="3"/>
  <c r="E98" i="3"/>
  <c r="B99" i="3"/>
  <c r="E99" i="3"/>
  <c r="B100" i="3"/>
  <c r="E100" i="3"/>
  <c r="B101" i="3"/>
  <c r="E101" i="3"/>
  <c r="B102" i="3"/>
  <c r="E102" i="3"/>
  <c r="B103" i="3"/>
  <c r="E103" i="3"/>
  <c r="B104" i="3"/>
  <c r="E104" i="3"/>
  <c r="B105" i="3"/>
  <c r="E105" i="3"/>
  <c r="B106" i="3"/>
  <c r="E106" i="3"/>
  <c r="B107" i="3"/>
  <c r="E107" i="3"/>
  <c r="B108" i="3"/>
  <c r="E108" i="3"/>
  <c r="B109" i="3"/>
  <c r="E109" i="3"/>
  <c r="B110" i="3"/>
  <c r="E110" i="3"/>
  <c r="B111" i="3"/>
  <c r="E111" i="3"/>
  <c r="B112" i="3"/>
  <c r="E112" i="3"/>
  <c r="B113" i="3"/>
  <c r="E113" i="3"/>
  <c r="B114" i="3"/>
  <c r="E114" i="3"/>
  <c r="B115" i="3"/>
  <c r="E115" i="3"/>
  <c r="B116" i="3"/>
  <c r="E116" i="3"/>
  <c r="B117" i="3"/>
  <c r="E117" i="3"/>
  <c r="B118" i="3"/>
  <c r="E118" i="3"/>
  <c r="B119" i="3"/>
  <c r="E119" i="3"/>
  <c r="B120" i="3"/>
  <c r="E120" i="3"/>
  <c r="B121" i="3"/>
  <c r="E121" i="3"/>
  <c r="B122" i="3"/>
  <c r="E122" i="3"/>
  <c r="B123" i="3"/>
  <c r="E123" i="3"/>
  <c r="B124" i="3"/>
  <c r="E124" i="3"/>
  <c r="B125" i="3"/>
  <c r="E125" i="3"/>
  <c r="B126" i="3"/>
  <c r="E126" i="3"/>
  <c r="B127" i="3"/>
  <c r="E127" i="3"/>
  <c r="B128" i="3"/>
  <c r="E128" i="3"/>
  <c r="B129" i="3"/>
  <c r="E129" i="3"/>
  <c r="B130" i="3"/>
  <c r="E130" i="3"/>
  <c r="B131" i="3"/>
  <c r="E131" i="3"/>
  <c r="B132" i="3"/>
  <c r="E132" i="3"/>
  <c r="B133" i="3"/>
  <c r="E133" i="3"/>
  <c r="B134" i="3"/>
  <c r="E134" i="3"/>
  <c r="B135" i="3"/>
  <c r="E135" i="3"/>
  <c r="B136" i="3"/>
  <c r="E136" i="3"/>
  <c r="B137" i="3"/>
  <c r="E137" i="3"/>
  <c r="B138" i="3"/>
  <c r="E138" i="3"/>
  <c r="B139" i="3"/>
  <c r="E139" i="3"/>
  <c r="B140" i="3"/>
  <c r="E140" i="3"/>
  <c r="B141" i="3"/>
  <c r="E141" i="3"/>
  <c r="B142" i="3"/>
  <c r="E142" i="3"/>
  <c r="B143" i="3"/>
  <c r="E143" i="3"/>
  <c r="B144" i="3"/>
  <c r="E144" i="3"/>
  <c r="B145" i="3"/>
  <c r="E145" i="3"/>
  <c r="B146" i="3"/>
  <c r="E146" i="3"/>
  <c r="B147" i="3"/>
  <c r="E147" i="3"/>
  <c r="B148" i="3"/>
  <c r="E148" i="3"/>
  <c r="B149" i="3"/>
  <c r="E149" i="3"/>
  <c r="B150" i="3"/>
  <c r="E150" i="3"/>
  <c r="B151" i="3"/>
  <c r="E151" i="3"/>
  <c r="B152" i="3"/>
  <c r="E152" i="3"/>
  <c r="B153" i="3"/>
  <c r="E153" i="3"/>
  <c r="B154" i="3"/>
  <c r="E154" i="3"/>
  <c r="B155" i="3"/>
  <c r="E155" i="3"/>
  <c r="B156" i="3"/>
  <c r="E156" i="3"/>
  <c r="B157" i="3"/>
  <c r="E157" i="3"/>
  <c r="B158" i="3"/>
  <c r="E158" i="3"/>
  <c r="B159" i="3"/>
  <c r="E159" i="3"/>
  <c r="B160" i="3"/>
  <c r="E160" i="3"/>
  <c r="B161" i="3"/>
  <c r="E161" i="3"/>
  <c r="B162" i="3"/>
  <c r="E162" i="3"/>
  <c r="B163" i="3"/>
  <c r="E163" i="3"/>
  <c r="B164" i="3"/>
  <c r="E164" i="3"/>
  <c r="E32" i="2"/>
  <c r="G32" i="2"/>
  <c r="H32" i="2"/>
  <c r="I32" i="2"/>
  <c r="K32" i="2"/>
  <c r="M32" i="2"/>
  <c r="O32" i="2"/>
  <c r="V32" i="2"/>
  <c r="W32" i="2"/>
  <c r="X32" i="2"/>
  <c r="A1" i="15" a="1"/>
  <c r="A1" i="15" l="1"/>
  <c r="B1" i="15" a="1"/>
  <c r="B1" i="15" l="1"/>
  <c r="C1" i="15" a="1"/>
  <c r="C1" i="15" l="1"/>
  <c r="B5" i="13" a="1"/>
  <c r="P3" i="13" l="1"/>
  <c r="B5" i="13"/>
  <c r="H5" i="13" a="1"/>
  <c r="H5" i="13" l="1"/>
  <c r="N5" i="13" a="1"/>
  <c r="N5" i="13" l="1"/>
  <c r="R5" i="13" a="1"/>
  <c r="R5" i="13" l="1"/>
  <c r="R12" i="13" a="1"/>
  <c r="R12" i="1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95">
    <bk>
      <extLst>
        <ext uri="{3e2802c4-a4d2-4d8b-9148-e3be6c30e623}">
          <xlrd:rvb i="18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0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cellMetadata count="1">
    <bk>
      <rc t="1" v="0"/>
    </bk>
  </cellMetadata>
  <valueMetadata count="19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from datetime import date
# =========================
# CONSTANTS / HELPERS
# =========================
EXCEL_COLUMNS = [
    "Unit","Status","Move_out","Ready_Date","DV","Move_in","DTBR","N/V/M",
    "Insp","Insp_status","Paint","Paint_status","MR","MR_Status",
    "HK","HK_Status","CC","CC_status","Assign","W_D","QC","P","B","U","Notes"
]
TASK_SEQUENCE = ["Inspection", "Paint", "MR", "HK", "CC"]
TASK_COLS = {
    "Inspection": ("Insp", "Insp_status", 1),
    "Paint": ("Paint", "Paint_status", 2),
    "MR": ("MR", "MR_Status", 3),
    "HK": ("HK", "HK_Status", 6),
    "CC": ("CC", "CC_status", 7),
}
ALLOWED_PHASES = ["5", "7", "8"]
def business_days(start, end):
    if pd.isna(start) or pd.isna(end):
        return np.nan
    s = pd.to_datetime(start, errors="coerce")
    e = pd.to_datetime(end, errors="coerce")
    if pd.isna(s) or pd.isna(e):
        return np.nan
    return np.busday_count(s.date(), e.date())
# =========================
# STAGE 1 — FACT ENGINE (VECTORIZED)
# =========================
def run_facts(df, today=None):
    if today is None:
        today = date.today()
    df = df.copy()
    # Normalize dates upfront
    for col in ["Move_in", "Ready_Date", "Move_out"]:
        df[col] = pd.to_datetime(df[col], errors="coerce")
    # Notes
    df["Note_Text"] = df["Notes"].fillna("").astype(str).str.strip()
    df["Has_Note_Context"] = df["Note_Text"].ne("")
    df["Note_Category"] = (
        df["Note_Text"].str.upper()
        .str.extract("(HOLD|ISSUE|REOPEN|DECISION)", expand=False)
        .fillna("")
    )
    # Assignment
    df["Has_Assignment"] = df["Assign"].fillna("").astype(str).str.strip().str.lower().ne("total") &amp; \
                           df["Assign"].astype(str).str.strip().ne("")
    # Move-in / Ready flags
    df["Is_MoveIn_Present"] = df["Move_in"].notna()
    df["Is_Ready_Declared"] = df["Ready_Date"].notna()
    # N/V/M flags
    upper_nvm = df["N/V/M"].fillna("").astype(str).str.strip().str.upper()
    df["Is_Vacant"] = upper_nvm.eq("VACANT")
    df["Is_SMI"] = upper_nvm.str.contains("SMI|MOVE IN")
    df["Is_On_Notice"] = upper_nvm.str.contains("NOTICE")
    # Phase
    df["Is_Allowed_Phase"] = (
        df["P"].fillna("").astype(str).str.strip().isin(ALLOWED_PHASES)
    )
    # QC
    df["Is_QC_Done"] = df["QC"].fillna("").astype(str).str.strip().str.upper().eq("DONE")
    # Business days
    df["Aging_Business_Days"] = df["Move_out"].apply(lambda d: business_days(d, today))
    return df
# =========================
# STAGE 2 — TASK MECHANICS (FULLY VECTORIZED)
# =========================
def apply_task_mechanics(df):
    df = df.copy()
    # Pre-normalize all 5 status columns
    status_cols = [TASK_COLS[t][1] for t in TASK_SEQUENCE]
    for col in status_cols:
        df[col] = df[col].fillna("").astype(str).str.strip().replace("", "Not Started").str.title()
    # ---- Task State ----
    all_done = df[status_cols].eq("Done").all(axis=1)
    none_started = df[status_cols].eq("Not Started").all(axis=1)
    df["Task_State"] = np.select(
        [all_done, none_started],
        ["All Tasks Complete", "Not Started"],
        default="In Progress"
    )
    # ---- Completion Ratio ----
    df["Task_Completion_Ratio"] = (
        df[status_cols].eq("Done").sum(axis=1) / len(status_cols) * 100
    )
    # ---- Current / Next Task ----
    done_matrix = df[status_cols].eq("Done")
    first_not_done_col = (~done_matrix).idxmax(axis=1)         # the status col name
    cur_index = first_not_done_col.map(lambda name: status_cols.index(name) if name in status_cols else np.nan)
    df["Table_Current_Task"] = cur_index.map(
        lambda i: TASK_SEQUENCE[int(i)] if pd.notna(i) else ""
    )
    df["Table_Next_Task"] = cur_index.add(1).map(
        lambda i: TASK_SEQUENCE[int(i)] if pd.notna(i) and i &lt; len(TASK_SEQUENCE) else ""
    )
    # ---- Stalled Logic ----
    stall_matrix = pd.DataFrame({
        task: (
            df["Is_Vacant"] &amp;
            ~df[TASK_COLS[task][1]].eq("Done") &amp;
            (df["Aging_Business_Days"] &gt; (TASK_COLS[task][2] + 1))
        )
        for task in TASK_SEQUENCE
    })
    df["Is_Task_Stalled"] = stall_matrix.any(axis=1)
    return df
# =========================
# EXCEL HOOK
# =========================
raw_df = xl(%P2%)
raw_df.columns = EXCEL_COLUMNS
df = run_facts(raw_df)
df = apply_task_mechanics(df)
df</code>
    </pythonScript>
    <pythonScript>
      <code>import pandas as pd
import numpy as np
from datetime import date
# ============================================================
# ENGINE CONFIG
# ============================================================
BASE_COLUMN_COUNT = 25
EXPECTED_HEADERS = [
    "Unit", "Status", "Move_out", "Ready_Date", "DV", "Move_in", "DTBR", "N/V/M",
    "Insp", "Insp_status", "Paint", "Paint_status", "MR", "MR_Status",
    "HK", "HK_Status", "CC", "CC_status", "Assign", "W_D",
    "QC", "P", "B", "U", "Notes"
]
# Derived columns from Stage 1 (Core_Facts)
STAGE1_DERIVED = [
    "Note_Text",
    "Has_Note_Context",
    "Note_Category",
    "Has_Assignment",
    "Is_MoveIn_Present",
    "Is_Ready_Declared",
    "Is_Vacant",
    "Is_SMI",
    "Is_On_Notice",
    "Is_Allowed_Phase",
    "Is_QC_Done",
    "Aging_Business_Days",
    "Task_State",
    "Task_Completion_Ratio",
    "Table_Current_Task",
    "Table_Next_Task",
    "Is_Task_Stalled",
]
ALL_INPUT_COLUMNS = EXPECTED_HEADERS + STAGE1_DERIVED
# Task configuration
TASK_SEQUENCE = ["Inspection", "Paint", "MR", "HK", "CC"]
TASK_COLS = {
    "Inspection": ("Insp_status", 1),
    "Paint": ("Paint_status", 2),
    "MR": ("MR_Status", 3),
    "HK": ("HK_Status", 6),
    "CC": ("CC_status", 7),
}
# ============================================================
# HELPER FUNCTIONS
# ============================================================
def norm_status(v):
    if pd.isna(v) or str(v).strip() == "":
        return "Not Started"
    return str(v).strip().title()
def is_done(v):
    return str(v).strip().upper() == "DONE"
# ============================================================
# STAGE 2 ENGINE
# ============================================================
def run_intelligence_engine():
    """
    Reads Core_Facts output from Stage 1 and produces Intelligence Layer
    """
    df = xl(%P2%, header=None)
    today = date.today()
    # Handle empty table
    if df.empty or df.shape[0] == 0:
        empty_df = pd.DataFrame(columns=ALL_INPUT_COLUMNS + [
            "Status_Norm",
            "Is_Unit_Ready",
            "Is_Unit_Ready_For_Moving",
            "In_Turn_Execution",
            "Operational_State",
            "Prevention_Risk_Flag",
            "Attention_Badge",
        ])
        manifest = {
            "base_column_count": BASE_COLUMN_COUNT,
            "stage1_derived_count": len(STAGE1_DERIVED),
            "stage2_derived_count": 7,
            "all_headers": list(empty_df.columns),
        }
        return empty_df, manifest
    # Validate column count
    if df.shape[1] != len(ALL_INPUT_COLUMNS):
        raise ValueError(
            f"Column count mismatch: Core_Facts has {df.shape[1]} columns, "
            f"but Stage 2 expects {len(ALL_INPUT_COLUMNS)} columns"
        )
    # Assign headers
    df.columns = ALL_INPUT_COLUMNS
    # Clean column names
    df.columns = (
        df.columns
        .astype(str)
        .str.replace("\u00a0", "", regex=False)
        .str.strip()
    )
    # ============================================================
    # STAGE 2 DERIVED COLUMNS (7 total)
    # ============================================================
    # 1. Status normalization for consumer filtering
    df["Status_Norm"] = (
        df["Status"]
        .fillna("")
        .astype(str)
        .str.strip()
        .str.lower()
    )
    # 2. Readiness flags
    df["Is_Unit_Ready"] = (
        df["Status"].astype(str).str.upper().eq("VACANT READY") &amp;
        (df["Task_State"] == "All Tasks Complete")
    )
    # 3. Move-in readiness
    df["Is_Unit_Ready_For_Moving"] = (
        df["Is_Unit_Ready"] &amp;
        df["Is_MoveIn_Present"] &amp;
        df["Is_QC_Done"]
    )
    # 4. Turn execution flag
    df["In_Turn_Execution"] = df["Is_Vacant"] &amp; (~df["Is_Unit_Ready"])
    # 5. Operational State
    def operational_state(r):
        # NOTICE units (tenant gave notice, not yet vacant)
        if r["Is_On_Notice"]:
            if r["Is_SMI"]:  # NOTICE + SMI
                return "On Notice - Scheduled"
            else:  # Just NOTICE
                return "On Notice"
        # Out of scope (not vacant, not SMI, not notice)
        if not (r["Is_Vacant"] or r["Is_SMI"]):
            return "Out of Scope"
        # Vacant/SMI logic
        if r["Is_MoveIn_Present"] and not r["Is_Unit_Ready_For_Moving"] and r["In_Turn_Execution"]:
            return "Move-In Risk"
        if r["Is_Unit_Ready"] and r["Is_MoveIn_Present"] and not r["Is_QC_Done"]:
            return "QC Hold"
        if r["Is_Task_Stalled"]:
            return "Work Stalled"
        if r["Task_State"] == "In Progress":
            return "In Progress"
        if r["Is_Unit_Ready"]:
            return "Apartment Ready"
        return "Pending Start"
    df["Operational_State"] = df.apply(operational_state, axis=1)
    # 6. Prevention Risk Flag
    df["Prevention_Risk_Flag"] = (
        df["In_Turn_Execution"] &amp; (
            df["Note_Category"].isin(["HOLD", "ISSUE", "REOPEN"]) |
            (~df["Has_Assignment"]) |
            ((df["Task_State"] == "In Progress") &amp; (~df["Is_Task_Stalled"]))
        )
    )
    # 7. Attention Badge
    def attention_badge(r):
        # NOTICE units
        if r["Is_On_Notice"]:
            if r["Is_SMI"]:
                return "📋 On Notice - Scheduled"
            else:
                return "📋 On Notice"
        # SMI/MOVE IN with move-in date
        if r["Is_SMI"] and r["Is_MoveIn_Present"]:
            return "📅 Scheduled to Move In"
        # Standard operational state mapping
        base = {
            "Out of Scope": "Out of Scope",
            "Move-In Risk": "🔴 Move-In Risk",
            "QC Hold": "🚫 QC Hold",
            "Work Stalled": "⏸️ Work Stalled",
            "In Progress": "🔧 In Progress",
            "Pending Start": "⏳ Pending Start",
            "Apartment Ready": "🟢 Apartment Ready",
        }[r["Operational_State"]]
        if r["Operational_State"] in {"Pending Start", "In Progress"} and r["Prevention_Risk_Flag"]:
            return "🟡 Needs Attention"
        return base
    df["Attention_Badge"] = df.apply(attention_badge, axis=1)
    # ============================================================
    # SORTING
    # ============================================================
    df = df.sort_values(
        by="Aging_Business_Days",
        ascending=False,
        na_position="last"
    )
    # ============================================================
    # MANIFEST
    # ============================================================
    manifest = {
        "base_column_count": BASE_COLUMN_COUNT,
        "stage1_derived_count": len(STAGE1_DERIVED),
        "stage2_derived_columns": [
            "Status_Norm",
            "Is_Unit_Ready",
            "Is_Unit_Ready_For_Moving",
            "In_Turn_Execution",
            "Operational_State",
            "Prevention_Risk_Flag",
            "Attention_Badge",
        ],
        "all_headers": list(df.columns),
    }
    return df, manifest
# ============================================================
# EXECUTE
# ============================================================
df_out, manifest = run_intelligence_engine()
df</code>
    </pythonScript>
    <pythonScript>
      <code>import pandas as pd
import numpy as np
from datetime import date
# ============================================================
# SLA CONFIGURATION
# ============================================================
INSPECTION_SLA_DAYS = 1       # Inspection must happen within 1 business day
TURN_SLA_DAYS = 10            # Unit must be ready within 10 business days
MOVE_IN_BUFFER_DAYS = 2       # Must be ready 2 days before move-in
# ============================================================
# ENGINE CONFIG
# ============================================================
BASE_COLUMN_COUNT = 25
EXPECTED_HEADERS = [
    "Unit", "Status", "Move_out", "Ready_Date", "DV", "Move_in", "DTBR", "N/V/M",
    "Insp", "Insp_status", "Paint", "Paint_status", "MR", "MR_Status",
    "HK", "HK_Status", "CC", "CC_status", "Assign", "W_D",
    "QC", "P", "B", "U", "Notes"
]
STAGE1_DERIVED = [
    "Note_Text",
    "Has_Note_Context",
    "Note_Category",
    "Has_Assignment",
    "Is_MoveIn_Present",
    "Is_Ready_Declared",
    "Is_Vacant",
    "Is_SMI",
    "Is_On_Notice",
    "Is_Allowed_Phase",
    "Is_QC_Done",
    "Aging_Business_Days",
    "Task_State",
    "Task_Completion_Ratio",
    "Table_Current_Task",
    "Table_Next_Task",
    "Is_Task_Stalled",
]
STAGE2_DERIVED = [
    "Status_Norm",
    "Is_Unit_Ready",
    "Is_Unit_Ready_For_Moving",
    "In_Turn_Execution",
    "Operational_State",
    "Prevention_Risk_Flag",
    "Attention_Badge",
]
ALL_INPUT_COLUMNS = EXPECTED_HEADERS + STAGE1_DERIVED + STAGE2_DERIVED
# ============================================================
# STAGE 3 ENGINE
# ============================================================
def run_sla_engine():
    """
    Reads Intelligence_Layer output from Stage 2 and adds SLA compliance flags
    """
    df = xl(%P2%, header=None)
    today = date.today()
    # Handle empty table
    if df.empty or df.shape[0] == 0:
        empty_df = pd.DataFrame(columns=ALL_INPUT_COLUMNS + [
            "Days_To_MoveIn",
            "Inspection_SLA_Breach",
            "SLA_Breach",
            "SLA_MoveIn_Breach",
            "Plan_Breach",
        ])
        manifest = {
            "base_column_count": BASE_COLUMN_COUNT,
            "stage1_derived_count": len(STAGE1_DERIVED),
            "stage2_derived_count": len(STAGE2_DERIVED),
            "stage3_derived_count": 5,
            "all_headers": list(empty_df.columns),
        }
        return empty_df, manifest
    # Validate column count
    if df.shape[1] != len(ALL_INPUT_COLUMNS):
        raise ValueError(
            f"Column count mismatch: Intelligence_Layer has {df.shape[1]} columns, "
            f"but Stage 3 expects {len(ALL_INPUT_COLUMNS)} columns"
        )
    # Assign headers
    df.columns = ALL_INPUT_COLUMNS
    # Clean column names
    df.columns = (
        df.columns
        .astype(str)
        .str.replace("\u00a0", "", regex=False)
        .str.strip()
    )
    # ============================================================
    # STAGE 3 DERIVED COLUMNS (5 total)
    # ============================================================
    # 1. Days to Move-In (helper metric)
    def calc_days_to_move_in(move_in_date):
        if pd.isna(move_in_date):
            return np.nan
        try:
            move_in = pd.to_datetime(move_in_date)
            if pd.isna(move_in):
                return np.nan
            delta = (move_in.date() - today)
            return delta.days
        except:
            return np.nan
    df["Days_To_MoveIn"] = df["Move_in"].apply(calc_days_to_move_in)
    # 2. Inspection SLA Breach
    # "Inspection did not occur within 1 business day after move-out"
    df["Inspection_SLA_Breach"] = (
        df["Is_Vacant"] &amp;
        (df["Insp_status"].astype(str).str.upper() != "DONE") &amp;
        (df["Aging_Business_Days"] &gt; INSPECTION_SLA_DAYS)
    )
    # 3. Global Turn SLA Breach
    # "Unit is still vacant and not ready after 10 business days"
    df["SLA_Breach"] = (
        df["Is_Vacant"] &amp;
        (~df["Is_Unit_Ready"]) &amp;
        (df["Aging_Business_Days"] &gt; TURN_SLA_DAYS)
    )
    # 4. Move-In SLA Breach
    # "Move-in is scheduled and unit cannot meet it (&lt; 2 days away, not ready)"
    df["SLA_MoveIn_Breach"] = (
        df["Is_MoveIn_Present"] &amp;
        (~df["Is_Unit_Ready_For_Moving"]) &amp;
        (df["Days_To_MoveIn"] &lt;= MOVE_IN_BUFFER_DAYS) &amp;
        (df["Days_To_MoveIn"] &gt;= 0)  # Only if move-in is in the future or today
    )
    # 5. Plan Breach
    # "Declared Ready_Date has passed, but unit is not actually ready"
    def calc_plan_breach(row):
        if not row["Is_Ready_Declared"]:
            return False
        try:
            ready_date = pd.to_datetime(row["Ready_Date"])
            if pd.isna(ready_date):
                return False
            # Today is on or after the declared ready date
            if today &gt;= ready_date.date():
                # But unit is NOT actually ready
                return not row["Is_Unit_Ready"]
            else:
                return False
        except:
            return False
    df["Plan_Breach"] = df.apply(calc_plan_breach, axis=1)
    # ============================================================
    # SORTING (maintain Stage 2 sort)
    # ============================================================
    df = df.sort_values(
        by="Aging_Business_Days",
        ascending=False,
        na_position="last"
    )
    # ============================================================
    # MANIFEST
    # ============================================================
    manifest = {
        "base_column_count": BASE_COLUMN_COUNT,
        "stage1_derived_count": len(STAGE1_DERIVED),
        "stage2_derived_count": len(STAGE2_DERIVED),
        "stage3_derived_columns": [
            "Days_To_MoveIn",
            "Inspection_SLA_Breach",
            "SLA_Breach",
            "SLA_MoveIn_Breach",
            "Plan_Breach",
        ],
        "sla_configuration": {
            "inspection_sla_days": INSPECTION_SLA_DAYS,
            "turn_sla_days": TURN_SLA_DAYS,
            "move_in_buffer_days": MOVE_IN_BUFFER_DAYS,
        },
        "all_headers": list(df.columns),
    }
    return df, manifest
# ============================================================
# EXECUTE
# ============================================================
df_out, manifest = run_sla_engine()
df_out</code>
    </pythonScript>
    <pythonScript>
      <code>import pandas as pd
# ============================================================
# ENGINE OUTPUT
# ============================================================
df = df_out.copy()
# ============================================================
# REQUIRED COLUMNS
# ============================================================
REQUIRED_COLUMNS = [
    "Unit",
    "Status",
    "Status_Norm",
    "DV",
    "Move_in",
    "Attention_Badge",
    "Is_Allowed_Phase",
    "P",
]
missing = [c for c in REQUIRED_COLUMNS if c not in df.columns]
if missing:
    raise ValueError(f"Missing required columns in engine output: {missing}")
# ============================================================
# EXCEL-DRIVEN INPUTS
# ============================================================
phase_selection = str(xl(%P2%)).strip().lower()
status_selection = str(xl(%P3%)).strip().lower()
alert_selection = str(xl(%P4%)).strip().lower()   # ← NEW
# ============================================================
# PHASE FILTERING LOGIC
# ============================================================
if phase_selection in {"all", "", "none"}:
    phase_mask = df["Is_Allowed_Phase"] == True
else:
    phase_mask = (
        df["P"]
        .fillna("")
        .astype(str)
        .str.strip()
        .str.lower()
        .eq(phase_selection)
    )
# ============================================================
# STATUS FILTERING LOGIC (ENGINE-GROUPED)
# ============================================================
if status_selection in {"all", "", "none"}:
    allowed_statuses = {
        "vacant",
        "vacant ready",
        "vacant not ready",
        "smi",
        "on notice",
    }
elif status_selection == "vacant":
    allowed_statuses = {
        "vacant",
        "vacant ready",
        "vacant not ready",
    }
elif status_selection == "vacant ready":
    allowed_statuses = {"vacant ready"}
elif status_selection == "vacant not ready":
    allowed_statuses = {"vacant not ready"}
elif status_selection == "on notice":
    allowed_statuses = {"on notice"}
else:
    raise ValueError(f"Unknown status selection: {status_selection}")
status_mask = df["Status_Norm"].isin(allowed_statuses)
# ============================================================
# ALERT FILTERING LOGIC
# ============================================================
if alert_selection in {"all", "", "none"}:
    alert_mask = pd.Series(True, index=df.index)
else:
    alert_map = {
        "move-in risk": "🔴 Move-In Risk",
        "qc hold": "🚫 QC Hold",
        "work stalled": "⏸️ Work Stalled",
        "needs attention": "🟡 Needs Attention",
        "scheduled to move in": "📅 Scheduled to Move In",
        "on notice - scheduled": "📋 On Notice - Scheduled",
        "on notice": "📋 On Notice",
        "in progress": "🔧 In Progress",
        "pending start": "⏳ Pending Start",
        "apartment ready": "🟢 Apartment Ready",
        "out of scope": "Out of Scope",
    }
    target_badge = alert_map.get(alert_selection)
    if target_badge is None:
        raise ValueError(f"Unknown alert selection: {alert_selection}")
    alert_mask = df["Attention_Badge"].eq(target_badge)
# ============================================================
# APPLY FILTERS
# ============================================================
df = df.loc[phase_mask &amp; status_mask &amp; alert_mask].copy()
# ============================================================
# TYPE NORMALIZATION (SORT SAFETY ONLY)
# ============================================================
df["Move_in"] = pd.to_datetime(df["Move_in"], errors="coerce")
df["DV"] = pd.to_numeric(df["DV"], errors="coerce")
# ============================================================
# SORTING
# ============================================================
df = df.sort_values(
    by=["Move_in", "DV"],
    ascending=[True, False],
    na_position="last"
).reset_index(drop=True)
# ============================================================
# OUTPUT SHAPING
# ============================================================
df_view = df[
    [
        "Unit",
        "Status",
        "DV",
        "Move_in",
        "Attention_Badge",
    ]
].copy()
df_view = df_view.rename(
    columns={
        "DV": "Days Vacant",
        "Move_in": "M-I Date",
        "Attention_Badge": "⚠️ Alert",
    }
)
# ============================================================
# FINAL NORMALIZATION
# ============================================================
df_view["M-I Date"] = pd.to_datetime(
    df_view["M-I Date"], errors="coerce"
).dt.strftime("%%m/%%d/%%y")
df_view = df_view.fillna("").astype(str)
# ============================================================
# OUTPUT
# ============================================================
df_view.reset_index(drop=True)</code>
    </pythonScript>
    <pythonScript>
      <code>import pandas as pd
# ============================================================
# ENGINE OUTPUT
# ============================================================
df = df_out.copy()
# ============================================================
# REQUIRED COLUMNS
# ============================================================
REQUIRED_COLUMNS = [
    "Unit",
    "W_D",
    "Status",
    "Status_Norm",
    "Attention_Badge",
    "Table_Current_Task",
    "Is_Allowed_Phase",
    "P",
]
missing = [c for c in REQUIRED_COLUMNS if c not in df.columns]
if missing:
    raise ValueError(f"Missing required columns in engine output: {missing}")
# ============================================================
# EXCEL-DRIVEN INPUTS (INTENT ONLY)
# ============================================================
phase_selection = str(xl(%P2%)).strip().lower()
status_selection = str(xl(%P3%)).strip().lower()
alert_selection = str(xl(%P4%)).strip().lower()
# ============================================================
# PHASE FILTERING LOGIC
# ============================================================
if phase_selection in {"all", "", "none"}:
    phase_mask = df["Is_Allowed_Phase"] == True
else:
    phase_mask = (
        df["P"]
        .fillna("")
        .astype(str)
        .str.strip()
        .str.lower()
        .eq(phase_selection)
    )
# ============================================================
# STATUS FILTERING LOGIC (ENGINE-GROUPED)
# ============================================================
if status_selection in {"all", "", "none"}:
    allowed_statuses = {
        "vacant",
        "vacant ready",
        "vacant not ready",
        "smi",
        "on notice",
    }
elif status_selection == "vacant":
    allowed_statuses = {
        "vacant",
        "vacant ready",
        "vacant not ready",
    }
elif status_selection == "vacant ready":
    allowed_statuses = {"vacant ready"}
elif status_selection == "vacant not ready":
    allowed_statuses = {"vacant not ready"}
elif status_selection == "on notice":
    allowed_statuses = {"on notice"}
else:
    raise ValueError(f"Unknown status selection: {status_selection}")
status_mask = df["Status_Norm"].isin(allowed_statuses)
# ============================================================
# ALERT FILTERING LOGIC
# ============================================================
if alert_selection in {"all", "", "none"}:
    alert_mask = pd.Series(True, index=df.index)
else:
    alert_map = {
        "move-in risk": "🔴 Move-In Risk",
        "qc hold": "🚫 QC Hold",
        "work stalled": "⏸️ Work Stalled",
        "needs attention": "🟡 Needs Attention",
        "scheduled to move in": "📅 Scheduled to Move In",
        "on notice - scheduled": "📋 On Notice - Scheduled",
        "on notice": "📋 On Notice",
        "in progress": "🔧 In Progress",
        "pending start": "⏳ Pending Start",
        "apartment ready": "🟢 Apartment Ready",
        "out of scope": "Out of Scope",
    }
    target_badge = alert_map.get(alert_selection)
    if target_badge is None:
        raise ValueError(f"Unknown alert selection: {alert_selection}")
    alert_mask = df["Attention_Badge"].eq(target_badge)
# ============================================================
# APPLY FILTERS
# ============================================================
df = df.loc[phase_mask &amp; status_mask &amp; alert_mask].copy()
# ============================================================
# SORTING
# ============================================================
df = df.sort_values(
    by=["Unit"],
    ascending=True,
    na_position="last"
).reset_index(drop=True)
# ============================================================
# OUTPUT SHAPING
# ============================================================
df_view = df[
    [
        "Unit",
        "W_D",
        "Status",
        "Attention_Badge",
        "Table_Current_Task",
    ]
].copy()
df_view = df_view.rename(
    columns={
        "W_D": "W/D",
        "Attention_Badge": "Move Ins ⚠️ Alert",
        "Table_Current_Task": "Current Task",
    }
)
# ============================================================
# FINAL NORMALIZATION
# ============================================================
df_view = df_view.fillna("").astype(str)
df_view</code>
    </pythonScript>
    <pythonScript>
      <code>import pandas as pd
import re
# ============================================================
# ENGINE OUTPUT
# ============================================================
df = df_out.copy()
# ============================================================
# EXCEL-DRIVEN INPUT
# ============================================================
unit_input = str(xl(%P2%)).strip()
# ============================================================
# REQUIRED COLUMNS
# ============================================================
REQUIRED_COLUMNS = [
    "Unit",
    "P", "B", "U",
    "Status",
    "Move_out", "Ready_Date", "DV", "Move_in", "DTBR",
    "QC",
    "Attention_Badge",
    "Table_Current_Task",
    "Table_Next_Task",
    "Insp", "Insp_status",
    "Paint", "Paint_status",
    "MR", "MR_Status",
    "HK", "HK_Status",
    "CC", "CC_status",
    "Notes",
]
missing = [c for c in REQUIRED_COLUMNS if c not in df.columns]
if missing:
    raise ValueError(f"Missing required columns in engine output: {missing}")
# ============================================================
# UNIT SELECTION
# ============================================================
unit_rows = df[
    df["Unit"]
    .fillna("")
    .astype(str)
    .str.strip()
    .eq(unit_input)
]
# ============================================================
# EMPTY STATE
# ============================================================
if unit_rows.empty:
    df_view = pd.DataFrame(
        [
            ["═══════════════", "═══════════════", "═══════════════"],
            ["", "UNIT NOT FOUND", ""],
            ["═══════════════", "═══════════════", "═══════════════"],
            ["", "", ""],
            ["", f"No unit found matching: {unit_input}", ""],
        ]
    ).astype(str)
else:
    r = unit_rows.iloc[0]
    # ========================================================
    # FORMAT HELPERS (SAFE)
    # ========================================================
    def fmt(x):
        x = pd.to_datetime(x, errors="coerce")
        if pd.isna(x):
            return "—"
        return x.strftime("%%m/%%d/%%y")
    def status_icon(status):
        s = str(status).strip().lower()
        return {
            "done": "✓ Done",
            "in progress": "⚙ In Progress",
            "blocked": "✖ Blocked",
            "not started": "○ Not Started",
            "scheduled": "◷ Scheduled",
        }.get(s, status)
    def task_date(task):
        return fmt(r.get(task))
    def task_status(task):
        return status_icon(r.get(f"{task}_status"))
    # ========================================================
    # NOTE PARSING
    # ========================================================
    NOTE_PATTERN = re.compile(
        r"\[\s*([A-Z]+)\s*:\s*([^|\]]+)(?:\|\s*([^\]]+))?\s*\]",
        re.IGNORECASE
    )
    def parse_note_line(line):
        line = str(line).strip()
        if not line:
            return None
        m = NOTE_PATTERN.search(line)
        if not m:
            return None
        return (
            m.group(1).strip().upper(),
            m.group(2).strip(),
            m.group(3).strip() if m.group(3) else "",
        )
    # ========================================================
    # LAYOUT CONSTRUCTION
    # ========================================================
    layout = []
    # ------------------------
    # UNIT SUMMARY
    # ------------------------
    layout += [
        ["═══════════════", "═══════════════", "═══════════════"],
        ["", "UNIT SUMMARY", ""],
        ["═══════════════", "═══════════════", "═══════════════"],
        ["", "", ""],
        [f"Unit {r['Unit']}", "", ""],
        ["", "", ""],
        [f"Phase: {r['P']}", f"Building: {r['B']}", f"Unit: {r['U']}"],
        ["", "", ""],
        [f"Move-out: {fmt(r['Move_out'])}", "", f"Move-in: {fmt(r['Move_in'])}"],
        [f"DV: {r['DV']}", "", f"DTBR: {r['DTBR']}"],
        ["", "", ""],
        ["", f"Ready Date: {fmt(r['Ready_Date'])}", ""],
        ["", "", ""],
        [f"Status: {r['Status']}", "", f"QC: {r['QC']}"],
        ["", "", ""],
        ["", "⚠️ Alert", ""],
        ["", r["Attention_Badge"], ""],
        ["", "", ""],
        ["Current Task", "", "Next Task"],
    ]
    current = r["Table_Current_Task"]
    next_task = r["Table_Next_Task"]
    layout.append([
        f"{current} — {task_date(current)} | {task_status(current)}" if current else "—",
        "",
        f"{next_task} | {task_status(next_task)}" if next_task else "—",
    ])
    layout.append(["", "", ""])
    # ------------------------
    # TURN TASKS
    # ------------------------
    layout += [
        ["═══════════════", "═══════════════", "═══════════════"],
        ["", "TURN TASKS", ""],
        ["═══════════════", "═══════════════", "═══════════════"],
        ["", "", ""],
        ["Task", "Date", "Status"],
        ["────────────────", "────────────", "────────────────"],
    ]
    tasks = [
        ("Inspection", "Insp", "Insp_status"),
        ("Paint", "Paint", "Paint_status"),
        ("MR", "MR", "MR_Status"),
        ("HK", "HK", "HK_Status"),
        ("CC", "CC", "CC_status"),
    ]
    for label, date_col, status_col in tasks:
        layout.append([
            label,
            fmt(r[date_col]),
            status_icon(r[status_col]),
        ])
    layout.append(["", "", ""])
    # ------------------------
    # NOTES
    # ------------------------
    layout += [
        ["═══════════════", "═══════════════", "═══════════════"],
        ["", "NOTES", ""],
        ["═══════════════", "═══════════════", "═══════════════"],
        ["Category", "Type", "Notes"],
        ["────────────────", "────────────────", "────────────────"],
    ]
    raw_notes = str(r["Notes"]) if pd.notna(r["Notes"]) else ""
    lines = [ln.strip() for ln in raw_notes.split("\n") if ln.strip()]
    rendered = False
    for ln in lines:
        parsed = parse_note_line(ln)
        if parsed:
            layout.append(list(parsed))
            rendered = True
    if not rendered:
        layout.append(["", "", "(No notes)"])
    layout.append(["", "", ""])
    # ========================================================
    # OUTPUT
    # ========================================================
    df_view = pd.DataFrame(layout).fillna("").astype(str)
df_view</code>
    </pythonScript>
    <pythonScript>
      <code>import pandas as pd
# ============================================================
# ENGINE OUTPUT
# ============================================================
df = df_out.copy()
# ============================================================
# REQUIRED COLUMNS
# ============================================================
REQUIRED_COLUMNS = [
    "Aging_Business_Days",
    "DV",
    "Attention_Badge",
    "Status_Norm",
    "Is_Vacant",
    "Is_Allowed_Phase",
    "P",
]
missing = [c for c in REQUIRED_COLUMNS if c not in df.columns]
if missing:
    raise ValueError(f"Missing required columns in engine output: {missing}")
# ============================================================
# EXCEL-DRIVEN INPUTS
# ============================================================
phase_selection = str(xl(%P2%)).strip().lower()
status_selection = str(xl(%P3%)).strip().lower()  # retained for interface consistency
# ============================================================
# PHASE FILTERING LOGIC
# ============================================================
if phase_selection in {"all", "", "none"}:
    phase_mask = df["Is_Allowed_Phase"] == True
else:
    phase_mask = (
        df["P"]
        .fillna("")
        .astype(str)
        .str.strip()
        .str.lower()
        .eq(phase_selection)
    )
# ============================================================
# STATUS FILTERING LOGIC (VACANT POPULATION ONLY)
# ============================================================
status_mask = df["Is_Vacant"] == True
# ============================================================
# APPLY FILTERS
# ============================================================
df = df.loc[phase_mask &amp; status_mask].copy()
# ============================================================
# PRESENTATION SAFETY
# ============================================================
df["DV"] = pd.to_numeric(df["DV"], errors="coerce")
df["Aging_Business_Days"] = pd.to_numeric(
    df["Aging_Business_Days"], errors="coerce"
)
df["Has_Alert"] = (
    df["Attention_Badge"]
    .fillna("")
    .astype(str)
    .str.strip()
    .ne("")
)
# ============================================================
# AGING BUCKETING (PRESENTATION ONLY)
# ============================================================
def aging_bucket(days):
    if pd.isna(days):
        return None
    if days &lt;= 14:
        return "0–14"
    if days &lt;= 30:
        return "15–30"
    if days &lt;= 60:
        return "31–60"
    if days &lt;= 120:
        return "61–120"
    return "120+"
df["Aging_Bucket"] = df["Aging_Business_Days"].apply(aging_bucket)
# ============================================================
# DERIVE READY / NOT READY (FROM STATUS_NORM)
# ============================================================
df["Is_Ready"] = df["Status_Norm"].eq("vacant ready")
df["Is_Not_Ready"] = df["Status_Norm"].eq("vacant not ready")
# ============================================================
# AGGREGATION
# ============================================================
agg = (
    df.groupby("Aging_Bucket", as_index=False)
      .agg(
          Units=("Aging_Bucket", "size"),
          Ready_Units=("Is_Ready", "sum"),
          Not_Ready_Units=("Is_Not_Ready", "sum"),
          Alert_Units=("Has_Alert", "sum"),
          Avg_Days_Vacant=("DV", "mean"),
      )
)
total_units = agg["Units"].sum()
agg["%% of Vacant"] = (agg["Units"] / total_units * 100).round(1)
agg["%% With Alert"] = (agg["Alert_Units"] / agg["Units"] * 100).round(1)
agg["Avg Days Vacant"] = agg["Avg_Days_Vacant"].round(1)
# ============================================================
# FINAL SHAPING
# ============================================================
AGING_ORDER = ["0–14", "15–30", "31–60", "61–120", "120+"]
order_map = {b: i for i, b in enumerate(AGING_ORDER)}
agg["_sort"] = agg["Aging_Bucket"].map(order_map).fillna(999).astype(int)
df_view = (
    agg.sort_values("_sort")
       .drop(columns=["_sort", "Alert_Units", "Avg_Days_Vacant"])
       .rename(columns={"Aging_Bucket": "Age Range"})
       .reset_index(drop=True)
)
# ============================================================
# DISPLAY FORMATTING
# ============================================================
df_view["%% of Vacant"] = df_view["%% of Vacant"].astype(str) + "%%"
df_view["%% With Alert"] = df_view["%% With Alert"].astype(str) + "%%"
df_view = df_view[
    [
        "Age Range",
        "Units",
        "%% of Vacant",
        "%% With Alert",
        "Avg Days Vacant",
        "Ready_Units",
        "Not_Ready_Units",
    ]
]
# ============================================================
# ADD TOTALS ROW (PRESENTATION ONLY)
# ============================================================
totals_row = {
    "Age Range": "TOTAL",
    "Units": str(df_view["Units"].astype(int).sum()),
    "%% of Vacant": "100%%",
    "%% With Alert": "",
    "Avg Days Vacant": "",
    "Ready_Units": str(df_view["Ready_Units"].astype(int).sum()),
    "Not_Ready_Units": str(df_view["Not_Ready_Units"].astype(int).sum()),
}
df_view = pd.concat(
    [df_view, pd.DataFrame([totals_row])],
    ignore_index=True
)
df_view = df_view.fillna("").astype(str)
df_view</code>
    </pythonScript>
    <pythonScript>
      <code>import pandas as pd
# ============================================================
# ENGINE OUTPUT
# ============================================================
df = df_out.copy()
# ============================================================
# REQUIRED COLUMNS
# ============================================================
REQUIRED_COLUMNS = [
    "Unit",
    "Status",
    "Status_Norm",
    "DV",
    "Is_Allowed_Phase",
    "P",
]
missing = [c for c in REQUIRED_COLUMNS if c not in df.columns]
if missing:
    raise ValueError(f"Missing required columns in engine output: {missing}")
# ============================================================
# EXCEL-DRIVEN INPUTS
# ============================================================
phase_selection = str(xl(%P2%)).strip().lower()
status_selection = str(xl(%P3%)).strip().lower()
# ============================================================
# PHASE FILTERING LOGIC
# ============================================================
if phase_selection in {"all", "", "none"}:
    phase_mask = df["Is_Allowed_Phase"] == True
else:
    phase_mask = (
        df["P"]
        .fillna("")
        .astype(str)
        .str.strip()
        .str.lower()
        .eq(phase_selection)
    )
# ============================================================
# STATUS FILTERING LOGIC (ENGINE-GROUPED)
# ============================================================
if status_selection in {"all", "", "none"}:
    allowed_statuses = {
        "vacant",
        "vacant ready",
        "vacant not ready",
        "smi",
        "on notice",
    }
elif status_selection == "vacant":
    allowed_statuses = {
        "vacant",
        "vacant ready",
        "vacant not ready",
    }
elif status_selection == "vacant ready":
    allowed_statuses = {"vacant ready"}
elif status_selection == "vacant not ready":
    allowed_statuses = {"vacant not ready"}
elif status_selection == "on notice":
    allowed_statuses = {"on notice"}
else:
    raise ValueError(f"Unknown status selection: {status_selection}")
status_mask = df["Status_Norm"].isin(allowed_statuses)
# ============================================================
# APPLY FILTERS
# ============================================================
df = df.loc[phase_mask &amp; status_mask].copy()
# ============================================================
# PRESENTATION SAFETY
# ============================================================
df["DV"] = pd.to_numeric(df["DV"], errors="coerce")
# ============================================================
# AGING BUCKETING (BY DV ONLY)
# ============================================================
def aging_bucket(dv):
    if pd.isna(dv):
        return None
    if dv &lt;= 10:
        return "1–10"
    if dv &lt;= 20:
        return "11–20"
    if dv &lt;= 30:
        return "21–30"
    if dv &lt;= 60:
        return "31–60"
    if dv &lt;= 120:
        return "61–120"
    return "120+"
df["Aging_Bucket"] = df["DV"].apply(aging_bucket)
AGING_ORDER = ["1–10", "11–20", "21–30", "31–60", "61–120", "120+"]
# ============================================================
# BUILD AGING BUCKET COLUMNS
# ============================================================
columns = {}
max_len = 0
for bucket in AGING_ORDER:
    bucket_df = df[df["Aging_Bucket"] == bucket].copy()
    # Sort highest DV first (like your screenshot)
    bucket_df = bucket_df.sort_values("DV", ascending=False)
    units = bucket_df.apply(
        lambda r: f"{r['Unit']} ({r['Status']}) | DV-{int(r['DV']) if pd.notna(r['DV']) else '—'}",
        axis=1
    ).tolist()
    columns[bucket] = units
    max_len = max(max_len, len(units))
# Pad columns for Excel spill alignment
for k in columns:
    columns[k] += [""] * (max_len - len(columns[k]))
# ============================================================
# OUTPUT
# ============================================================
df_view = pd.DataFrame(columns).fillna("").astype(str)
df_view</code>
    </pythonScript>
  </pythonScripts>
</python>
</file>

<file path=xl/sharedStrings.xml><?xml version="1.0" encoding="utf-8"?>
<sst xmlns="http://schemas.openxmlformats.org/spreadsheetml/2006/main" count="1318" uniqueCount="203">
  <si>
    <t>Done</t>
  </si>
  <si>
    <t xml:space="preserve">Yes stack </t>
  </si>
  <si>
    <t>Total</t>
  </si>
  <si>
    <t>Scheduled</t>
  </si>
  <si>
    <t>In Progress</t>
  </si>
  <si>
    <t>Vacant not ready</t>
  </si>
  <si>
    <t>Notes</t>
  </si>
  <si>
    <t>U</t>
  </si>
  <si>
    <t>B</t>
  </si>
  <si>
    <t>P</t>
  </si>
  <si>
    <t>QC</t>
  </si>
  <si>
    <t>W_D</t>
  </si>
  <si>
    <t>Assign</t>
  </si>
  <si>
    <t>CC_status</t>
  </si>
  <si>
    <t>CC</t>
  </si>
  <si>
    <t>HK_Status</t>
  </si>
  <si>
    <t>HK</t>
  </si>
  <si>
    <t>MR_Status</t>
  </si>
  <si>
    <t>MR</t>
  </si>
  <si>
    <t>Paint_status</t>
  </si>
  <si>
    <t>Paint</t>
  </si>
  <si>
    <t xml:space="preserve">Insp_status </t>
  </si>
  <si>
    <t>Insp</t>
  </si>
  <si>
    <t>N/V/M</t>
  </si>
  <si>
    <t>DTBR</t>
  </si>
  <si>
    <t>Move_in</t>
  </si>
  <si>
    <t>DV</t>
  </si>
  <si>
    <t>Ready_Date</t>
  </si>
  <si>
    <t xml:space="preserve">Move_out </t>
  </si>
  <si>
    <t>Status</t>
  </si>
  <si>
    <t xml:space="preserve">Unit </t>
  </si>
  <si>
    <t>Blocked</t>
  </si>
  <si>
    <t>All</t>
  </si>
  <si>
    <t xml:space="preserve"> </t>
  </si>
  <si>
    <t xml:space="preserve">On Notice </t>
  </si>
  <si>
    <t>Miguel  A</t>
  </si>
  <si>
    <t>No</t>
  </si>
  <si>
    <t xml:space="preserve">next month </t>
  </si>
  <si>
    <t>Not Started</t>
  </si>
  <si>
    <t>Brad</t>
  </si>
  <si>
    <t xml:space="preserve">next week </t>
  </si>
  <si>
    <t>Vacant ready</t>
  </si>
  <si>
    <t xml:space="preserve">Michael </t>
  </si>
  <si>
    <t>Yes</t>
  </si>
  <si>
    <t>today ,this week</t>
  </si>
  <si>
    <t xml:space="preserve">QC </t>
  </si>
  <si>
    <t>PH</t>
  </si>
  <si>
    <t>Status apt</t>
  </si>
  <si>
    <t>W/D</t>
  </si>
  <si>
    <t>Move ins</t>
  </si>
  <si>
    <t>Data</t>
  </si>
  <si>
    <t>Trafomers</t>
  </si>
  <si>
    <t>Phases</t>
  </si>
  <si>
    <t>TS</t>
  </si>
  <si>
    <t>Vacant Units Overview</t>
  </si>
  <si>
    <t xml:space="preserve">Walking  Path </t>
  </si>
  <si>
    <t>Unit 5-12-0307</t>
  </si>
  <si>
    <t>Unit 5-18-0116</t>
  </si>
  <si>
    <t>Unit 5-18-0238</t>
  </si>
  <si>
    <t>Unit 8-01-3001</t>
  </si>
  <si>
    <t>Unit 5-18-0422</t>
  </si>
  <si>
    <t>Unit 8-01-2001</t>
  </si>
  <si>
    <t>Unit 5-15-0305</t>
  </si>
  <si>
    <t>Unit 5-18-0222</t>
  </si>
  <si>
    <t>Unit 7-09-0107</t>
  </si>
  <si>
    <t>Unit 7-02-0202</t>
  </si>
  <si>
    <t>Unit 5-18-0202</t>
  </si>
  <si>
    <t>Unit 7-10-0303</t>
  </si>
  <si>
    <t>Unit 8-01-3013</t>
  </si>
  <si>
    <t>Unit 5-18-0117</t>
  </si>
  <si>
    <t>Unit 5-11-0106</t>
  </si>
  <si>
    <t>Unit 5-17-0119</t>
  </si>
  <si>
    <t>Unit 8-01-1109</t>
  </si>
  <si>
    <t>Unit 7-11-0315</t>
  </si>
  <si>
    <t>Unit 8-01-2012</t>
  </si>
  <si>
    <t>Unit 5-02-0109</t>
  </si>
  <si>
    <t>Unit 7-02-0303</t>
  </si>
  <si>
    <t>Unit 7-04-0303</t>
  </si>
  <si>
    <t>Unit 5-01-0221</t>
  </si>
  <si>
    <t>Unit 5-18-0342</t>
  </si>
  <si>
    <t>Unit 7-02-0302</t>
  </si>
  <si>
    <t>Unit 7-09-0111</t>
  </si>
  <si>
    <t>Unit 7-07-0104</t>
  </si>
  <si>
    <t>Unit 7-11-0318</t>
  </si>
  <si>
    <t>Unit 8-01-3096</t>
  </si>
  <si>
    <t>Unit 5-18-0218</t>
  </si>
  <si>
    <t>Unit 7-10-0302</t>
  </si>
  <si>
    <t>Unit 5-17-0215</t>
  </si>
  <si>
    <t>Unit 5-17-0311</t>
  </si>
  <si>
    <t>Unit 8-01-3086</t>
  </si>
  <si>
    <t>Unit 8-01-4058</t>
  </si>
  <si>
    <t>Unit 5-04-5760</t>
  </si>
  <si>
    <t>Unit 5-18-0146</t>
  </si>
  <si>
    <t>Unit 5-18-0206</t>
  </si>
  <si>
    <t>Unit 5-17-0310</t>
  </si>
  <si>
    <t>Unit 7-02-0116</t>
  </si>
  <si>
    <t>Unit 7-TH1-0104</t>
  </si>
  <si>
    <t>Unit 8-01-2034</t>
  </si>
  <si>
    <t>Unit 8-01-1048</t>
  </si>
  <si>
    <t>Unit 8-01-3008</t>
  </si>
  <si>
    <t>Unit 8-01-1049</t>
  </si>
  <si>
    <t>Unit 5-15-0102</t>
  </si>
  <si>
    <t>Unit 5-18-0310</t>
  </si>
  <si>
    <t>Unit 8-01-3107</t>
  </si>
  <si>
    <t>Unit 5-02-0306</t>
  </si>
  <si>
    <t>Unit 7-10-0306</t>
  </si>
  <si>
    <t>Unit 5-09-0109</t>
  </si>
  <si>
    <t>Unit 7-03-0109</t>
  </si>
  <si>
    <t>Unit 7-TH1-0101</t>
  </si>
  <si>
    <t>Unit 5-18-0346</t>
  </si>
  <si>
    <t>Unit 7-11-0416</t>
  </si>
  <si>
    <t>Unit 7-07-0202</t>
  </si>
  <si>
    <t>Unit 7-10-0107</t>
  </si>
  <si>
    <t>Unit 8-01-3040</t>
  </si>
  <si>
    <t>Unit 5-03-0227</t>
  </si>
  <si>
    <t>Unit 5-10-0203</t>
  </si>
  <si>
    <t>Unit 8-01-2041</t>
  </si>
  <si>
    <t>Unit 5-17-0207</t>
  </si>
  <si>
    <t>Unit 8-01-3036</t>
  </si>
  <si>
    <t>Unit 7-07-0107</t>
  </si>
  <si>
    <t>Unit 7-10-0203</t>
  </si>
  <si>
    <t>Unit 7-04-0305</t>
  </si>
  <si>
    <t>Unit 7-04-0311</t>
  </si>
  <si>
    <t>yes</t>
  </si>
  <si>
    <t>[ISSUE:Wether | weather storm  freezes]</t>
  </si>
  <si>
    <t>[HOLD:Bad Turn| apartmet dmage ]</t>
  </si>
  <si>
    <t>Miguel G</t>
  </si>
  <si>
    <t>Unit Search ------&gt;&gt;&gt;&gt;&gt;</t>
  </si>
  <si>
    <t>Unit 8-01-2083</t>
  </si>
  <si>
    <t xml:space="preserve">Age Report </t>
  </si>
  <si>
    <t>Alert</t>
  </si>
  <si>
    <t>Move-in risk</t>
  </si>
  <si>
    <t>Qc hold</t>
  </si>
  <si>
    <t>Work stalled</t>
  </si>
  <si>
    <t>Needs attention</t>
  </si>
  <si>
    <t>Scheduled to move in</t>
  </si>
  <si>
    <t>On notice - scheduled</t>
  </si>
  <si>
    <t>On notice</t>
  </si>
  <si>
    <t>In progress</t>
  </si>
  <si>
    <t>Pending start</t>
  </si>
  <si>
    <t>Apartment ready</t>
  </si>
  <si>
    <t>Out of scope</t>
  </si>
  <si>
    <t>Vacant</t>
  </si>
  <si>
    <t>Unit 5-17-0114</t>
  </si>
  <si>
    <t>Unit 5-03-0427</t>
  </si>
  <si>
    <t>Unit 5-02-0305</t>
  </si>
  <si>
    <t>Unit 5-18-0131</t>
  </si>
  <si>
    <t>Unit 5-02-0301</t>
  </si>
  <si>
    <t>Unit 7-06-0106</t>
  </si>
  <si>
    <t>Unit 5-17-0202</t>
  </si>
  <si>
    <t>Unit 5-11-0303</t>
  </si>
  <si>
    <t>Unit 7-02-0201</t>
  </si>
  <si>
    <t>[HOLD:Microwave| dmage ]</t>
  </si>
  <si>
    <t>Unit 7-04-0308</t>
  </si>
  <si>
    <t>Unit 5-18-0125</t>
  </si>
  <si>
    <t>Unit 5-17-0204</t>
  </si>
  <si>
    <t>Unit 8-01-1001</t>
  </si>
  <si>
    <t>Unit 8-01-2011</t>
  </si>
  <si>
    <t>Unit 5-18-0439</t>
  </si>
  <si>
    <t>Unit 7-10-0101</t>
  </si>
  <si>
    <t>Unit 7-TH1-0102</t>
  </si>
  <si>
    <t>Unit 7-03-0304</t>
  </si>
  <si>
    <t>Unit 8-01-3030</t>
  </si>
  <si>
    <t>Unit 8-01-2007</t>
  </si>
  <si>
    <t>Unit 5-13-0305</t>
  </si>
  <si>
    <t>Unit 5-12-0303</t>
  </si>
  <si>
    <t>Unit 5-18-0221</t>
  </si>
  <si>
    <t>Unit 8-01-3083</t>
  </si>
  <si>
    <t>Unit 5-17-0316</t>
  </si>
  <si>
    <t>Unit 8-01-1089</t>
  </si>
  <si>
    <t>Unit 5-13-0207</t>
  </si>
  <si>
    <t>Unit 5-18-0234</t>
  </si>
  <si>
    <t>Unit 8-01-4051</t>
  </si>
  <si>
    <t>Unit 8-01-4124</t>
  </si>
  <si>
    <t>Unit 5-01-0206</t>
  </si>
  <si>
    <t>Unit 7-08-0306</t>
  </si>
  <si>
    <t>Unit 5-10-0302</t>
  </si>
  <si>
    <t>Unit 8-01-1122</t>
  </si>
  <si>
    <t>Unit 8-01-2010</t>
  </si>
  <si>
    <t>Unit 8-01-2053</t>
  </si>
  <si>
    <t>Unit 5-18-0413</t>
  </si>
  <si>
    <t>Unit 7-03-0308</t>
  </si>
  <si>
    <t>Unit 8-01-1119</t>
  </si>
  <si>
    <t>Unit 5-15-0205</t>
  </si>
  <si>
    <t>Unit 5-17-0209</t>
  </si>
  <si>
    <t>Unit 8-01-4110</t>
  </si>
  <si>
    <t>Unit 8-01-4017</t>
  </si>
  <si>
    <t>Unit 5-16-0203</t>
  </si>
  <si>
    <t>Unit 7-03-0118</t>
  </si>
  <si>
    <t>Unit 8-01-2094</t>
  </si>
  <si>
    <t>Unit 7-11-0202</t>
  </si>
  <si>
    <t>Unit 5-13-0203</t>
  </si>
  <si>
    <t>Unit 7-04-0201</t>
  </si>
  <si>
    <t>Unit 7-03-0218</t>
  </si>
  <si>
    <t>Unit 7-07-0208</t>
  </si>
  <si>
    <t>Unit 8-01-2074</t>
  </si>
  <si>
    <t>Unit 5-13-0306</t>
  </si>
  <si>
    <t>Unit 7-11-0411</t>
  </si>
  <si>
    <t>Unit 7-07-0109</t>
  </si>
  <si>
    <t>Unit 5-15-0204</t>
  </si>
  <si>
    <t>Unit 8-01-3082</t>
  </si>
  <si>
    <t>Unit 8-01-4008</t>
  </si>
  <si>
    <t>Unit 7-06-0209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</si>
</sst>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/d/yy"/>
  </numFmts>
  <fonts count="21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18"/>
      <color theme="1"/>
      <name val="Aptos Narrow"/>
      <scheme val="minor"/>
    </font>
    <font>
      <sz val="22"/>
      <color theme="1"/>
      <name val="Aptos Narrow"/>
      <family val="2"/>
      <scheme val="minor"/>
    </font>
    <font>
      <b/>
      <sz val="24"/>
      <color theme="1"/>
      <name val="Aptos Narrow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E4D7F5"/>
        <bgColor indexed="64"/>
      </patternFill>
    </fill>
    <fill>
      <patternFill patternType="solid">
        <fgColor rgb="FFE7F3F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1"/>
        <bgColor theme="1"/>
      </patternFill>
    </fill>
  </fills>
  <borders count="3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7" fillId="2" borderId="0" xfId="0" applyFont="1" applyFill="1" applyAlignment="1">
      <alignment horizontal="left"/>
    </xf>
    <xf numFmtId="14" fontId="7" fillId="2" borderId="0" xfId="0" applyNumberFormat="1" applyFont="1" applyFill="1" applyAlignment="1">
      <alignment horizontal="left"/>
    </xf>
    <xf numFmtId="164" fontId="7" fillId="2" borderId="0" xfId="0" applyNumberFormat="1" applyFont="1" applyFill="1" applyAlignment="1">
      <alignment horizontal="left"/>
    </xf>
    <xf numFmtId="0" fontId="6" fillId="0" borderId="0" xfId="0" applyFont="1"/>
    <xf numFmtId="14" fontId="0" fillId="0" borderId="0" xfId="0" applyNumberFormat="1"/>
    <xf numFmtId="0" fontId="0" fillId="0" borderId="2" xfId="0" applyBorder="1"/>
    <xf numFmtId="0" fontId="0" fillId="0" borderId="1" xfId="0" applyBorder="1"/>
    <xf numFmtId="0" fontId="8" fillId="3" borderId="1" xfId="0" applyFont="1" applyFill="1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9" fillId="5" borderId="1" xfId="0" applyFont="1" applyFill="1" applyBorder="1"/>
    <xf numFmtId="0" fontId="9" fillId="6" borderId="1" xfId="0" applyFont="1" applyFill="1" applyBorder="1"/>
    <xf numFmtId="0" fontId="9" fillId="7" borderId="1" xfId="0" applyFont="1" applyFill="1" applyBorder="1"/>
    <xf numFmtId="0" fontId="9" fillId="8" borderId="1" xfId="0" applyFont="1" applyFill="1" applyBorder="1"/>
    <xf numFmtId="0" fontId="9" fillId="9" borderId="1" xfId="0" applyFont="1" applyFill="1" applyBorder="1"/>
    <xf numFmtId="0" fontId="9" fillId="10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164" fontId="4" fillId="11" borderId="2" xfId="0" applyNumberFormat="1" applyFont="1" applyFill="1" applyBorder="1" applyAlignment="1">
      <alignment horizontal="left"/>
    </xf>
    <xf numFmtId="0" fontId="5" fillId="2" borderId="3" xfId="0" applyFont="1" applyFill="1" applyBorder="1"/>
    <xf numFmtId="0" fontId="9" fillId="0" borderId="0" xfId="0" applyFont="1"/>
    <xf numFmtId="0" fontId="5" fillId="2" borderId="4" xfId="0" applyFont="1" applyFill="1" applyBorder="1"/>
    <xf numFmtId="0" fontId="5" fillId="2" borderId="5" xfId="0" applyFont="1" applyFill="1" applyBorder="1"/>
    <xf numFmtId="0" fontId="4" fillId="11" borderId="6" xfId="0" applyFont="1" applyFill="1" applyBorder="1"/>
    <xf numFmtId="14" fontId="4" fillId="11" borderId="7" xfId="0" applyNumberFormat="1" applyFont="1" applyFill="1" applyBorder="1"/>
    <xf numFmtId="0" fontId="5" fillId="2" borderId="0" xfId="0" applyFont="1" applyFill="1"/>
    <xf numFmtId="0" fontId="11" fillId="0" borderId="0" xfId="0" applyFont="1"/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7" fillId="2" borderId="0" xfId="0" applyFont="1" applyFill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3" xfId="0" applyBorder="1" applyAlignment="1">
      <alignment horizontal="center" wrapText="1"/>
    </xf>
    <xf numFmtId="0" fontId="5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9" fillId="0" borderId="8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5" fillId="2" borderId="14" xfId="0" applyFont="1" applyFill="1" applyBorder="1"/>
    <xf numFmtId="0" fontId="0" fillId="0" borderId="15" xfId="0" applyBorder="1"/>
    <xf numFmtId="0" fontId="0" fillId="0" borderId="15" xfId="0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</cellXfs>
  <cellStyles count="1">
    <cellStyle name="Normal" xfId="0" builtinId="0"/>
  </cellStyles>
  <dxfs count="32">
    <dxf>
      <numFmt numFmtId="165" formatCode="m/d/yy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m/d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m/d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;@"/>
      <alignment horizontal="center" vertical="bottom" textRotation="0" wrapText="0" indent="0" justifyLastLine="0" shrinkToFit="0" readingOrder="0"/>
    </dxf>
    <dxf>
      <numFmt numFmtId="164" formatCode="m/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ichStyles" Target="richData/richStyles.xml"/><Relationship Id="rId1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Array" Target="richData/rdarray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1.xml"/><Relationship Id="rId15" Type="http://schemas.microsoft.com/office/2017/06/relationships/rdSupportingPropertyBag" Target="richData/rdsupportingpropertybag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guelgonzalez\Library\CloudStorage\GoogleDrive-mg.systems.dev@gmail.com\My%20Drive\off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Validation"/>
    </sheetNames>
    <sheetDataSet>
      <sheetData sheetId="0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2" c="12">
    <v t="s"/>
    <v t="s">Unit</v>
    <v t="s">Status</v>
    <v t="s">Move_out</v>
    <v t="s">Ready_Date</v>
    <v t="s">DV</v>
    <v t="s">...</v>
    <v t="s">Task_State</v>
    <v t="s">Task_Completion_Ratio</v>
    <v t="s">Table_Current_Task</v>
    <v t="s">Table_Next_Task</v>
    <v t="s">Is_Task_Stalled</v>
    <v>0</v>
    <v t="s">Unit 5-02-0301</v>
    <v t="s">Vacant ready</v>
    <v t="r">0</v>
    <v t="r">1</v>
    <v>47</v>
    <v t="s">...</v>
    <v t="s">All Tasks Complete</v>
    <v>100</v>
    <v t="s">Inspection</v>
    <v t="s">Paint</v>
    <v t="b">0</v>
    <v>1</v>
    <v t="s">Unit 8-01-4058</v>
    <v t="s">Vacant ready</v>
    <v t="r">2</v>
    <v t="r">3</v>
    <v>30</v>
    <v t="s">...</v>
    <v t="s">All Tasks Complete</v>
    <v>100</v>
    <v t="s">Inspection</v>
    <v t="s">Paint</v>
    <v t="b">0</v>
    <v>2</v>
    <v t="s">Unit 8-01-3008</v>
    <v t="s">Vacant not ready</v>
    <v t="r">4</v>
    <v t="r">5</v>
    <v>13</v>
    <v t="s">...</v>
    <v t="s">In Progress</v>
    <v>20</v>
    <v t="s">Paint</v>
    <v t="s">MR</v>
    <v t="b">0</v>
    <v>3</v>
    <v t="s">Unit 5-18-0131</v>
    <v t="s">Vacant not ready</v>
    <v t="r">6</v>
    <v t="r">7</v>
    <v>12</v>
    <v t="s">...</v>
    <v t="s">In Progress</v>
    <v>20</v>
    <v t="s">Paint</v>
    <v t="s">MR</v>
    <v t="b">0</v>
    <v>4</v>
    <v t="s">Unit 8-01-1049</v>
    <v t="s">Vacant not ready</v>
    <v t="r">6</v>
    <v t="r">7</v>
    <v>12</v>
    <v t="s">...</v>
    <v t="s">In Progress</v>
    <v>20</v>
    <v t="s">Paint</v>
    <v t="s">MR</v>
    <v t="b">0</v>
    <v t="s">...</v>
    <v t="s">...</v>
    <v t="s">...</v>
    <v t="s">...</v>
    <v t="s">...</v>
    <v t="s">...</v>
    <v t="s">...</v>
    <v t="s">...</v>
    <v t="s">...</v>
    <v t="s">...</v>
    <v t="s">...</v>
    <v t="s">...</v>
    <v>123</v>
    <v t="s">Unit 7-03-0118</v>
    <v t="s" xml:space="preserve">On Notice </v>
    <v t="r">8</v>
    <v t="r">9</v>
    <v>-69</v>
    <v t="s">...</v>
    <v t="s">Not Started</v>
    <v>0</v>
    <v t="s">Inspection</v>
    <v t="s">Paint</v>
    <v t="b">0</v>
    <v>124</v>
    <v t="s">Unit 8-01-2094</v>
    <v t="s" xml:space="preserve">On Notice </v>
    <v t="r">10</v>
    <v t="r">11</v>
    <v>-70</v>
    <v t="s">...</v>
    <v t="s">Not Started</v>
    <v>0</v>
    <v t="s">Inspection</v>
    <v t="s">Paint</v>
    <v t="b">0</v>
    <v>125</v>
    <v t="s">Unit 7-11-0202</v>
    <v t="s" xml:space="preserve">On Notice </v>
    <v t="r">12</v>
    <v t="r">13</v>
    <v>-83</v>
    <v t="s">...</v>
    <v t="s">Not Started</v>
    <v>0</v>
    <v t="s">Inspection</v>
    <v t="s">Paint</v>
    <v t="b">0</v>
    <v>126</v>
    <v t="s">Unit 5-13-0203</v>
    <v t="s" xml:space="preserve">On Notice </v>
    <v t="r">14</v>
    <v t="r">15</v>
    <v>-104</v>
    <v t="s">...</v>
    <v t="s">Not Started</v>
    <v>0</v>
    <v t="s">Inspection</v>
    <v t="s">Paint</v>
    <v t="b">0</v>
    <v>127</v>
    <v t="s">Unit 7-04-0201</v>
    <v t="s" xml:space="preserve">On Notice </v>
    <v t="r">14</v>
    <v t="r">15</v>
    <v>-104</v>
    <v t="s">...</v>
    <v t="s">Not Started</v>
    <v>0</v>
    <v t="s">Inspection</v>
    <v t="s">Paint</v>
    <v t="b">0</v>
  </a>
  <a r="12" c="12">
    <v t="s"/>
    <v t="s">Unit</v>
    <v t="s">Status</v>
    <v t="s">Move_out</v>
    <v t="s">Ready_Date</v>
    <v t="s">DV</v>
    <v t="s">...</v>
    <v t="s">Is_Unit_Ready_For_Moving</v>
    <v t="s">In_Turn_Execution</v>
    <v t="s">Operational_State</v>
    <v t="s">Prevention_Risk_Flag</v>
    <v t="s">Attention_Badge</v>
    <v>0</v>
    <v t="s">Unit 5-02-0301</v>
    <v t="s">Vacant ready</v>
    <v t="r">0</v>
    <v t="r">1</v>
    <v>47</v>
    <v t="s">...</v>
    <v t="b">0</v>
    <v t="b">0</v>
    <v t="s">QC Hold</v>
    <v t="b">0</v>
    <v t="s">📅 Scheduled to Move In</v>
    <v>1</v>
    <v t="s">Unit 8-01-4058</v>
    <v t="s">Vacant ready</v>
    <v t="r">2</v>
    <v t="r">3</v>
    <v>30</v>
    <v t="s">...</v>
    <v t="b">0</v>
    <v t="b">0</v>
    <v t="s">QC Hold</v>
    <v t="b">0</v>
    <v t="s">📅 Scheduled to Move In</v>
    <v>2</v>
    <v t="s">Unit 8-01-3008</v>
    <v t="s">Vacant not ready</v>
    <v t="r">4</v>
    <v t="r">5</v>
    <v>13</v>
    <v t="s">...</v>
    <v t="b">0</v>
    <v t="b">0</v>
    <v t="s">In Progress</v>
    <v t="b">0</v>
    <v t="s">📅 Scheduled to Move In</v>
    <v>3</v>
    <v t="s">Unit 5-18-0131</v>
    <v t="s">Vacant not ready</v>
    <v t="r">6</v>
    <v t="r">7</v>
    <v>12</v>
    <v t="s">...</v>
    <v t="b">0</v>
    <v t="b">0</v>
    <v t="s">In Progress</v>
    <v t="b">0</v>
    <v t="s">📅 Scheduled to Move In</v>
    <v>4</v>
    <v t="s">Unit 8-01-1049</v>
    <v t="s">Vacant not ready</v>
    <v t="r">6</v>
    <v t="r">7</v>
    <v>12</v>
    <v t="s">...</v>
    <v t="b">0</v>
    <v t="b">0</v>
    <v t="s">In Progress</v>
    <v t="b">0</v>
    <v t="s">📅 Scheduled to Move In</v>
    <v t="s">...</v>
    <v t="s">...</v>
    <v t="s">...</v>
    <v t="s">...</v>
    <v t="s">...</v>
    <v t="s">...</v>
    <v t="s">...</v>
    <v t="s">...</v>
    <v t="s">...</v>
    <v t="s">...</v>
    <v t="s">...</v>
    <v t="s">...</v>
    <v>123</v>
    <v t="s">Unit 7-03-0118</v>
    <v t="s" xml:space="preserve">On Notice </v>
    <v t="r">8</v>
    <v t="r">9</v>
    <v>-69</v>
    <v t="s">...</v>
    <v t="b">0</v>
    <v t="b">0</v>
    <v t="s">On Notice</v>
    <v t="b">0</v>
    <v t="s">📋 On Notice</v>
    <v>124</v>
    <v t="s">Unit 8-01-2094</v>
    <v t="s" xml:space="preserve">On Notice </v>
    <v t="r">10</v>
    <v t="r">11</v>
    <v>-70</v>
    <v t="s">...</v>
    <v t="b">0</v>
    <v t="b">0</v>
    <v t="s">On Notice</v>
    <v t="b">0</v>
    <v t="s">📋 On Notice</v>
    <v>125</v>
    <v t="s">Unit 7-11-0202</v>
    <v t="s" xml:space="preserve">On Notice </v>
    <v t="r">12</v>
    <v t="r">13</v>
    <v>-83</v>
    <v t="s">...</v>
    <v t="b">0</v>
    <v t="b">0</v>
    <v t="s">On Notice</v>
    <v t="b">0</v>
    <v t="s">📋 On Notice</v>
    <v>126</v>
    <v t="s">Unit 5-13-0203</v>
    <v t="s" xml:space="preserve">On Notice </v>
    <v t="r">14</v>
    <v t="r">15</v>
    <v>-104</v>
    <v t="s">...</v>
    <v t="b">0</v>
    <v t="b">0</v>
    <v t="s">On Notice</v>
    <v t="b">0</v>
    <v t="s">📋 On Notice</v>
    <v>127</v>
    <v t="s">Unit 7-04-0201</v>
    <v t="s" xml:space="preserve">On Notice </v>
    <v t="r">14</v>
    <v t="r">15</v>
    <v>-104</v>
    <v t="s">...</v>
    <v t="b">0</v>
    <v t="b">0</v>
    <v t="s">On Notice</v>
    <v t="b">0</v>
    <v t="s">📋 On Notice</v>
  </a>
</arrayData>
</file>

<file path=xl/richData/rdrichvalue.xml><?xml version="1.0" encoding="utf-8"?>
<rvData xmlns="http://schemas.microsoft.com/office/spreadsheetml/2017/richdata" count="199">
  <rv s="0">
    <fb>46023</fb>
    <v>2</v>
  </rv>
  <rv s="0">
    <fb>46032</fb>
    <v>2</v>
  </rv>
  <rv s="0">
    <fb>46040</fb>
    <v>2</v>
  </rv>
  <rv s="0">
    <fb>46053</fb>
    <v>2</v>
  </rv>
  <rv s="0">
    <fb>46057</fb>
    <v>2</v>
  </rv>
  <rv s="0">
    <fb>46067</fb>
    <v>2</v>
  </rv>
  <rv s="0">
    <fb>46058</fb>
    <v>2</v>
  </rv>
  <rv s="0">
    <fb>46068</fb>
    <v>2</v>
  </rv>
  <rv s="0">
    <fb>46139</fb>
    <v>2</v>
  </rv>
  <rv s="0">
    <fb>46151</fb>
    <v>2</v>
  </rv>
  <rv s="0">
    <fb>46140</fb>
    <v>2</v>
  </rv>
  <rv s="0">
    <fb>46154</fb>
    <v>2</v>
  </rv>
  <rv s="0">
    <fb>46153</fb>
    <v>2</v>
  </rv>
  <rv s="0">
    <fb>46165</fb>
    <v>2</v>
  </rv>
  <rv s="0">
    <fb>46174</fb>
    <v>2</v>
  </rv>
  <rv s="0">
    <fb>46186</fb>
    <v>2</v>
  </rv>
  <rv s="1">
    <v>0</v>
  </rv>
  <rv s="2">
    <v>DataFrame</v>
    <v>1</v>
    <v>16</v>
  </rv>
  <rv s="3">
    <v>&lt;class 'pandas.core.frame.DataFrame'&gt;</v>
    <v>DataFrame</v>
    <v xml:space="preserve">               Unit            Status   Move_out Ready_Date   DV    Move_in  \
0    Unit 5-02-0301      Vacant ready 2026-01-01 2026-01-10   47 2026-02-17   
1    Unit 8-01-4058      Vacant ready 2026-01-18 2026-01-31   30 2026-02-18   
2    Unit 8-01-...</v>
    <v>17</v>
    <v>3</v>
  </rv>
  <rv s="1">
    <v>1</v>
  </rv>
  <rv s="2">
    <v>DataFrame</v>
    <v>5</v>
    <v>19</v>
  </rv>
  <rv s="3">
    <v>&lt;class 'pandas.core.frame.DataFrame'&gt;</v>
    <v>DataFrame</v>
    <v xml:space="preserve">               Unit            Status   Move_out Ready_Date   DV    Move_in  \
0    Unit 5-02-0301      Vacant ready 2026-01-01 2026-01-10   47 2026-02-17   
1    Unit 8-01-4058      Vacant ready 2026-01-18 2026-01-31   30 2026-02-18   
2    Unit 8-01-...</v>
    <v>20</v>
    <v>3</v>
  </rv>
  <rv s="0">
    <fb>45748</fb>
    <v>2</v>
  </rv>
  <rv s="0">
    <fb>46081</fb>
    <v>2</v>
  </rv>
  <rv s="0">
    <fb>45749</fb>
    <v>2</v>
  </rv>
  <rv s="0">
    <fb>45750</fb>
    <v>2</v>
  </rv>
  <rv s="0">
    <fb>45751</fb>
    <v>2</v>
  </rv>
  <rv s="0">
    <fb>45756</fb>
    <v>2</v>
  </rv>
  <rv s="0">
    <fb>45757</fb>
    <v>2</v>
  </rv>
  <rv s="0">
    <fb>45744</fb>
    <v>2</v>
  </rv>
  <rv s="0">
    <fb>0</fb>
    <v>6</v>
  </rv>
  <rv s="0">
    <fb>45817</fb>
    <v>2</v>
  </rv>
  <rv s="0">
    <fb>45826</fb>
    <v>2</v>
  </rv>
  <rv s="0">
    <fb>45818</fb>
    <v>2</v>
  </rv>
  <rv s="0">
    <fb>45819</fb>
    <v>2</v>
  </rv>
  <rv s="0">
    <fb>45820</fb>
    <v>2</v>
  </rv>
  <rv s="0">
    <fb>45825</fb>
    <v>2</v>
  </rv>
  <rv s="0">
    <fb>45846</fb>
    <v>2</v>
  </rv>
  <rv s="0">
    <fb>45860</fb>
    <v>2</v>
  </rv>
  <rv s="0">
    <fb>45847</fb>
    <v>2</v>
  </rv>
  <rv s="0">
    <fb>45848</fb>
    <v>2</v>
  </rv>
  <rv s="0">
    <fb>45849</fb>
    <v>2</v>
  </rv>
  <rv s="0">
    <fb>45854</fb>
    <v>2</v>
  </rv>
  <rv s="0">
    <fb>45855</fb>
    <v>2</v>
  </rv>
  <rv s="0">
    <fb>45869</fb>
    <v>2</v>
  </rv>
  <rv s="0">
    <fb>45985</fb>
    <v>2</v>
  </rv>
  <rv s="0">
    <fb>45870</fb>
    <v>2</v>
  </rv>
  <rv s="0">
    <fb>45873</fb>
    <v>2</v>
  </rv>
  <rv s="0">
    <fb>45874</fb>
    <v>2</v>
  </rv>
  <rv s="0">
    <fb>45877</fb>
    <v>2</v>
  </rv>
  <rv s="0">
    <fb>45880</fb>
    <v>2</v>
  </rv>
  <rv s="0">
    <fb>45914</fb>
    <v>2</v>
  </rv>
  <rv s="0">
    <fb>45925</fb>
    <v>2</v>
  </rv>
  <rv s="0">
    <fb>45915</fb>
    <v>2</v>
  </rv>
  <rv s="0">
    <fb>45916</fb>
    <v>2</v>
  </rv>
  <rv s="0">
    <fb>45917</fb>
    <v>2</v>
  </rv>
  <rv s="0">
    <fb>45922</fb>
    <v>2</v>
  </rv>
  <rv s="0">
    <fb>45923</fb>
    <v>2</v>
  </rv>
  <rv s="0">
    <fb>45939</fb>
    <v>2</v>
  </rv>
  <rv s="0">
    <fb>46002</fb>
    <v>2</v>
  </rv>
  <rv s="0">
    <fb>45940</fb>
    <v>2</v>
  </rv>
  <rv s="0">
    <fb>45943</fb>
    <v>2</v>
  </rv>
  <rv s="0">
    <fb>45944</fb>
    <v>2</v>
  </rv>
  <rv s="0">
    <fb>45947</fb>
    <v>2</v>
  </rv>
  <rv s="0">
    <fb>45950</fb>
    <v>2</v>
  </rv>
  <rv s="0">
    <fb>45946</fb>
    <v>2</v>
  </rv>
  <rv s="0">
    <fb>45954</fb>
    <v>2</v>
  </rv>
  <rv s="0">
    <fb>45951</fb>
    <v>2</v>
  </rv>
  <rv s="0">
    <fb>45957</fb>
    <v>2</v>
  </rv>
  <rv s="0">
    <fb>45961</fb>
    <v>2</v>
  </rv>
  <rv s="0">
    <fb>45977</fb>
    <v>2</v>
  </rv>
  <rv s="0">
    <fb>45964</fb>
    <v>2</v>
  </rv>
  <rv s="0">
    <fb>45965</fb>
    <v>2</v>
  </rv>
  <rv s="0">
    <fb>45966</fb>
    <v>2</v>
  </rv>
  <rv s="0">
    <fb>45971</fb>
    <v>2</v>
  </rv>
  <rv s="0">
    <fb>45972</fb>
    <v>2</v>
  </rv>
  <rv s="0">
    <fb>46003</fb>
    <v>2</v>
  </rv>
  <rv s="0">
    <fb>45973</fb>
    <v>2</v>
  </rv>
  <rv s="0">
    <fb>45974</fb>
    <v>2</v>
  </rv>
  <rv s="0">
    <fb>45979</fb>
    <v>2</v>
  </rv>
  <rv s="0">
    <fb>45980</fb>
    <v>2</v>
  </rv>
  <rv s="0">
    <fb>46001</fb>
    <v>2</v>
  </rv>
  <rv s="0">
    <fb>46077</fb>
    <v>2</v>
  </rv>
  <rv s="0">
    <fb>46017</fb>
    <v>2</v>
  </rv>
  <rv s="0">
    <fb>45975</fb>
    <v>2</v>
  </rv>
  <rv s="0">
    <fb>45981</fb>
    <v>2</v>
  </rv>
  <rv s="0">
    <fb>45978</fb>
    <v>2</v>
  </rv>
  <rv s="0">
    <fb>45982</fb>
    <v>2</v>
  </rv>
  <rv s="0">
    <fb>45986</fb>
    <v>2</v>
  </rv>
  <rv s="0">
    <fb>45987</fb>
    <v>2</v>
  </rv>
  <rv s="0">
    <fb>45988</fb>
    <v>2</v>
  </rv>
  <rv s="0">
    <fb>45993</fb>
    <v>2</v>
  </rv>
  <rv s="0">
    <fb>45994</fb>
    <v>2</v>
  </rv>
  <rv s="0">
    <fb>45995</fb>
    <v>2</v>
  </rv>
  <rv s="0">
    <fb>46034</fb>
    <v>2</v>
  </rv>
  <rv s="0">
    <fb>45996</fb>
    <v>2</v>
  </rv>
  <rv s="0">
    <fb>45999</fb>
    <v>2</v>
  </rv>
  <rv s="0">
    <fb>46000</fb>
    <v>2</v>
  </rv>
  <rv s="0">
    <fb>46006</fb>
    <v>2</v>
  </rv>
  <rv s="0">
    <fb>46007</fb>
    <v>2</v>
  </rv>
  <rv s="0">
    <fb>46013</fb>
    <v>2</v>
  </rv>
  <rv s="0">
    <fb>46029</fb>
    <v>2</v>
  </rv>
  <rv s="0">
    <fb>46010</fb>
    <v>2</v>
  </rv>
  <rv s="0">
    <fb>46015</fb>
    <v>2</v>
  </rv>
  <rv s="0">
    <fb>46035</fb>
    <v>2</v>
  </rv>
  <rv s="0">
    <fb>46016</fb>
    <v>2</v>
  </rv>
  <rv s="0">
    <fb>46020</fb>
    <v>2</v>
  </rv>
  <rv s="0">
    <fb>46024</fb>
    <v>2</v>
  </rv>
  <rv s="0">
    <fb>46038</fb>
    <v>2</v>
  </rv>
  <rv s="0">
    <fb>46021</fb>
    <v>2</v>
  </rv>
  <rv s="0">
    <fb>46027</fb>
    <v>2</v>
  </rv>
  <rv s="0">
    <fb>46018</fb>
    <v>2</v>
  </rv>
  <rv s="0">
    <fb>46022</fb>
    <v>2</v>
  </rv>
  <rv s="0">
    <fb>46028</fb>
    <v>2</v>
  </rv>
  <rv s="0">
    <fb>46030</fb>
    <v>2</v>
  </rv>
  <rv s="0">
    <fb>46036</fb>
    <v>2</v>
  </rv>
  <rv s="0">
    <fb>46031</fb>
    <v>2</v>
  </rv>
  <rv s="0">
    <fb>46070</fb>
    <v>2</v>
  </rv>
  <rv s="0">
    <fb>46026</fb>
    <v>2</v>
  </rv>
  <rv s="0">
    <fb>46039</fb>
    <v>2</v>
  </rv>
  <rv s="0">
    <fb>46045</fb>
    <v>2</v>
  </rv>
  <rv s="0">
    <fb>46041</fb>
    <v>2</v>
  </rv>
  <rv s="0">
    <fb>46048</fb>
    <v>2</v>
  </rv>
  <rv s="0">
    <fb>46037</fb>
    <v>2</v>
  </rv>
  <rv s="0">
    <fb>46044</fb>
    <v>2</v>
  </rv>
  <rv s="0">
    <fb>46059</fb>
    <v>2</v>
  </rv>
  <rv s="0">
    <fb>46042</fb>
    <v>2</v>
  </rv>
  <rv s="0">
    <fb>46043</fb>
    <v>2</v>
  </rv>
  <rv s="0">
    <fb>46049</fb>
    <v>2</v>
  </rv>
  <rv s="0">
    <fb>46066</fb>
    <v>2</v>
  </rv>
  <rv s="0">
    <fb>46071</fb>
    <v>2</v>
  </rv>
  <rv s="0">
    <fb>46051</fb>
    <v>2</v>
  </rv>
  <rv s="0">
    <fb>46050</fb>
    <v>2</v>
  </rv>
  <rv s="0">
    <fb>46088</fb>
    <v>2</v>
  </rv>
  <rv s="0">
    <fb>46052</fb>
    <v>2</v>
  </rv>
  <rv s="0">
    <fb>46055</fb>
    <v>2</v>
  </rv>
  <rv s="0">
    <fb>46056</fb>
    <v>2</v>
  </rv>
  <rv s="0">
    <fb>46046</fb>
    <v>2</v>
  </rv>
  <rv s="0">
    <fb>46062</fb>
    <v>2</v>
  </rv>
  <rv s="0">
    <fb>46065</fb>
    <v>2</v>
  </rv>
  <rv s="0">
    <fb>46063</fb>
    <v>2</v>
  </rv>
  <rv s="0">
    <fb>46064</fb>
    <v>2</v>
  </rv>
  <rv s="0">
    <fb>46080</fb>
    <v>2</v>
  </rv>
  <rv s="0">
    <fb>46072</fb>
    <v>2</v>
  </rv>
  <rv s="0">
    <fb>46069</fb>
    <v>2</v>
  </rv>
  <rv s="0">
    <fb>46073</fb>
    <v>2</v>
  </rv>
  <rv s="0">
    <fb>46078</fb>
    <v>2</v>
  </rv>
  <rv s="0">
    <fb>46074</fb>
    <v>2</v>
  </rv>
  <rv s="0">
    <fb>46087</fb>
    <v>2</v>
  </rv>
  <rv s="0">
    <fb>46060</fb>
    <v>2</v>
  </rv>
  <rv s="0">
    <fb>46061</fb>
    <v>2</v>
  </rv>
  <rv s="0">
    <fb>46084</fb>
    <v>2</v>
  </rv>
  <rv s="0">
    <fb>46079</fb>
    <v>2</v>
  </rv>
  <rv s="0">
    <fb>46144</fb>
    <v>2</v>
  </rv>
  <rv s="0">
    <fb>46075</fb>
    <v>2</v>
  </rv>
  <rv s="0">
    <fb>46076</fb>
    <v>2</v>
  </rv>
  <rv s="0">
    <fb>46089</fb>
    <v>2</v>
  </rv>
  <rv s="0">
    <fb>46083</fb>
    <v>2</v>
  </rv>
  <rv s="0">
    <fb>46082</fb>
    <v>2</v>
  </rv>
  <rv s="0">
    <fb>46102</fb>
    <v>2</v>
  </rv>
  <rv s="0">
    <fb>46086</fb>
    <v>2</v>
  </rv>
  <rv s="0">
    <fb>46095</fb>
    <v>2</v>
  </rv>
  <rv s="0">
    <fb>46085</fb>
    <v>2</v>
  </rv>
  <rv s="0">
    <fb>46097</fb>
    <v>2</v>
  </rv>
  <rv s="0">
    <fb>46090</fb>
    <v>2</v>
  </rv>
  <rv s="0">
    <fb>46091</fb>
    <v>2</v>
  </rv>
  <rv s="0">
    <fb>46105</fb>
    <v>2</v>
  </rv>
  <rv s="0">
    <fb>46092</fb>
    <v>2</v>
  </rv>
  <rv s="0">
    <fb>46106</fb>
    <v>2</v>
  </rv>
  <rv s="0">
    <fb>46093</fb>
    <v>2</v>
  </rv>
  <rv s="0">
    <fb>46107</fb>
    <v>2</v>
  </rv>
  <rv s="0">
    <fb>46098</fb>
    <v>2</v>
  </rv>
  <rv s="0">
    <fb>46112</fb>
    <v>2</v>
  </rv>
  <rv s="0">
    <fb>46099</fb>
    <v>2</v>
  </rv>
  <rv s="0">
    <fb>46113</fb>
    <v>2</v>
  </rv>
  <rv s="0">
    <fb>46103</fb>
    <v>2</v>
  </rv>
  <rv s="0">
    <fb>46116</fb>
    <v>2</v>
  </rv>
  <rv s="0">
    <fb>46114</fb>
    <v>2</v>
  </rv>
  <rv s="0">
    <fb>46158</fb>
    <v>2</v>
  </rv>
  <rv s="0">
    <fb>46123</fb>
    <v>2</v>
  </rv>
  <rv s="0">
    <fb>46137</fb>
    <v>2</v>
  </rv>
  <rv s="0">
    <fb>46115</fb>
    <v>2</v>
  </rv>
  <rv s="0">
    <fb>46130</fb>
    <v>2</v>
  </rv>
  <rv s="0">
    <fb>46121</fb>
    <v>2</v>
  </rv>
  <rv s="0">
    <fb>46104</fb>
    <v>2</v>
  </rv>
  <rv s="0">
    <fb>46118</fb>
    <v>2</v>
  </rv>
  <rv s="0">
    <fb>46122</fb>
    <v>2</v>
  </rv>
  <rv s="0">
    <fb>46110</fb>
    <v>2</v>
  </rv>
  <rv s="0">
    <fb>46108</fb>
    <v>2</v>
  </rv>
  <rv s="0">
    <fb>46111</fb>
    <v>2</v>
  </rv>
  <rv s="0">
    <fb>46126</fb>
    <v>2</v>
  </rv>
  <rv s="0">
    <fb>46127</fb>
    <v>2</v>
  </rv>
  <rv s="0">
    <fb>46128</fb>
    <v>2</v>
  </rv>
  <rv s="0">
    <fb>46119</fb>
    <v>2</v>
  </rv>
  <rv s="0">
    <fb>46133</fb>
    <v>2</v>
  </rv>
  <rv s="0">
    <fb>46136</fb>
    <v>2</v>
  </rv>
  <rv s="0">
    <fb>46131</fb>
    <v>2</v>
  </rv>
  <rv s="0">
    <fb>46135</fb>
    <v>2</v>
  </rv>
  <rv s="0">
    <fb>46149</fb>
    <v>2</v>
  </rv>
</rvData>
</file>

<file path=xl/richData/rdrichvaluestructure.xml><?xml version="1.0" encoding="utf-8"?>
<rvStructures xmlns="http://schemas.microsoft.com/office/spreadsheetml/2017/richdata" count="4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7">
    <spb s="0">
      <v>128</v>
      <v>42</v>
      <v>DataFrame</v>
      <v>arrayPreview</v>
      <v>1</v>
    </spb>
    <spb s="1">
      <v>0</v>
    </spb>
    <spb s="2">
      <v>1</v>
    </spb>
    <spb s="3">
      <v>https://www.anaconda.com/excel</v>
      <v>https://res.cdn.office.net/officepysvc/prod-service/anacondalogo.png</v>
      <v>Python provided by Anaconda</v>
    </spb>
    <spb s="0">
      <v>128</v>
      <v>49</v>
      <v>DataFrame</v>
      <v>arrayPreview</v>
      <v>1</v>
    </spb>
    <spb s="1">
      <v>4</v>
    </spb>
    <spb s="2">
      <v>2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m/d/yyyy"/>
    </x:dxf>
  </dxfs>
  <richProperties>
    <rPr n="NumberFormat" t="s"/>
  </richProperties>
  <richStyles>
    <rSty dxfid="1"/>
    <rSty dxfid="0">
      <rpv i="0">0;-0;"None"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CFBB40-ABD6-9945-B4A8-C5808FFE7FD2}" name="DMRB5" displayName="DMRB5" ref="A1:Y129" totalsRowShown="0" headerRowDxfId="31" dataDxfId="30">
  <autoFilter ref="A1:Y129" xr:uid="{B9EE9908-A466-7447-B633-1733A34E6CB6}">
    <filterColumn colId="1">
      <filters>
        <filter val="Vacant not ready"/>
        <filter val="Vacant ready"/>
      </filters>
    </filterColumn>
  </autoFilter>
  <tableColumns count="25">
    <tableColumn id="4" xr3:uid="{EF4BDE00-AB55-294F-B5A7-589C99D8AE67}" name="Unit " dataDxfId="29"/>
    <tableColumn id="5" xr3:uid="{A74AEA66-2475-8345-9BA6-54AFA1FABF27}" name="Status" dataDxfId="28"/>
    <tableColumn id="6" xr3:uid="{B1DBFD42-A283-9E4B-9824-CBF43D3DC56E}" name="Move_out " dataDxfId="27"/>
    <tableColumn id="7" xr3:uid="{81499C99-D05A-B743-9551-4299F55CB1A4}" name="Ready_Date" dataDxfId="26"/>
    <tableColumn id="8" xr3:uid="{3C951CEA-8577-B64E-8D2D-8B74251F6F59}" name="DV" dataDxfId="25">
      <calculatedColumnFormula>IF(DMRB5[[#This Row],[Move_out ]]="","",TODAY()-DMRB5[[#This Row],[Move_out ]])</calculatedColumnFormula>
    </tableColumn>
    <tableColumn id="9" xr3:uid="{CFBE10C0-FD06-B94C-9823-CE406FF4DC8D}" name="Move_in" dataDxfId="24"/>
    <tableColumn id="10" xr3:uid="{C24B24A8-F573-934F-BDCF-6472A0D3AE36}" name="DTBR" dataDxfId="23">
      <calculatedColumnFormula>IF(DMRB5[[#This Row],[Move_in]]="","",TODAY()-DMRB5[[#This Row],[Move_in]])</calculatedColumnFormula>
    </tableColumn>
    <tableColumn id="11" xr3:uid="{7E57EDDC-565E-6D4C-9631-0398AC23D1A5}" name="N/V/M" dataDxfId="22">
      <calculatedColumnFormula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calculatedColumnFormula>
    </tableColumn>
    <tableColumn id="12" xr3:uid="{A51CB3F9-E4CF-7547-9457-D914A142D0CE}" name="Insp" dataDxfId="21">
      <calculatedColumnFormula>IF(DMRB5[[#This Row],[Move_out ]]="","",
IF(OR(DMRB5[[#This Row],[Insp_status ]]="In Progress",DMRB5[[#This Row],[Insp_status ]]="Done",
DMRB5[[#This Row],[Insp_status ]]="Scheduled"),
WORKDAY(DMRB5[[#This Row],[Move_out ]],1),
""))</calculatedColumnFormula>
    </tableColumn>
    <tableColumn id="13" xr3:uid="{1EB28CF8-952B-0947-BAD3-5A022864BB9D}" name="Insp_status " dataDxfId="20"/>
    <tableColumn id="14" xr3:uid="{018E62CC-16D0-8441-9C77-7CB10079BE80}" name="Paint" dataDxfId="19">
      <calculatedColumnFormula>IF(DMRB5[[#This Row],[Move_out ]]="","",
IF(OR(DMRB5[[#This Row],[Paint_status]]="In Progress",DMRB5[[#This Row],[Paint_status]]="Done",
DMRB5[[#This Row],[Paint_status]]="Scheduled"),
WORKDAY(DMRB5[[#This Row],[Move_out ]],2),
""))</calculatedColumnFormula>
    </tableColumn>
    <tableColumn id="15" xr3:uid="{205C3CE5-8C25-474C-A5B8-730C87FF6417}" name="Paint_status" dataDxfId="18"/>
    <tableColumn id="16" xr3:uid="{FB5674BA-7ACA-2544-B6FC-1FA29E2ED2EB}" name="MR" dataDxfId="17">
      <calculatedColumnFormula>IF(DMRB5[[#This Row],[Move_out ]]="","",
IF(OR(DMRB5[[#This Row],[MR_Status]]="In Progress",DMRB5[[#This Row],[MR_Status]]="Done",
DMRB5[[#This Row],[MR_Status]]="Scheduled"),
WORKDAY(DMRB5[[#This Row],[Move_out ]],3),
""))</calculatedColumnFormula>
    </tableColumn>
    <tableColumn id="17" xr3:uid="{12F4033C-C95B-E845-A8F7-50CC2BC2E2CA}" name="MR_Status" dataDxfId="16"/>
    <tableColumn id="18" xr3:uid="{CBCE6FC3-5773-594D-AA0C-BBFA115D1B57}" name="HK" dataDxfId="15">
      <calculatedColumnFormula>IF(DMRB5[[#This Row],[Move_out ]]="","",
IF(OR(DMRB5[[#This Row],[HK_Status]]="In Progress",DMRB5[[#This Row],[HK_Status]]="Done",
DMRB5[[#This Row],[HK_Status]]="Scheduled"),
WORKDAY(DMRB5[[#This Row],[Move_out ]],6),
""))</calculatedColumnFormula>
    </tableColumn>
    <tableColumn id="19" xr3:uid="{6392EBE2-5036-1D48-8F06-D1CCC992C0CF}" name="HK_Status" dataDxfId="14"/>
    <tableColumn id="20" xr3:uid="{E9DD5472-6ED9-9849-8161-CC206F677593}" name="CC" dataDxfId="13">
      <calculatedColumnFormula>IF(DMRB5[[#This Row],[Move_out ]]="","",
IF(OR(DMRB5[[#This Row],[CC_status]]="In Progress",DMRB5[[#This Row],[CC_status]]="Done",
DMRB5[[#This Row],[CC_status]]="Scheduled"),
WORKDAY(DMRB5[[#This Row],[Move_out ]],7),
""))</calculatedColumnFormula>
    </tableColumn>
    <tableColumn id="21" xr3:uid="{1E47E0A2-251E-3545-A5B7-910C6F26F8A9}" name="CC_status" dataDxfId="12"/>
    <tableColumn id="22" xr3:uid="{C6E7A2F0-B0C2-BA44-87E6-83AF8D35FAFB}" name="Assign" dataDxfId="11"/>
    <tableColumn id="23" xr3:uid="{77FE896B-F7CF-6342-8C42-6148B2440B01}" name="W_D" dataDxfId="10"/>
    <tableColumn id="24" xr3:uid="{6B37FD53-4594-1C4A-95DD-B7834D2CB0AB}" name="QC" dataDxfId="9"/>
    <tableColumn id="1" xr3:uid="{0BC544ED-94A2-BC4D-877D-960F54FA848A}" name="P" dataDxfId="8">
      <calculatedColumnFormula>IF(TRIM(CLEAN(A2))="","",_xlfn.TEXTBEFORE(_xlfn.TEXTAFTER(A2,"Unit "),"-"))</calculatedColumnFormula>
    </tableColumn>
    <tableColumn id="2" xr3:uid="{2820B6D1-96EA-F649-8979-7BC2F7284D8B}" name="B" dataDxfId="7">
      <calculatedColumnFormula>IF(TRIM(CLEAN(A2))="","",_xlfn.TEXTBEFORE(_xlfn.TEXTAFTER(A2,"-"),"-"))</calculatedColumnFormula>
    </tableColumn>
    <tableColumn id="3" xr3:uid="{74170780-8D9F-BD47-8F24-63D6B159FC3B}" name="U" dataDxfId="6">
      <calculatedColumnFormula>IF(TRIM(CLEAN(A2))="","",_xlfn.TEXTAFTER(A2,"-",-1))</calculatedColumnFormula>
    </tableColumn>
    <tableColumn id="25" xr3:uid="{350E8AC3-54CB-EF4D-BEED-D9D9FF2EE743}" name="Notes" dataDxfId="5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41E5A8-F6F8-0340-89D8-BF26C266167D}" name="Unit_tranformers6" displayName="Unit_tranformers6" ref="B3:C164" totalsRowShown="0" headerRowDxfId="4">
  <autoFilter ref="B3:C164" xr:uid="{444120E1-FF14-8B4D-9678-39498DB2C57B}"/>
  <tableColumns count="2">
    <tableColumn id="1" xr3:uid="{9B4609FE-4B68-D449-828E-5FABB539BB46}" name="Trafomers">
      <calculatedColumnFormula>IF(TRIM(CLEAN(C4))="","",
IF(LEFT(TRIM(C4),4)="Unit",C4,"Unit "&amp;C4))</calculatedColumnFormula>
    </tableColumn>
    <tableColumn id="2" xr3:uid="{0503B856-C30B-134F-A156-0ED223BD0689}" name="Data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C4266A-F509-A74E-ABFD-F2FEA6505A9E}" name="Table37" displayName="Table37" ref="E3:F164" totalsRowShown="0" headerRowDxfId="3" headerRowBorderDxfId="2" tableBorderDxfId="1">
  <autoFilter ref="E3:F164" xr:uid="{ACB1B7FD-45EF-5D44-B105-62A9BD61E69E}"/>
  <tableColumns count="2">
    <tableColumn id="1" xr3:uid="{BD1D0180-BE20-9B4B-BB72-D9ADFB656C18}" name="Trafomers" dataDxfId="0">
      <calculatedColumnFormula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calculatedColumnFormula>
    </tableColumn>
    <tableColumn id="2" xr3:uid="{4373F6F0-1B67-DE49-9E58-C9243D237394}" name="Data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6F09-D95D-A84C-8C1A-178D113E6519}">
  <dimension ref="A1:AC129"/>
  <sheetViews>
    <sheetView tabSelected="1" zoomScale="80" zoomScaleNormal="80" workbookViewId="0">
      <pane xSplit="2" ySplit="1" topLeftCell="C61" activePane="bottomRight" state="frozen"/>
      <selection pane="topRight" activeCell="C1" sqref="C1"/>
      <selection pane="bottomLeft" activeCell="A2" sqref="A2"/>
      <selection pane="bottomRight" activeCell="B14" sqref="B14"/>
    </sheetView>
  </sheetViews>
  <sheetFormatPr defaultColWidth="10.6640625" defaultRowHeight="16" x14ac:dyDescent="0.4"/>
  <cols>
    <col min="1" max="1" width="14.83203125" customWidth="1"/>
    <col min="2" max="2" width="17" customWidth="1"/>
    <col min="3" max="3" width="14" style="1" customWidth="1"/>
    <col min="4" max="4" width="15" style="1" bestFit="1" customWidth="1"/>
    <col min="5" max="5" width="6.5" style="1" bestFit="1" customWidth="1"/>
    <col min="6" max="6" width="12.83203125" style="3" customWidth="1"/>
    <col min="7" max="7" width="8.83203125" style="3" bestFit="1" customWidth="1"/>
    <col min="8" max="8" width="12.1640625" style="1" bestFit="1" customWidth="1"/>
    <col min="9" max="9" width="7.6640625" style="3" bestFit="1" customWidth="1"/>
    <col min="10" max="10" width="14.83203125" style="1" bestFit="1" customWidth="1"/>
    <col min="11" max="11" width="8.6640625" style="1" bestFit="1" customWidth="1"/>
    <col min="12" max="12" width="15.33203125" style="3" bestFit="1" customWidth="1"/>
    <col min="13" max="13" width="6.6640625" style="1" bestFit="1" customWidth="1"/>
    <col min="14" max="14" width="13.6640625" style="3" bestFit="1" customWidth="1"/>
    <col min="15" max="15" width="6.5" style="1" bestFit="1" customWidth="1"/>
    <col min="16" max="16" width="13.5" style="3" bestFit="1" customWidth="1"/>
    <col min="17" max="17" width="6.6640625" style="1" bestFit="1" customWidth="1"/>
    <col min="18" max="18" width="15.6640625" style="3" customWidth="1"/>
    <col min="19" max="19" width="9.83203125" style="1" bestFit="1" customWidth="1"/>
    <col min="20" max="20" width="9" style="3" bestFit="1" customWidth="1"/>
    <col min="21" max="21" width="8.6640625" style="1" customWidth="1"/>
    <col min="22" max="22" width="5" bestFit="1" customWidth="1"/>
    <col min="23" max="23" width="5" style="1" bestFit="1" customWidth="1"/>
    <col min="24" max="24" width="5.83203125" style="1" customWidth="1"/>
    <col min="25" max="25" width="61.6640625" style="52" customWidth="1"/>
    <col min="26" max="26" width="9.83203125" style="2" bestFit="1" customWidth="1"/>
    <col min="28" max="28" width="7.5" style="1" bestFit="1" customWidth="1"/>
    <col min="29" max="29" width="6.1640625" style="1" bestFit="1" customWidth="1"/>
  </cols>
  <sheetData>
    <row r="1" spans="1:25" s="1" customFormat="1" ht="18.5" x14ac:dyDescent="0.45">
      <c r="A1" s="5" t="s">
        <v>30</v>
      </c>
      <c r="B1" s="5" t="s">
        <v>29</v>
      </c>
      <c r="C1" s="7" t="s">
        <v>28</v>
      </c>
      <c r="D1" s="7" t="s">
        <v>27</v>
      </c>
      <c r="E1" s="5" t="s">
        <v>26</v>
      </c>
      <c r="F1" s="7" t="s">
        <v>25</v>
      </c>
      <c r="G1" s="5" t="s">
        <v>24</v>
      </c>
      <c r="H1" s="5" t="s">
        <v>23</v>
      </c>
      <c r="I1" s="7" t="s">
        <v>22</v>
      </c>
      <c r="J1" s="5" t="s">
        <v>21</v>
      </c>
      <c r="K1" s="7" t="s">
        <v>20</v>
      </c>
      <c r="L1" s="5" t="s">
        <v>19</v>
      </c>
      <c r="M1" s="7" t="s">
        <v>18</v>
      </c>
      <c r="N1" s="5" t="s">
        <v>17</v>
      </c>
      <c r="O1" s="7" t="s">
        <v>16</v>
      </c>
      <c r="P1" s="5" t="s">
        <v>15</v>
      </c>
      <c r="Q1" s="7" t="s">
        <v>14</v>
      </c>
      <c r="R1" s="5" t="s">
        <v>13</v>
      </c>
      <c r="S1" s="6" t="s">
        <v>12</v>
      </c>
      <c r="T1" s="5" t="s">
        <v>11</v>
      </c>
      <c r="U1" s="5" t="s">
        <v>10</v>
      </c>
      <c r="V1" s="5" t="s">
        <v>9</v>
      </c>
      <c r="W1" s="5" t="s">
        <v>8</v>
      </c>
      <c r="X1" s="5" t="s">
        <v>7</v>
      </c>
      <c r="Y1" s="53" t="s">
        <v>6</v>
      </c>
    </row>
    <row r="2" spans="1:25" x14ac:dyDescent="0.4">
      <c r="A2" s="74" t="s">
        <v>147</v>
      </c>
      <c r="B2" s="1" t="s">
        <v>41</v>
      </c>
      <c r="C2" s="3">
        <v>46023</v>
      </c>
      <c r="D2" s="75">
        <v>46032</v>
      </c>
      <c r="E2" s="1">
        <f ca="1">IF(DMRB5[[#This Row],[Move_out ]]="","",TODAY()-DMRB5[[#This Row],[Move_out ]])</f>
        <v>47</v>
      </c>
      <c r="F2" s="2">
        <v>46070</v>
      </c>
      <c r="G2" s="1">
        <f ca="1">IF(DMRB5[[#This Row],[Move_in]]="","",TODAY()-DMRB5[[#This Row],[Move_in]])</f>
        <v>0</v>
      </c>
      <c r="H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MOVE IN</v>
      </c>
      <c r="I2" s="3">
        <f>IF(DMRB5[[#This Row],[Move_out ]]="","",
IF(OR(DMRB5[[#This Row],[Insp_status ]]="In Progress",DMRB5[[#This Row],[Insp_status ]]="Done",
DMRB5[[#This Row],[Insp_status ]]="Scheduled"),
WORKDAY(DMRB5[[#This Row],[Move_out ]],1),
""))</f>
        <v>46024</v>
      </c>
      <c r="J2" s="1" t="s">
        <v>0</v>
      </c>
      <c r="K2" s="3">
        <f>IF(DMRB5[[#This Row],[Move_out ]]="","",
IF(OR(DMRB5[[#This Row],[Paint_status]]="In Progress",DMRB5[[#This Row],[Paint_status]]="Done",
DMRB5[[#This Row],[Paint_status]]="Scheduled"),
WORKDAY(DMRB5[[#This Row],[Move_out ]],2),
""))</f>
        <v>46027</v>
      </c>
      <c r="L2" s="3" t="s">
        <v>0</v>
      </c>
      <c r="M2" s="3">
        <f>IF(DMRB5[[#This Row],[Move_out ]]="","",
IF(OR(DMRB5[[#This Row],[MR_Status]]="In Progress",DMRB5[[#This Row],[MR_Status]]="Done",
DMRB5[[#This Row],[MR_Status]]="Scheduled"),
WORKDAY(DMRB5[[#This Row],[Move_out ]],3),
""))</f>
        <v>46028</v>
      </c>
      <c r="N2" s="3" t="s">
        <v>0</v>
      </c>
      <c r="O2" s="3">
        <f>IF(DMRB5[[#This Row],[Move_out ]]="","",
IF(OR(DMRB5[[#This Row],[HK_Status]]="In Progress",DMRB5[[#This Row],[HK_Status]]="Done",
DMRB5[[#This Row],[HK_Status]]="Scheduled"),
WORKDAY(DMRB5[[#This Row],[Move_out ]],6),
""))</f>
        <v>46031</v>
      </c>
      <c r="P2" s="3" t="s">
        <v>0</v>
      </c>
      <c r="Q2" s="3">
        <f>IF(DMRB5[[#This Row],[Move_out ]]="","",
IF(OR(DMRB5[[#This Row],[CC_status]]="In Progress",DMRB5[[#This Row],[CC_status]]="Done",
DMRB5[[#This Row],[CC_status]]="Scheduled"),
WORKDAY(DMRB5[[#This Row],[Move_out ]],7),
""))</f>
        <v>46034</v>
      </c>
      <c r="R2" s="3" t="s">
        <v>0</v>
      </c>
      <c r="S2" s="2" t="s">
        <v>2</v>
      </c>
      <c r="T2" s="3" t="s">
        <v>43</v>
      </c>
      <c r="U2" s="1" t="s">
        <v>36</v>
      </c>
      <c r="V2" s="1" t="str">
        <f>IF(TRIM(CLEAN(A2))="","",_xlfn.TEXTBEFORE(_xlfn.TEXTAFTER(A2,"Unit "),"-"))</f>
        <v>5</v>
      </c>
      <c r="W2" s="1" t="str">
        <f>IF(TRIM(CLEAN(A2))="","",_xlfn.TEXTBEFORE(_xlfn.TEXTAFTER(A2,"-"),"-"))</f>
        <v>02</v>
      </c>
      <c r="X2" s="1" t="str">
        <f>IF(TRIM(CLEAN(A2))="","",_xlfn.TEXTAFTER(A2,"-",-1))</f>
        <v>0301</v>
      </c>
    </row>
    <row r="3" spans="1:25" x14ac:dyDescent="0.4">
      <c r="A3" s="4" t="s">
        <v>90</v>
      </c>
      <c r="B3" s="1" t="s">
        <v>41</v>
      </c>
      <c r="C3" s="3">
        <v>46040</v>
      </c>
      <c r="D3" s="3">
        <v>46053</v>
      </c>
      <c r="E3" s="1">
        <f ca="1">IF(DMRB5[[#This Row],[Move_out ]]="","",TODAY()-DMRB5[[#This Row],[Move_out ]])</f>
        <v>30</v>
      </c>
      <c r="F3" s="2">
        <v>46071</v>
      </c>
      <c r="G3" s="1">
        <f ca="1">IF(DMRB5[[#This Row],[Move_in]]="","",TODAY()-DMRB5[[#This Row],[Move_in]])</f>
        <v>-1</v>
      </c>
      <c r="H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3" s="3">
        <f>IF(DMRB5[[#This Row],[Move_out ]]="","",
IF(OR(DMRB5[[#This Row],[Insp_status ]]="In Progress",DMRB5[[#This Row],[Insp_status ]]="Done",
DMRB5[[#This Row],[Insp_status ]]="Scheduled"),
WORKDAY(DMRB5[[#This Row],[Move_out ]],1),
""))</f>
        <v>46041</v>
      </c>
      <c r="J3" s="1" t="s">
        <v>0</v>
      </c>
      <c r="K3" s="3">
        <f>IF(DMRB5[[#This Row],[Move_out ]]="","",
IF(OR(DMRB5[[#This Row],[Paint_status]]="In Progress",DMRB5[[#This Row],[Paint_status]]="Done",
DMRB5[[#This Row],[Paint_status]]="Scheduled"),
WORKDAY(DMRB5[[#This Row],[Move_out ]],2),
""))</f>
        <v>46042</v>
      </c>
      <c r="L3" s="1" t="s">
        <v>0</v>
      </c>
      <c r="M3" s="3">
        <f>IF(DMRB5[[#This Row],[Move_out ]]="","",
IF(OR(DMRB5[[#This Row],[MR_Status]]="In Progress",DMRB5[[#This Row],[MR_Status]]="Done",
DMRB5[[#This Row],[MR_Status]]="Scheduled"),
WORKDAY(DMRB5[[#This Row],[Move_out ]],3),
""))</f>
        <v>46043</v>
      </c>
      <c r="N3" s="1" t="s">
        <v>0</v>
      </c>
      <c r="O3" s="3">
        <f>IF(DMRB5[[#This Row],[Move_out ]]="","",
IF(OR(DMRB5[[#This Row],[HK_Status]]="In Progress",DMRB5[[#This Row],[HK_Status]]="Done",
DMRB5[[#This Row],[HK_Status]]="Scheduled"),
WORKDAY(DMRB5[[#This Row],[Move_out ]],6),
""))</f>
        <v>46048</v>
      </c>
      <c r="P3" s="1" t="s">
        <v>0</v>
      </c>
      <c r="Q3" s="3">
        <f>IF(DMRB5[[#This Row],[Move_out ]]="","",
IF(OR(DMRB5[[#This Row],[CC_status]]="In Progress",DMRB5[[#This Row],[CC_status]]="Done",
DMRB5[[#This Row],[CC_status]]="Scheduled"),
WORKDAY(DMRB5[[#This Row],[Move_out ]],7),
""))</f>
        <v>46049</v>
      </c>
      <c r="R3" s="1" t="s">
        <v>0</v>
      </c>
      <c r="S3" s="2" t="s">
        <v>126</v>
      </c>
      <c r="T3" s="1" t="s">
        <v>43</v>
      </c>
      <c r="U3" s="1" t="s">
        <v>36</v>
      </c>
      <c r="V3" s="1" t="str">
        <f>IF(TRIM(CLEAN(A3))="","",_xlfn.TEXTBEFORE(_xlfn.TEXTAFTER(A3,"Unit "),"-"))</f>
        <v>8</v>
      </c>
      <c r="W3" s="1" t="str">
        <f>IF(TRIM(CLEAN(A3))="","",_xlfn.TEXTBEFORE(_xlfn.TEXTAFTER(A3,"-"),"-"))</f>
        <v>01</v>
      </c>
      <c r="X3" s="1" t="str">
        <f>IF(TRIM(CLEAN(A3))="","",_xlfn.TEXTAFTER(A3,"-",-1))</f>
        <v>4058</v>
      </c>
    </row>
    <row r="4" spans="1:25" x14ac:dyDescent="0.4">
      <c r="A4" s="4" t="s">
        <v>99</v>
      </c>
      <c r="B4" s="1" t="s">
        <v>5</v>
      </c>
      <c r="C4" s="3">
        <v>46057</v>
      </c>
      <c r="D4" s="3">
        <v>46067</v>
      </c>
      <c r="E4" s="1">
        <f ca="1">IF(DMRB5[[#This Row],[Move_out ]]="","",TODAY()-DMRB5[[#This Row],[Move_out ]])</f>
        <v>13</v>
      </c>
      <c r="F4" s="2">
        <v>46072</v>
      </c>
      <c r="G4" s="1">
        <f ca="1">IF(DMRB5[[#This Row],[Move_in]]="","",TODAY()-DMRB5[[#This Row],[Move_in]])</f>
        <v>-2</v>
      </c>
      <c r="H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4" s="3">
        <f>IF(DMRB5[[#This Row],[Move_out ]]="","",
IF(OR(DMRB5[[#This Row],[Insp_status ]]="In Progress",DMRB5[[#This Row],[Insp_status ]]="Done",
DMRB5[[#This Row],[Insp_status ]]="Scheduled"),
WORKDAY(DMRB5[[#This Row],[Move_out ]],1),
""))</f>
        <v>46058</v>
      </c>
      <c r="J4" s="1" t="s">
        <v>0</v>
      </c>
      <c r="K4" s="3">
        <f>IF(DMRB5[[#This Row],[Move_out ]]="","",
IF(OR(DMRB5[[#This Row],[Paint_status]]="In Progress",DMRB5[[#This Row],[Paint_status]]="Done",
DMRB5[[#This Row],[Paint_status]]="Scheduled"),
WORKDAY(DMRB5[[#This Row],[Move_out ]],2),
""))</f>
        <v>46059</v>
      </c>
      <c r="L4" s="1" t="s">
        <v>4</v>
      </c>
      <c r="M4" s="3">
        <f>IF(DMRB5[[#This Row],[Move_out ]]="","",
IF(OR(DMRB5[[#This Row],[MR_Status]]="In Progress",DMRB5[[#This Row],[MR_Status]]="Done",
DMRB5[[#This Row],[MR_Status]]="Scheduled"),
WORKDAY(DMRB5[[#This Row],[Move_out ]],3),
""))</f>
        <v>46062</v>
      </c>
      <c r="N4" s="1" t="s">
        <v>3</v>
      </c>
      <c r="O4" s="3">
        <f>IF(DMRB5[[#This Row],[Move_out ]]="","",
IF(OR(DMRB5[[#This Row],[HK_Status]]="In Progress",DMRB5[[#This Row],[HK_Status]]="Done",
DMRB5[[#This Row],[HK_Status]]="Scheduled"),
WORKDAY(DMRB5[[#This Row],[Move_out ]],6),
""))</f>
        <v>46065</v>
      </c>
      <c r="P4" s="1" t="s">
        <v>4</v>
      </c>
      <c r="Q4" s="3">
        <f>IF(DMRB5[[#This Row],[Move_out ]]="","",
IF(OR(DMRB5[[#This Row],[CC_status]]="In Progress",DMRB5[[#This Row],[CC_status]]="Done",
DMRB5[[#This Row],[CC_status]]="Scheduled"),
WORKDAY(DMRB5[[#This Row],[Move_out ]],7),
""))</f>
        <v>46066</v>
      </c>
      <c r="R4" s="1" t="s">
        <v>3</v>
      </c>
      <c r="S4" s="2" t="s">
        <v>42</v>
      </c>
      <c r="T4" s="1" t="s">
        <v>36</v>
      </c>
      <c r="U4" s="1" t="s">
        <v>36</v>
      </c>
      <c r="V4" s="1" t="str">
        <f>IF(TRIM(CLEAN(A4))="","",_xlfn.TEXTBEFORE(_xlfn.TEXTAFTER(A4,"Unit "),"-"))</f>
        <v>8</v>
      </c>
      <c r="W4" s="1" t="str">
        <f>IF(TRIM(CLEAN(A4))="","",_xlfn.TEXTBEFORE(_xlfn.TEXTAFTER(A4,"-"),"-"))</f>
        <v>01</v>
      </c>
      <c r="X4" s="1" t="str">
        <f>IF(TRIM(CLEAN(A4))="","",_xlfn.TEXTAFTER(A4,"-",-1))</f>
        <v>3008</v>
      </c>
    </row>
    <row r="5" spans="1:25" x14ac:dyDescent="0.4">
      <c r="A5" s="74" t="s">
        <v>146</v>
      </c>
      <c r="B5" s="1" t="s">
        <v>5</v>
      </c>
      <c r="C5" s="3">
        <v>46058</v>
      </c>
      <c r="D5" s="75">
        <v>46068</v>
      </c>
      <c r="E5" s="1">
        <f ca="1">IF(DMRB5[[#This Row],[Move_out ]]="","",TODAY()-DMRB5[[#This Row],[Move_out ]])</f>
        <v>12</v>
      </c>
      <c r="F5" s="2">
        <v>46072</v>
      </c>
      <c r="G5" s="1">
        <f ca="1">IF(DMRB5[[#This Row],[Move_in]]="","",TODAY()-DMRB5[[#This Row],[Move_in]])</f>
        <v>-2</v>
      </c>
      <c r="H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5" s="3">
        <f>IF(DMRB5[[#This Row],[Move_out ]]="","",
IF(OR(DMRB5[[#This Row],[Insp_status ]]="In Progress",DMRB5[[#This Row],[Insp_status ]]="Done",
DMRB5[[#This Row],[Insp_status ]]="Scheduled"),
WORKDAY(DMRB5[[#This Row],[Move_out ]],1),
""))</f>
        <v>46059</v>
      </c>
      <c r="J5" s="1" t="s">
        <v>0</v>
      </c>
      <c r="K5" s="3">
        <f>IF(DMRB5[[#This Row],[Move_out ]]="","",
IF(OR(DMRB5[[#This Row],[Paint_status]]="In Progress",DMRB5[[#This Row],[Paint_status]]="Done",
DMRB5[[#This Row],[Paint_status]]="Scheduled"),
WORKDAY(DMRB5[[#This Row],[Move_out ]],2),
""))</f>
        <v>46062</v>
      </c>
      <c r="L5" s="1" t="s">
        <v>4</v>
      </c>
      <c r="M5" s="3">
        <f>IF(DMRB5[[#This Row],[Move_out ]]="","",
IF(OR(DMRB5[[#This Row],[MR_Status]]="In Progress",DMRB5[[#This Row],[MR_Status]]="Done",
DMRB5[[#This Row],[MR_Status]]="Scheduled"),
WORKDAY(DMRB5[[#This Row],[Move_out ]],3),
""))</f>
        <v>46063</v>
      </c>
      <c r="N5" s="1" t="s">
        <v>4</v>
      </c>
      <c r="O5" s="3">
        <f>IF(DMRB5[[#This Row],[Move_out ]]="","",
IF(OR(DMRB5[[#This Row],[HK_Status]]="In Progress",DMRB5[[#This Row],[HK_Status]]="Done",
DMRB5[[#This Row],[HK_Status]]="Scheduled"),
WORKDAY(DMRB5[[#This Row],[Move_out ]],6),
""))</f>
        <v>46066</v>
      </c>
      <c r="P5" s="1" t="s">
        <v>4</v>
      </c>
      <c r="Q5" s="3">
        <f>IF(DMRB5[[#This Row],[Move_out ]]="","",
IF(OR(DMRB5[[#This Row],[CC_status]]="In Progress",DMRB5[[#This Row],[CC_status]]="Done",
DMRB5[[#This Row],[CC_status]]="Scheduled"),
WORKDAY(DMRB5[[#This Row],[Move_out ]],7),
""))</f>
        <v>46069</v>
      </c>
      <c r="R5" s="1" t="s">
        <v>3</v>
      </c>
      <c r="S5" s="2" t="s">
        <v>2</v>
      </c>
      <c r="T5" s="3" t="s">
        <v>36</v>
      </c>
      <c r="U5" s="1" t="s">
        <v>36</v>
      </c>
      <c r="V5" s="1" t="str">
        <f>IF(TRIM(CLEAN(A5))="","",_xlfn.TEXTBEFORE(_xlfn.TEXTAFTER(A5,"Unit "),"-"))</f>
        <v>5</v>
      </c>
      <c r="W5" s="1" t="str">
        <f>IF(TRIM(CLEAN(A5))="","",_xlfn.TEXTBEFORE(_xlfn.TEXTAFTER(A5,"-"),"-"))</f>
        <v>18</v>
      </c>
      <c r="X5" s="1" t="str">
        <f>IF(TRIM(CLEAN(A5))="","",_xlfn.TEXTAFTER(A5,"-",-1))</f>
        <v>0131</v>
      </c>
    </row>
    <row r="6" spans="1:25" x14ac:dyDescent="0.4">
      <c r="A6" s="4" t="s">
        <v>100</v>
      </c>
      <c r="B6" s="1" t="s">
        <v>5</v>
      </c>
      <c r="C6" s="3">
        <v>46058</v>
      </c>
      <c r="D6" s="3">
        <v>46068</v>
      </c>
      <c r="E6" s="1">
        <f ca="1">IF(DMRB5[[#This Row],[Move_out ]]="","",TODAY()-DMRB5[[#This Row],[Move_out ]])</f>
        <v>12</v>
      </c>
      <c r="F6" s="2">
        <v>46073</v>
      </c>
      <c r="G6" s="1">
        <f ca="1">IF(DMRB5[[#This Row],[Move_in]]="","",TODAY()-DMRB5[[#This Row],[Move_in]])</f>
        <v>-3</v>
      </c>
      <c r="H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6" s="3">
        <f>IF(DMRB5[[#This Row],[Move_out ]]="","",
IF(OR(DMRB5[[#This Row],[Insp_status ]]="In Progress",DMRB5[[#This Row],[Insp_status ]]="Done",
DMRB5[[#This Row],[Insp_status ]]="Scheduled"),
WORKDAY(DMRB5[[#This Row],[Move_out ]],1),
""))</f>
        <v>46059</v>
      </c>
      <c r="J6" s="1" t="s">
        <v>0</v>
      </c>
      <c r="K6" s="3">
        <f>IF(DMRB5[[#This Row],[Move_out ]]="","",
IF(OR(DMRB5[[#This Row],[Paint_status]]="In Progress",DMRB5[[#This Row],[Paint_status]]="Done",
DMRB5[[#This Row],[Paint_status]]="Scheduled"),
WORKDAY(DMRB5[[#This Row],[Move_out ]],2),
""))</f>
        <v>46062</v>
      </c>
      <c r="L6" s="1" t="s">
        <v>4</v>
      </c>
      <c r="M6" s="3">
        <f>IF(DMRB5[[#This Row],[Move_out ]]="","",
IF(OR(DMRB5[[#This Row],[MR_Status]]="In Progress",DMRB5[[#This Row],[MR_Status]]="Done",
DMRB5[[#This Row],[MR_Status]]="Scheduled"),
WORKDAY(DMRB5[[#This Row],[Move_out ]],3),
""))</f>
        <v>46063</v>
      </c>
      <c r="N6" s="1" t="s">
        <v>3</v>
      </c>
      <c r="O6" s="3">
        <f>IF(DMRB5[[#This Row],[Move_out ]]="","",
IF(OR(DMRB5[[#This Row],[HK_Status]]="In Progress",DMRB5[[#This Row],[HK_Status]]="Done",
DMRB5[[#This Row],[HK_Status]]="Scheduled"),
WORKDAY(DMRB5[[#This Row],[Move_out ]],6),
""))</f>
        <v>46066</v>
      </c>
      <c r="P6" s="1" t="s">
        <v>4</v>
      </c>
      <c r="Q6" s="3">
        <f>IF(DMRB5[[#This Row],[Move_out ]]="","",
IF(OR(DMRB5[[#This Row],[CC_status]]="In Progress",DMRB5[[#This Row],[CC_status]]="Done",
DMRB5[[#This Row],[CC_status]]="Scheduled"),
WORKDAY(DMRB5[[#This Row],[Move_out ]],7),
""))</f>
        <v>46069</v>
      </c>
      <c r="R6" s="1" t="s">
        <v>3</v>
      </c>
      <c r="S6" s="2" t="s">
        <v>42</v>
      </c>
      <c r="T6" s="3" t="s">
        <v>43</v>
      </c>
      <c r="U6" s="1" t="s">
        <v>36</v>
      </c>
      <c r="V6" s="1" t="str">
        <f>IF(TRIM(CLEAN(A6))="","",_xlfn.TEXTBEFORE(_xlfn.TEXTAFTER(A6,"Unit "),"-"))</f>
        <v>8</v>
      </c>
      <c r="W6" s="1" t="str">
        <f>IF(TRIM(CLEAN(A6))="","",_xlfn.TEXTBEFORE(_xlfn.TEXTAFTER(A6,"-"),"-"))</f>
        <v>01</v>
      </c>
      <c r="X6" s="1" t="str">
        <f>IF(TRIM(CLEAN(A6))="","",_xlfn.TEXTAFTER(A6,"-",-1))</f>
        <v>1049</v>
      </c>
    </row>
    <row r="7" spans="1:25" x14ac:dyDescent="0.4">
      <c r="A7" s="4" t="s">
        <v>101</v>
      </c>
      <c r="B7" s="1" t="s">
        <v>5</v>
      </c>
      <c r="C7" s="3">
        <v>46059</v>
      </c>
      <c r="D7" s="3">
        <v>46069</v>
      </c>
      <c r="E7" s="1">
        <f ca="1">IF(DMRB5[[#This Row],[Move_out ]]="","",TODAY()-DMRB5[[#This Row],[Move_out ]])</f>
        <v>11</v>
      </c>
      <c r="F7" s="2">
        <v>46074</v>
      </c>
      <c r="G7" s="1">
        <f ca="1">IF(DMRB5[[#This Row],[Move_in]]="","",TODAY()-DMRB5[[#This Row],[Move_in]])</f>
        <v>-4</v>
      </c>
      <c r="H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7" s="3">
        <f>IF(DMRB5[[#This Row],[Move_out ]]="","",
IF(OR(DMRB5[[#This Row],[Insp_status ]]="In Progress",DMRB5[[#This Row],[Insp_status ]]="Done",
DMRB5[[#This Row],[Insp_status ]]="Scheduled"),
WORKDAY(DMRB5[[#This Row],[Move_out ]],1),
""))</f>
        <v>46062</v>
      </c>
      <c r="J7" s="1" t="s">
        <v>0</v>
      </c>
      <c r="K7" s="3">
        <f>IF(DMRB5[[#This Row],[Move_out ]]="","",
IF(OR(DMRB5[[#This Row],[Paint_status]]="In Progress",DMRB5[[#This Row],[Paint_status]]="Done",
DMRB5[[#This Row],[Paint_status]]="Scheduled"),
WORKDAY(DMRB5[[#This Row],[Move_out ]],2),
""))</f>
        <v>46063</v>
      </c>
      <c r="L7" s="1" t="s">
        <v>4</v>
      </c>
      <c r="M7" s="3">
        <f>IF(DMRB5[[#This Row],[Move_out ]]="","",
IF(OR(DMRB5[[#This Row],[MR_Status]]="In Progress",DMRB5[[#This Row],[MR_Status]]="Done",
DMRB5[[#This Row],[MR_Status]]="Scheduled"),
WORKDAY(DMRB5[[#This Row],[Move_out ]],3),
""))</f>
        <v>46064</v>
      </c>
      <c r="N7" s="1" t="s">
        <v>4</v>
      </c>
      <c r="O7" s="3">
        <f>IF(DMRB5[[#This Row],[Move_out ]]="","",
IF(OR(DMRB5[[#This Row],[HK_Status]]="In Progress",DMRB5[[#This Row],[HK_Status]]="Done",
DMRB5[[#This Row],[HK_Status]]="Scheduled"),
WORKDAY(DMRB5[[#This Row],[Move_out ]],6),
""))</f>
        <v>46069</v>
      </c>
      <c r="P7" s="1" t="s">
        <v>4</v>
      </c>
      <c r="Q7" s="3">
        <f>IF(DMRB5[[#This Row],[Move_out ]]="","",
IF(OR(DMRB5[[#This Row],[CC_status]]="In Progress",DMRB5[[#This Row],[CC_status]]="Done",
DMRB5[[#This Row],[CC_status]]="Scheduled"),
WORKDAY(DMRB5[[#This Row],[Move_out ]],7),
""))</f>
        <v>46070</v>
      </c>
      <c r="R7" s="1" t="s">
        <v>3</v>
      </c>
      <c r="S7" s="2" t="s">
        <v>2</v>
      </c>
      <c r="T7" s="1" t="s">
        <v>43</v>
      </c>
      <c r="U7" s="1" t="s">
        <v>36</v>
      </c>
      <c r="V7" s="1" t="str">
        <f>IF(TRIM(CLEAN(A7))="","",_xlfn.TEXTBEFORE(_xlfn.TEXTAFTER(A7,"Unit "),"-"))</f>
        <v>5</v>
      </c>
      <c r="W7" s="1" t="str">
        <f>IF(TRIM(CLEAN(A7))="","",_xlfn.TEXTBEFORE(_xlfn.TEXTAFTER(A7,"-"),"-"))</f>
        <v>15</v>
      </c>
      <c r="X7" s="1" t="str">
        <f>IF(TRIM(CLEAN(A7))="","",_xlfn.TEXTAFTER(A7,"-",-1))</f>
        <v>0102</v>
      </c>
    </row>
    <row r="8" spans="1:25" x14ac:dyDescent="0.4">
      <c r="A8" s="4" t="s">
        <v>65</v>
      </c>
      <c r="B8" s="1" t="s">
        <v>41</v>
      </c>
      <c r="C8" s="3">
        <v>45971</v>
      </c>
      <c r="D8" s="3">
        <v>46001</v>
      </c>
      <c r="E8" s="1">
        <f ca="1">IF(DMRB5[[#This Row],[Move_out ]]="","",TODAY()-DMRB5[[#This Row],[Move_out ]])</f>
        <v>99</v>
      </c>
      <c r="F8" s="2">
        <v>46077</v>
      </c>
      <c r="G8" s="1">
        <f ca="1">IF(DMRB5[[#This Row],[Move_in]]="","",TODAY()-DMRB5[[#This Row],[Move_in]])</f>
        <v>-7</v>
      </c>
      <c r="H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8" s="3">
        <f>IF(DMRB5[[#This Row],[Move_out ]]="","",
IF(OR(DMRB5[[#This Row],[Insp_status ]]="In Progress",DMRB5[[#This Row],[Insp_status ]]="Done",
DMRB5[[#This Row],[Insp_status ]]="Scheduled"),
WORKDAY(DMRB5[[#This Row],[Move_out ]],1),
""))</f>
        <v>45972</v>
      </c>
      <c r="J8" s="1" t="s">
        <v>0</v>
      </c>
      <c r="K8" s="3">
        <f>IF(DMRB5[[#This Row],[Move_out ]]="","",
IF(OR(DMRB5[[#This Row],[Paint_status]]="In Progress",DMRB5[[#This Row],[Paint_status]]="Done",
DMRB5[[#This Row],[Paint_status]]="Scheduled"),
WORKDAY(DMRB5[[#This Row],[Move_out ]],2),
""))</f>
        <v>45973</v>
      </c>
      <c r="L8" s="1" t="s">
        <v>0</v>
      </c>
      <c r="M8" s="3">
        <f>IF(DMRB5[[#This Row],[Move_out ]]="","",
IF(OR(DMRB5[[#This Row],[MR_Status]]="In Progress",DMRB5[[#This Row],[MR_Status]]="Done",
DMRB5[[#This Row],[MR_Status]]="Scheduled"),
WORKDAY(DMRB5[[#This Row],[Move_out ]],3),
""))</f>
        <v>45974</v>
      </c>
      <c r="N8" s="1" t="s">
        <v>0</v>
      </c>
      <c r="O8" s="3">
        <f>IF(DMRB5[[#This Row],[Move_out ]]="","",
IF(OR(DMRB5[[#This Row],[HK_Status]]="In Progress",DMRB5[[#This Row],[HK_Status]]="Done",
DMRB5[[#This Row],[HK_Status]]="Scheduled"),
WORKDAY(DMRB5[[#This Row],[Move_out ]],6),
""))</f>
        <v>45979</v>
      </c>
      <c r="P8" s="1" t="s">
        <v>0</v>
      </c>
      <c r="Q8" s="3">
        <f>IF(DMRB5[[#This Row],[Move_out ]]="","",
IF(OR(DMRB5[[#This Row],[CC_status]]="In Progress",DMRB5[[#This Row],[CC_status]]="Done",
DMRB5[[#This Row],[CC_status]]="Scheduled"),
WORKDAY(DMRB5[[#This Row],[Move_out ]],7),
""))</f>
        <v>45980</v>
      </c>
      <c r="R8" s="1" t="s">
        <v>0</v>
      </c>
      <c r="S8" s="2" t="s">
        <v>39</v>
      </c>
      <c r="T8" s="1" t="s">
        <v>123</v>
      </c>
      <c r="U8" s="1" t="s">
        <v>36</v>
      </c>
      <c r="V8" s="1" t="str">
        <f>IF(TRIM(CLEAN(A8))="","",_xlfn.TEXTBEFORE(_xlfn.TEXTAFTER(A8,"Unit "),"-"))</f>
        <v>7</v>
      </c>
      <c r="W8" s="1" t="str">
        <f>IF(TRIM(CLEAN(A8))="","",_xlfn.TEXTBEFORE(_xlfn.TEXTAFTER(A8,"-"),"-"))</f>
        <v>02</v>
      </c>
      <c r="X8" s="1" t="str">
        <f>IF(TRIM(CLEAN(A8))="","",_xlfn.TEXTAFTER(A8,"-",-1))</f>
        <v>0202</v>
      </c>
    </row>
    <row r="9" spans="1:25" x14ac:dyDescent="0.4">
      <c r="A9" s="74" t="s">
        <v>143</v>
      </c>
      <c r="B9" s="1" t="s">
        <v>5</v>
      </c>
      <c r="C9" s="3">
        <v>46058</v>
      </c>
      <c r="D9" s="75">
        <v>46068</v>
      </c>
      <c r="E9" s="1">
        <f ca="1">IF(DMRB5[[#This Row],[Move_out ]]="","",TODAY()-DMRB5[[#This Row],[Move_out ]])</f>
        <v>12</v>
      </c>
      <c r="F9" s="2">
        <v>46078</v>
      </c>
      <c r="G9" s="1">
        <f ca="1">IF(DMRB5[[#This Row],[Move_in]]="","",TODAY()-DMRB5[[#This Row],[Move_in]])</f>
        <v>-8</v>
      </c>
      <c r="H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9" s="3">
        <f>IF(DMRB5[[#This Row],[Move_out ]]="","",
IF(OR(DMRB5[[#This Row],[Insp_status ]]="In Progress",DMRB5[[#This Row],[Insp_status ]]="Done",
DMRB5[[#This Row],[Insp_status ]]="Scheduled"),
WORKDAY(DMRB5[[#This Row],[Move_out ]],1),
""))</f>
        <v>46059</v>
      </c>
      <c r="J9" s="1" t="s">
        <v>0</v>
      </c>
      <c r="K9" s="3">
        <f>IF(DMRB5[[#This Row],[Move_out ]]="","",
IF(OR(DMRB5[[#This Row],[Paint_status]]="In Progress",DMRB5[[#This Row],[Paint_status]]="Done",
DMRB5[[#This Row],[Paint_status]]="Scheduled"),
WORKDAY(DMRB5[[#This Row],[Move_out ]],2),
""))</f>
        <v>46062</v>
      </c>
      <c r="L9" s="1" t="s">
        <v>4</v>
      </c>
      <c r="M9" s="3">
        <f>IF(DMRB5[[#This Row],[Move_out ]]="","",
IF(OR(DMRB5[[#This Row],[MR_Status]]="In Progress",DMRB5[[#This Row],[MR_Status]]="Done",
DMRB5[[#This Row],[MR_Status]]="Scheduled"),
WORKDAY(DMRB5[[#This Row],[Move_out ]],3),
""))</f>
        <v>46063</v>
      </c>
      <c r="N9" s="1" t="s">
        <v>4</v>
      </c>
      <c r="O9" s="3">
        <f>IF(DMRB5[[#This Row],[Move_out ]]="","",
IF(OR(DMRB5[[#This Row],[HK_Status]]="In Progress",DMRB5[[#This Row],[HK_Status]]="Done",
DMRB5[[#This Row],[HK_Status]]="Scheduled"),
WORKDAY(DMRB5[[#This Row],[Move_out ]],6),
""))</f>
        <v>46066</v>
      </c>
      <c r="P9" s="1" t="s">
        <v>4</v>
      </c>
      <c r="Q9" s="3">
        <f>IF(DMRB5[[#This Row],[Move_out ]]="","",
IF(OR(DMRB5[[#This Row],[CC_status]]="In Progress",DMRB5[[#This Row],[CC_status]]="Done",
DMRB5[[#This Row],[CC_status]]="Scheduled"),
WORKDAY(DMRB5[[#This Row],[Move_out ]],7),
""))</f>
        <v>46069</v>
      </c>
      <c r="R9" s="1" t="s">
        <v>3</v>
      </c>
      <c r="S9" s="2" t="s">
        <v>2</v>
      </c>
      <c r="T9" s="3" t="s">
        <v>43</v>
      </c>
      <c r="U9" s="1" t="s">
        <v>36</v>
      </c>
      <c r="V9" s="1" t="str">
        <f>IF(TRIM(CLEAN(A9))="","",_xlfn.TEXTBEFORE(_xlfn.TEXTAFTER(A9,"Unit "),"-"))</f>
        <v>5</v>
      </c>
      <c r="W9" s="1" t="str">
        <f>IF(TRIM(CLEAN(A9))="","",_xlfn.TEXTBEFORE(_xlfn.TEXTAFTER(A9,"-"),"-"))</f>
        <v>17</v>
      </c>
      <c r="X9" s="1" t="str">
        <f>IF(TRIM(CLEAN(A9))="","",_xlfn.TEXTAFTER(A9,"-",-1))</f>
        <v>0114</v>
      </c>
    </row>
    <row r="10" spans="1:25" x14ac:dyDescent="0.4">
      <c r="A10" s="4" t="s">
        <v>107</v>
      </c>
      <c r="B10" s="1" t="s">
        <v>5</v>
      </c>
      <c r="C10" s="3">
        <v>46064</v>
      </c>
      <c r="D10" s="3">
        <v>46074</v>
      </c>
      <c r="E10" s="1">
        <f ca="1">IF(DMRB5[[#This Row],[Move_out ]]="","",TODAY()-DMRB5[[#This Row],[Move_out ]])</f>
        <v>6</v>
      </c>
      <c r="F10" s="2">
        <v>46079</v>
      </c>
      <c r="G10" s="1">
        <f ca="1">IF(DMRB5[[#This Row],[Move_in]]="","",TODAY()-DMRB5[[#This Row],[Move_in]])</f>
        <v>-9</v>
      </c>
      <c r="H1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10" s="3">
        <f>IF(DMRB5[[#This Row],[Move_out ]]="","",
IF(OR(DMRB5[[#This Row],[Insp_status ]]="In Progress",DMRB5[[#This Row],[Insp_status ]]="Done",
DMRB5[[#This Row],[Insp_status ]]="Scheduled"),
WORKDAY(DMRB5[[#This Row],[Move_out ]],1),
""))</f>
        <v>46065</v>
      </c>
      <c r="J10" s="1" t="s">
        <v>0</v>
      </c>
      <c r="K10" s="3">
        <f>IF(DMRB5[[#This Row],[Move_out ]]="","",
IF(OR(DMRB5[[#This Row],[Paint_status]]="In Progress",DMRB5[[#This Row],[Paint_status]]="Done",
DMRB5[[#This Row],[Paint_status]]="Scheduled"),
WORKDAY(DMRB5[[#This Row],[Move_out ]],2),
""))</f>
        <v>46066</v>
      </c>
      <c r="L10" s="1" t="s">
        <v>4</v>
      </c>
      <c r="M10" s="3">
        <f>IF(DMRB5[[#This Row],[Move_out ]]="","",
IF(OR(DMRB5[[#This Row],[MR_Status]]="In Progress",DMRB5[[#This Row],[MR_Status]]="Done",
DMRB5[[#This Row],[MR_Status]]="Scheduled"),
WORKDAY(DMRB5[[#This Row],[Move_out ]],3),
""))</f>
        <v>46069</v>
      </c>
      <c r="N10" s="1" t="s">
        <v>3</v>
      </c>
      <c r="O10" s="3">
        <f>IF(DMRB5[[#This Row],[Move_out ]]="","",
IF(OR(DMRB5[[#This Row],[HK_Status]]="In Progress",DMRB5[[#This Row],[HK_Status]]="Done",
DMRB5[[#This Row],[HK_Status]]="Scheduled"),
WORKDAY(DMRB5[[#This Row],[Move_out ]],6),
""))</f>
        <v>46072</v>
      </c>
      <c r="P10" s="1" t="s">
        <v>4</v>
      </c>
      <c r="Q10" s="3">
        <f>IF(DMRB5[[#This Row],[Move_out ]]="","",
IF(OR(DMRB5[[#This Row],[CC_status]]="In Progress",DMRB5[[#This Row],[CC_status]]="Done",
DMRB5[[#This Row],[CC_status]]="Scheduled"),
WORKDAY(DMRB5[[#This Row],[Move_out ]],7),
""))</f>
        <v>46073</v>
      </c>
      <c r="R10" s="1" t="s">
        <v>0</v>
      </c>
      <c r="S10" s="2" t="s">
        <v>39</v>
      </c>
      <c r="T10" s="1" t="s">
        <v>36</v>
      </c>
      <c r="U10" s="1" t="s">
        <v>36</v>
      </c>
      <c r="V10" s="1" t="str">
        <f>IF(TRIM(CLEAN(A10))="","",_xlfn.TEXTBEFORE(_xlfn.TEXTAFTER(A10,"Unit "),"-"))</f>
        <v>7</v>
      </c>
      <c r="W10" s="1" t="str">
        <f>IF(TRIM(CLEAN(A10))="","",_xlfn.TEXTBEFORE(_xlfn.TEXTAFTER(A10,"-"),"-"))</f>
        <v>03</v>
      </c>
      <c r="X10" s="1" t="str">
        <f>IF(TRIM(CLEAN(A10))="","",_xlfn.TEXTAFTER(A10,"-",-1))</f>
        <v>0109</v>
      </c>
    </row>
    <row r="11" spans="1:25" x14ac:dyDescent="0.4">
      <c r="A11" s="74" t="s">
        <v>93</v>
      </c>
      <c r="B11" s="1" t="s">
        <v>5</v>
      </c>
      <c r="C11" s="3">
        <v>46053</v>
      </c>
      <c r="D11" s="75">
        <v>46064</v>
      </c>
      <c r="E11" s="1">
        <f ca="1">IF(DMRB5[[#This Row],[Move_out ]]="","",TODAY()-DMRB5[[#This Row],[Move_out ]])</f>
        <v>17</v>
      </c>
      <c r="F11" s="2">
        <v>46080</v>
      </c>
      <c r="G11" s="1">
        <f ca="1">IF(DMRB5[[#This Row],[Move_in]]="","",TODAY()-DMRB5[[#This Row],[Move_in]])</f>
        <v>-10</v>
      </c>
      <c r="H1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11" s="3">
        <f>IF(DMRB5[[#This Row],[Move_out ]]="","",
IF(OR(DMRB5[[#This Row],[Insp_status ]]="In Progress",DMRB5[[#This Row],[Insp_status ]]="Done",
DMRB5[[#This Row],[Insp_status ]]="Scheduled"),
WORKDAY(DMRB5[[#This Row],[Move_out ]],1),
""))</f>
        <v>46055</v>
      </c>
      <c r="J11" s="1" t="s">
        <v>0</v>
      </c>
      <c r="K11" s="3">
        <f>IF(DMRB5[[#This Row],[Move_out ]]="","",
IF(OR(DMRB5[[#This Row],[Paint_status]]="In Progress",DMRB5[[#This Row],[Paint_status]]="Done",
DMRB5[[#This Row],[Paint_status]]="Scheduled"),
WORKDAY(DMRB5[[#This Row],[Move_out ]],2),
""))</f>
        <v>46056</v>
      </c>
      <c r="L11" s="3" t="s">
        <v>4</v>
      </c>
      <c r="M11" s="3">
        <f>IF(DMRB5[[#This Row],[Move_out ]]="","",
IF(OR(DMRB5[[#This Row],[MR_Status]]="In Progress",DMRB5[[#This Row],[MR_Status]]="Done",
DMRB5[[#This Row],[MR_Status]]="Scheduled"),
WORKDAY(DMRB5[[#This Row],[Move_out ]],3),
""))</f>
        <v>46057</v>
      </c>
      <c r="N11" s="3" t="s">
        <v>4</v>
      </c>
      <c r="O11" s="3">
        <f>IF(DMRB5[[#This Row],[Move_out ]]="","",
IF(OR(DMRB5[[#This Row],[HK_Status]]="In Progress",DMRB5[[#This Row],[HK_Status]]="Done",
DMRB5[[#This Row],[HK_Status]]="Scheduled"),
WORKDAY(DMRB5[[#This Row],[Move_out ]],6),
""))</f>
        <v>46062</v>
      </c>
      <c r="P11" s="3" t="s">
        <v>4</v>
      </c>
      <c r="Q11" s="3">
        <f>IF(DMRB5[[#This Row],[Move_out ]]="","",
IF(OR(DMRB5[[#This Row],[CC_status]]="In Progress",DMRB5[[#This Row],[CC_status]]="Done",
DMRB5[[#This Row],[CC_status]]="Scheduled"),
WORKDAY(DMRB5[[#This Row],[Move_out ]],7),
""))</f>
        <v>46063</v>
      </c>
      <c r="R11" s="3" t="s">
        <v>3</v>
      </c>
      <c r="S11" s="2" t="s">
        <v>2</v>
      </c>
      <c r="T11" s="3" t="s">
        <v>43</v>
      </c>
      <c r="U11" s="1" t="s">
        <v>36</v>
      </c>
      <c r="V11" s="1" t="str">
        <f>IF(TRIM(CLEAN(A11))="","",_xlfn.TEXTBEFORE(_xlfn.TEXTAFTER(A11,"Unit "),"-"))</f>
        <v>5</v>
      </c>
      <c r="W11" s="1" t="str">
        <f>IF(TRIM(CLEAN(A11))="","",_xlfn.TEXTBEFORE(_xlfn.TEXTAFTER(A11,"-"),"-"))</f>
        <v>18</v>
      </c>
      <c r="X11" s="1" t="str">
        <f>IF(TRIM(CLEAN(A11))="","",_xlfn.TEXTAFTER(A11,"-",-1))</f>
        <v>0206</v>
      </c>
    </row>
    <row r="12" spans="1:25" x14ac:dyDescent="0.4">
      <c r="A12" s="4" t="s">
        <v>108</v>
      </c>
      <c r="B12" s="1" t="s">
        <v>5</v>
      </c>
      <c r="C12" s="3">
        <v>46066</v>
      </c>
      <c r="D12" s="3">
        <v>46076</v>
      </c>
      <c r="E12" s="1">
        <f ca="1">IF(DMRB5[[#This Row],[Move_out ]]="","",TODAY()-DMRB5[[#This Row],[Move_out ]])</f>
        <v>4</v>
      </c>
      <c r="F12" s="2">
        <v>46081</v>
      </c>
      <c r="G12" s="1">
        <f ca="1">IF(DMRB5[[#This Row],[Move_in]]="","",TODAY()-DMRB5[[#This Row],[Move_in]])</f>
        <v>-11</v>
      </c>
      <c r="H1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12" s="3">
        <f>IF(DMRB5[[#This Row],[Move_out ]]="","",
IF(OR(DMRB5[[#This Row],[Insp_status ]]="In Progress",DMRB5[[#This Row],[Insp_status ]]="Done",
DMRB5[[#This Row],[Insp_status ]]="Scheduled"),
WORKDAY(DMRB5[[#This Row],[Move_out ]],1),
""))</f>
        <v>46069</v>
      </c>
      <c r="J12" s="1" t="s">
        <v>0</v>
      </c>
      <c r="K12" s="3">
        <f>IF(DMRB5[[#This Row],[Move_out ]]="","",
IF(OR(DMRB5[[#This Row],[Paint_status]]="In Progress",DMRB5[[#This Row],[Paint_status]]="Done",
DMRB5[[#This Row],[Paint_status]]="Scheduled"),
WORKDAY(DMRB5[[#This Row],[Move_out ]],2),
""))</f>
        <v>46070</v>
      </c>
      <c r="L12" s="1" t="s">
        <v>4</v>
      </c>
      <c r="M12" s="3">
        <f>IF(DMRB5[[#This Row],[Move_out ]]="","",
IF(OR(DMRB5[[#This Row],[MR_Status]]="In Progress",DMRB5[[#This Row],[MR_Status]]="Done",
DMRB5[[#This Row],[MR_Status]]="Scheduled"),
WORKDAY(DMRB5[[#This Row],[Move_out ]],3),
""))</f>
        <v>46071</v>
      </c>
      <c r="N12" s="1" t="s">
        <v>3</v>
      </c>
      <c r="O12" s="3">
        <f>IF(DMRB5[[#This Row],[Move_out ]]="","",
IF(OR(DMRB5[[#This Row],[HK_Status]]="In Progress",DMRB5[[#This Row],[HK_Status]]="Done",
DMRB5[[#This Row],[HK_Status]]="Scheduled"),
WORKDAY(DMRB5[[#This Row],[Move_out ]],6),
""))</f>
        <v>46076</v>
      </c>
      <c r="P12" s="1" t="s">
        <v>4</v>
      </c>
      <c r="Q12" s="3">
        <f>IF(DMRB5[[#This Row],[Move_out ]]="","",
IF(OR(DMRB5[[#This Row],[CC_status]]="In Progress",DMRB5[[#This Row],[CC_status]]="Done",
DMRB5[[#This Row],[CC_status]]="Scheduled"),
WORKDAY(DMRB5[[#This Row],[Move_out ]],7),
""))</f>
        <v>46077</v>
      </c>
      <c r="R12" s="1" t="s">
        <v>3</v>
      </c>
      <c r="S12" s="2" t="s">
        <v>42</v>
      </c>
      <c r="T12" s="1" t="s">
        <v>1</v>
      </c>
      <c r="U12" s="1" t="s">
        <v>36</v>
      </c>
      <c r="V12" s="1" t="str">
        <f>IF(TRIM(CLEAN(A12))="","",_xlfn.TEXTBEFORE(_xlfn.TEXTAFTER(A12,"Unit "),"-"))</f>
        <v>7</v>
      </c>
      <c r="W12" s="1" t="str">
        <f>IF(TRIM(CLEAN(A12))="","",_xlfn.TEXTBEFORE(_xlfn.TEXTAFTER(A12,"-"),"-"))</f>
        <v>TH1</v>
      </c>
      <c r="X12" s="1" t="str">
        <f>IF(TRIM(CLEAN(A12))="","",_xlfn.TEXTAFTER(A12,"-",-1))</f>
        <v>0101</v>
      </c>
    </row>
    <row r="13" spans="1:25" x14ac:dyDescent="0.4">
      <c r="A13" s="4" t="s">
        <v>113</v>
      </c>
      <c r="B13" s="1" t="s">
        <v>5</v>
      </c>
      <c r="C13" s="3">
        <v>46068</v>
      </c>
      <c r="D13" s="3">
        <v>46078</v>
      </c>
      <c r="E13" s="1">
        <f ca="1">IF(DMRB5[[#This Row],[Move_out ]]="","",TODAY()-DMRB5[[#This Row],[Move_out ]])</f>
        <v>2</v>
      </c>
      <c r="F13" s="2">
        <v>46081</v>
      </c>
      <c r="G13" s="1">
        <f ca="1">IF(DMRB5[[#This Row],[Move_in]]="","",TODAY()-DMRB5[[#This Row],[Move_in]])</f>
        <v>-11</v>
      </c>
      <c r="H1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13" s="3">
        <f>IF(DMRB5[[#This Row],[Move_out ]]="","",
IF(OR(DMRB5[[#This Row],[Insp_status ]]="In Progress",DMRB5[[#This Row],[Insp_status ]]="Done",
DMRB5[[#This Row],[Insp_status ]]="Scheduled"),
WORKDAY(DMRB5[[#This Row],[Move_out ]],1),
""))</f>
        <v>46069</v>
      </c>
      <c r="J13" s="1" t="s">
        <v>0</v>
      </c>
      <c r="K13" s="3">
        <f>IF(DMRB5[[#This Row],[Move_out ]]="","",
IF(OR(DMRB5[[#This Row],[Paint_status]]="In Progress",DMRB5[[#This Row],[Paint_status]]="Done",
DMRB5[[#This Row],[Paint_status]]="Scheduled"),
WORKDAY(DMRB5[[#This Row],[Move_out ]],2),
""))</f>
        <v>46070</v>
      </c>
      <c r="L13" s="1" t="s">
        <v>4</v>
      </c>
      <c r="M13" s="3">
        <f>IF(DMRB5[[#This Row],[Move_out ]]="","",
IF(OR(DMRB5[[#This Row],[MR_Status]]="In Progress",DMRB5[[#This Row],[MR_Status]]="Done",
DMRB5[[#This Row],[MR_Status]]="Scheduled"),
WORKDAY(DMRB5[[#This Row],[Move_out ]],3),
""))</f>
        <v>46071</v>
      </c>
      <c r="N13" s="1" t="s">
        <v>3</v>
      </c>
      <c r="O13" s="3">
        <f>IF(DMRB5[[#This Row],[Move_out ]]="","",
IF(OR(DMRB5[[#This Row],[HK_Status]]="In Progress",DMRB5[[#This Row],[HK_Status]]="Done",
DMRB5[[#This Row],[HK_Status]]="Scheduled"),
WORKDAY(DMRB5[[#This Row],[Move_out ]],6),
""))</f>
        <v>46076</v>
      </c>
      <c r="P13" s="1" t="s">
        <v>4</v>
      </c>
      <c r="Q13" s="3">
        <f>IF(DMRB5[[#This Row],[Move_out ]]="","",
IF(OR(DMRB5[[#This Row],[CC_status]]="In Progress",DMRB5[[#This Row],[CC_status]]="Done",
DMRB5[[#This Row],[CC_status]]="Scheduled"),
WORKDAY(DMRB5[[#This Row],[Move_out ]],7),
""))</f>
        <v>46077</v>
      </c>
      <c r="R13" s="1" t="s">
        <v>3</v>
      </c>
      <c r="S13" s="2" t="s">
        <v>42</v>
      </c>
      <c r="T13" s="1" t="s">
        <v>43</v>
      </c>
      <c r="U13" s="1" t="s">
        <v>36</v>
      </c>
      <c r="V13" s="1" t="str">
        <f>IF(TRIM(CLEAN(A13))="","",_xlfn.TEXTBEFORE(_xlfn.TEXTAFTER(A13,"Unit "),"-"))</f>
        <v>8</v>
      </c>
      <c r="W13" s="1" t="str">
        <f>IF(TRIM(CLEAN(A13))="","",_xlfn.TEXTBEFORE(_xlfn.TEXTAFTER(A13,"-"),"-"))</f>
        <v>01</v>
      </c>
      <c r="X13" s="1" t="str">
        <f>IF(TRIM(CLEAN(A13))="","",_xlfn.TEXTAFTER(A13,"-",-1))</f>
        <v>3040</v>
      </c>
    </row>
    <row r="14" spans="1:25" hidden="1" x14ac:dyDescent="0.4">
      <c r="A14" s="4" t="s">
        <v>110</v>
      </c>
      <c r="B14" s="1" t="s">
        <v>34</v>
      </c>
      <c r="C14" s="3">
        <v>46071</v>
      </c>
      <c r="D14" s="3">
        <v>46089</v>
      </c>
      <c r="E14" s="1">
        <f ca="1">IF(DMRB5[[#This Row],[Move_out ]]="","",TODAY()-DMRB5[[#This Row],[Move_out ]])</f>
        <v>-1</v>
      </c>
      <c r="F14" s="2">
        <v>46081</v>
      </c>
      <c r="G14" s="1">
        <f ca="1">IF(DMRB5[[#This Row],[Move_in]]="","",TODAY()-DMRB5[[#This Row],[Move_in]])</f>
        <v>-11</v>
      </c>
      <c r="H1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14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K14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4" s="1"/>
      <c r="M14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4" s="1"/>
      <c r="O14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4" s="1"/>
      <c r="Q14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4" s="1"/>
      <c r="S14" s="2"/>
      <c r="T14" s="1"/>
      <c r="V14" s="1" t="str">
        <f>IF(TRIM(CLEAN(A14))="","",_xlfn.TEXTBEFORE(_xlfn.TEXTAFTER(A14,"Unit "),"-"))</f>
        <v>7</v>
      </c>
      <c r="W14" s="1" t="str">
        <f>IF(TRIM(CLEAN(A14))="","",_xlfn.TEXTBEFORE(_xlfn.TEXTAFTER(A14,"-"),"-"))</f>
        <v>11</v>
      </c>
      <c r="X14" s="1" t="str">
        <f>IF(TRIM(CLEAN(A14))="","",_xlfn.TEXTAFTER(A14,"-",-1))</f>
        <v>0416</v>
      </c>
    </row>
    <row r="15" spans="1:25" x14ac:dyDescent="0.4">
      <c r="A15" s="88" t="s">
        <v>149</v>
      </c>
      <c r="B15" s="1" t="s">
        <v>5</v>
      </c>
      <c r="C15" s="3">
        <v>46064</v>
      </c>
      <c r="D15" s="75">
        <v>46074</v>
      </c>
      <c r="E15" s="1">
        <f ca="1">IF(DMRB5[[#This Row],[Move_out ]]="","",TODAY()-DMRB5[[#This Row],[Move_out ]])</f>
        <v>6</v>
      </c>
      <c r="F15" s="2">
        <v>46084</v>
      </c>
      <c r="G15" s="1">
        <f ca="1">IF(DMRB5[[#This Row],[Move_in]]="","",TODAY()-DMRB5[[#This Row],[Move_in]])</f>
        <v>-14</v>
      </c>
      <c r="H1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15" s="3">
        <f>IF(DMRB5[[#This Row],[Move_out ]]="","",
IF(OR(DMRB5[[#This Row],[Insp_status ]]="In Progress",DMRB5[[#This Row],[Insp_status ]]="Done",
DMRB5[[#This Row],[Insp_status ]]="Scheduled"),
WORKDAY(DMRB5[[#This Row],[Move_out ]],1),
""))</f>
        <v>46065</v>
      </c>
      <c r="J15" s="1" t="s">
        <v>0</v>
      </c>
      <c r="K15" s="3">
        <f>IF(DMRB5[[#This Row],[Move_out ]]="","",
IF(OR(DMRB5[[#This Row],[Paint_status]]="In Progress",DMRB5[[#This Row],[Paint_status]]="Done",
DMRB5[[#This Row],[Paint_status]]="Scheduled"),
WORKDAY(DMRB5[[#This Row],[Move_out ]],2),
""))</f>
        <v>46066</v>
      </c>
      <c r="L15" s="3" t="s">
        <v>4</v>
      </c>
      <c r="M15" s="3">
        <f>IF(DMRB5[[#This Row],[Move_out ]]="","",
IF(OR(DMRB5[[#This Row],[MR_Status]]="In Progress",DMRB5[[#This Row],[MR_Status]]="Done",
DMRB5[[#This Row],[MR_Status]]="Scheduled"),
WORKDAY(DMRB5[[#This Row],[Move_out ]],3),
""))</f>
        <v>46069</v>
      </c>
      <c r="N15" s="1" t="s">
        <v>4</v>
      </c>
      <c r="O15" s="3">
        <f>IF(DMRB5[[#This Row],[Move_out ]]="","",
IF(OR(DMRB5[[#This Row],[HK_Status]]="In Progress",DMRB5[[#This Row],[HK_Status]]="Done",
DMRB5[[#This Row],[HK_Status]]="Scheduled"),
WORKDAY(DMRB5[[#This Row],[Move_out ]],6),
""))</f>
        <v>46072</v>
      </c>
      <c r="P15" s="1" t="s">
        <v>4</v>
      </c>
      <c r="Q15" s="3">
        <f>IF(DMRB5[[#This Row],[Move_out ]]="","",
IF(OR(DMRB5[[#This Row],[CC_status]]="In Progress",DMRB5[[#This Row],[CC_status]]="Done",
DMRB5[[#This Row],[CC_status]]="Scheduled"),
WORKDAY(DMRB5[[#This Row],[Move_out ]],7),
""))</f>
        <v>46073</v>
      </c>
      <c r="R15" s="1" t="s">
        <v>3</v>
      </c>
      <c r="S15" s="2" t="s">
        <v>2</v>
      </c>
      <c r="T15" s="3" t="s">
        <v>43</v>
      </c>
      <c r="U15" s="1" t="s">
        <v>36</v>
      </c>
      <c r="V15" s="1" t="str">
        <f>IF(TRIM(CLEAN(A15))="","",_xlfn.TEXTBEFORE(_xlfn.TEXTAFTER(A15,"Unit "),"-"))</f>
        <v>5</v>
      </c>
      <c r="W15" s="1" t="str">
        <f>IF(TRIM(CLEAN(A15))="","",_xlfn.TEXTBEFORE(_xlfn.TEXTAFTER(A15,"-"),"-"))</f>
        <v>17</v>
      </c>
      <c r="X15" s="1" t="str">
        <f>IF(TRIM(CLEAN(A15))="","",_xlfn.TEXTAFTER(A15,"-",-1))</f>
        <v>0202</v>
      </c>
    </row>
    <row r="16" spans="1:25" x14ac:dyDescent="0.4">
      <c r="A16" s="4" t="s">
        <v>104</v>
      </c>
      <c r="B16" s="1" t="s">
        <v>5</v>
      </c>
      <c r="C16" s="3">
        <v>46062</v>
      </c>
      <c r="D16" s="3">
        <v>46072</v>
      </c>
      <c r="E16" s="1">
        <f ca="1">IF(DMRB5[[#This Row],[Move_out ]]="","",TODAY()-DMRB5[[#This Row],[Move_out ]])</f>
        <v>8</v>
      </c>
      <c r="F16" s="2">
        <v>46087</v>
      </c>
      <c r="G16" s="1">
        <f ca="1">IF(DMRB5[[#This Row],[Move_in]]="","",TODAY()-DMRB5[[#This Row],[Move_in]])</f>
        <v>-17</v>
      </c>
      <c r="H1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16" s="3">
        <f>IF(DMRB5[[#This Row],[Move_out ]]="","",
IF(OR(DMRB5[[#This Row],[Insp_status ]]="In Progress",DMRB5[[#This Row],[Insp_status ]]="Done",
DMRB5[[#This Row],[Insp_status ]]="Scheduled"),
WORKDAY(DMRB5[[#This Row],[Move_out ]],1),
""))</f>
        <v>46063</v>
      </c>
      <c r="J16" s="1" t="s">
        <v>0</v>
      </c>
      <c r="K16" s="3">
        <f>IF(DMRB5[[#This Row],[Move_out ]]="","",
IF(OR(DMRB5[[#This Row],[Paint_status]]="In Progress",DMRB5[[#This Row],[Paint_status]]="Done",
DMRB5[[#This Row],[Paint_status]]="Scheduled"),
WORKDAY(DMRB5[[#This Row],[Move_out ]],2),
""))</f>
        <v>46064</v>
      </c>
      <c r="L16" s="1" t="s">
        <v>4</v>
      </c>
      <c r="M16" s="3">
        <f>IF(DMRB5[[#This Row],[Move_out ]]="","",
IF(OR(DMRB5[[#This Row],[MR_Status]]="In Progress",DMRB5[[#This Row],[MR_Status]]="Done",
DMRB5[[#This Row],[MR_Status]]="Scheduled"),
WORKDAY(DMRB5[[#This Row],[Move_out ]],3),
""))</f>
        <v>46065</v>
      </c>
      <c r="N16" s="1" t="s">
        <v>4</v>
      </c>
      <c r="O16" s="3">
        <f>IF(DMRB5[[#This Row],[Move_out ]]="","",
IF(OR(DMRB5[[#This Row],[HK_Status]]="In Progress",DMRB5[[#This Row],[HK_Status]]="Done",
DMRB5[[#This Row],[HK_Status]]="Scheduled"),
WORKDAY(DMRB5[[#This Row],[Move_out ]],6),
""))</f>
        <v>46070</v>
      </c>
      <c r="P16" s="1" t="s">
        <v>4</v>
      </c>
      <c r="Q16" s="3">
        <f>IF(DMRB5[[#This Row],[Move_out ]]="","",
IF(OR(DMRB5[[#This Row],[CC_status]]="In Progress",DMRB5[[#This Row],[CC_status]]="Done",
DMRB5[[#This Row],[CC_status]]="Scheduled"),
WORKDAY(DMRB5[[#This Row],[Move_out ]],7),
""))</f>
        <v>46071</v>
      </c>
      <c r="R16" s="1" t="s">
        <v>3</v>
      </c>
      <c r="S16" s="2" t="s">
        <v>2</v>
      </c>
      <c r="T16" s="1" t="s">
        <v>43</v>
      </c>
      <c r="U16" s="1" t="s">
        <v>36</v>
      </c>
      <c r="V16" s="1" t="str">
        <f>IF(TRIM(CLEAN(A16))="","",_xlfn.TEXTBEFORE(_xlfn.TEXTAFTER(A16,"Unit "),"-"))</f>
        <v>5</v>
      </c>
      <c r="W16" s="1" t="str">
        <f>IF(TRIM(CLEAN(A16))="","",_xlfn.TEXTBEFORE(_xlfn.TEXTAFTER(A16,"-"),"-"))</f>
        <v>02</v>
      </c>
      <c r="X16" s="1" t="str">
        <f>IF(TRIM(CLEAN(A16))="","",_xlfn.TEXTAFTER(A16,"-",-1))</f>
        <v>0306</v>
      </c>
    </row>
    <row r="17" spans="1:25" x14ac:dyDescent="0.4">
      <c r="A17" s="4" t="s">
        <v>111</v>
      </c>
      <c r="B17" s="1" t="s">
        <v>5</v>
      </c>
      <c r="C17" s="3">
        <v>46069</v>
      </c>
      <c r="D17" s="3">
        <v>46078</v>
      </c>
      <c r="E17" s="1">
        <f ca="1">IF(DMRB5[[#This Row],[Move_out ]]="","",TODAY()-DMRB5[[#This Row],[Move_out ]])</f>
        <v>1</v>
      </c>
      <c r="F17" s="2">
        <v>46087</v>
      </c>
      <c r="G17" s="1">
        <f ca="1">IF(DMRB5[[#This Row],[Move_in]]="","",TODAY()-DMRB5[[#This Row],[Move_in]])</f>
        <v>-17</v>
      </c>
      <c r="H1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17" s="3">
        <f>IF(DMRB5[[#This Row],[Move_out ]]="","",
IF(OR(DMRB5[[#This Row],[Insp_status ]]="In Progress",DMRB5[[#This Row],[Insp_status ]]="Done",
DMRB5[[#This Row],[Insp_status ]]="Scheduled"),
WORKDAY(DMRB5[[#This Row],[Move_out ]],1),
""))</f>
        <v>46070</v>
      </c>
      <c r="J17" s="1" t="s">
        <v>0</v>
      </c>
      <c r="K17" s="3">
        <f>IF(DMRB5[[#This Row],[Move_out ]]="","",
IF(OR(DMRB5[[#This Row],[Paint_status]]="In Progress",DMRB5[[#This Row],[Paint_status]]="Done",
DMRB5[[#This Row],[Paint_status]]="Scheduled"),
WORKDAY(DMRB5[[#This Row],[Move_out ]],2),
""))</f>
        <v>46071</v>
      </c>
      <c r="L17" s="1" t="s">
        <v>4</v>
      </c>
      <c r="M17" s="3">
        <f>IF(DMRB5[[#This Row],[Move_out ]]="","",
IF(OR(DMRB5[[#This Row],[MR_Status]]="In Progress",DMRB5[[#This Row],[MR_Status]]="Done",
DMRB5[[#This Row],[MR_Status]]="Scheduled"),
WORKDAY(DMRB5[[#This Row],[Move_out ]],3),
""))</f>
        <v>46072</v>
      </c>
      <c r="N17" s="1" t="s">
        <v>3</v>
      </c>
      <c r="O17" s="3">
        <f>IF(DMRB5[[#This Row],[Move_out ]]="","",
IF(OR(DMRB5[[#This Row],[HK_Status]]="In Progress",DMRB5[[#This Row],[HK_Status]]="Done",
DMRB5[[#This Row],[HK_Status]]="Scheduled"),
WORKDAY(DMRB5[[#This Row],[Move_out ]],6),
""))</f>
        <v>46077</v>
      </c>
      <c r="P17" s="1" t="s">
        <v>4</v>
      </c>
      <c r="Q17" s="3">
        <f>IF(DMRB5[[#This Row],[Move_out ]]="","",
IF(OR(DMRB5[[#This Row],[CC_status]]="In Progress",DMRB5[[#This Row],[CC_status]]="Done",
DMRB5[[#This Row],[CC_status]]="Scheduled"),
WORKDAY(DMRB5[[#This Row],[Move_out ]],7),
""))</f>
        <v>46078</v>
      </c>
      <c r="R17" s="1" t="s">
        <v>3</v>
      </c>
      <c r="S17" s="2" t="s">
        <v>39</v>
      </c>
      <c r="T17" s="1" t="s">
        <v>36</v>
      </c>
      <c r="U17" s="1" t="s">
        <v>36</v>
      </c>
      <c r="V17" s="1" t="str">
        <f>IF(TRIM(CLEAN(A17))="","",_xlfn.TEXTBEFORE(_xlfn.TEXTAFTER(A17,"Unit "),"-"))</f>
        <v>7</v>
      </c>
      <c r="W17" s="1" t="str">
        <f>IF(TRIM(CLEAN(A17))="","",_xlfn.TEXTBEFORE(_xlfn.TEXTAFTER(A17,"-"),"-"))</f>
        <v>07</v>
      </c>
      <c r="X17" s="1" t="str">
        <f>IF(TRIM(CLEAN(A17))="","",_xlfn.TEXTAFTER(A17,"-",-1))</f>
        <v>0202</v>
      </c>
      <c r="Y17" s="52" t="s">
        <v>124</v>
      </c>
    </row>
    <row r="18" spans="1:25" x14ac:dyDescent="0.4">
      <c r="A18" s="4" t="s">
        <v>91</v>
      </c>
      <c r="B18" s="1" t="s">
        <v>41</v>
      </c>
      <c r="C18" s="3">
        <v>46041</v>
      </c>
      <c r="D18" s="3">
        <v>46051</v>
      </c>
      <c r="E18" s="1">
        <f ca="1">IF(DMRB5[[#This Row],[Move_out ]]="","",TODAY()-DMRB5[[#This Row],[Move_out ]])</f>
        <v>29</v>
      </c>
      <c r="F18" s="2">
        <v>46088</v>
      </c>
      <c r="G18" s="1">
        <f ca="1">IF(DMRB5[[#This Row],[Move_in]]="","",TODAY()-DMRB5[[#This Row],[Move_in]])</f>
        <v>-18</v>
      </c>
      <c r="H1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SMI</v>
      </c>
      <c r="I18" s="3">
        <f>IF(DMRB5[[#This Row],[Move_out ]]="","",
IF(OR(DMRB5[[#This Row],[Insp_status ]]="In Progress",DMRB5[[#This Row],[Insp_status ]]="Done",
DMRB5[[#This Row],[Insp_status ]]="Scheduled"),
WORKDAY(DMRB5[[#This Row],[Move_out ]],1),
""))</f>
        <v>46042</v>
      </c>
      <c r="J18" s="1" t="s">
        <v>0</v>
      </c>
      <c r="K18" s="3">
        <f>IF(DMRB5[[#This Row],[Move_out ]]="","",
IF(OR(DMRB5[[#This Row],[Paint_status]]="In Progress",DMRB5[[#This Row],[Paint_status]]="Done",
DMRB5[[#This Row],[Paint_status]]="Scheduled"),
WORKDAY(DMRB5[[#This Row],[Move_out ]],2),
""))</f>
        <v>46043</v>
      </c>
      <c r="L18" s="1" t="s">
        <v>0</v>
      </c>
      <c r="M18" s="3">
        <f>IF(DMRB5[[#This Row],[Move_out ]]="","",
IF(OR(DMRB5[[#This Row],[MR_Status]]="In Progress",DMRB5[[#This Row],[MR_Status]]="Done",
DMRB5[[#This Row],[MR_Status]]="Scheduled"),
WORKDAY(DMRB5[[#This Row],[Move_out ]],3),
""))</f>
        <v>46044</v>
      </c>
      <c r="N18" s="1" t="s">
        <v>0</v>
      </c>
      <c r="O18" s="3">
        <f>IF(DMRB5[[#This Row],[Move_out ]]="","",
IF(OR(DMRB5[[#This Row],[HK_Status]]="In Progress",DMRB5[[#This Row],[HK_Status]]="Done",
DMRB5[[#This Row],[HK_Status]]="Scheduled"),
WORKDAY(DMRB5[[#This Row],[Move_out ]],6),
""))</f>
        <v>46049</v>
      </c>
      <c r="P18" s="1" t="s">
        <v>0</v>
      </c>
      <c r="Q18" s="3">
        <f>IF(DMRB5[[#This Row],[Move_out ]]="","",
IF(OR(DMRB5[[#This Row],[CC_status]]="In Progress",DMRB5[[#This Row],[CC_status]]="Done",
DMRB5[[#This Row],[CC_status]]="Scheduled"),
WORKDAY(DMRB5[[#This Row],[Move_out ]],7),
""))</f>
        <v>46050</v>
      </c>
      <c r="R18" s="1" t="s">
        <v>0</v>
      </c>
      <c r="S18" s="2" t="s">
        <v>2</v>
      </c>
      <c r="T18" s="1" t="s">
        <v>43</v>
      </c>
      <c r="U18" s="1" t="s">
        <v>36</v>
      </c>
      <c r="V18" s="1" t="str">
        <f>IF(TRIM(CLEAN(A18))="","",_xlfn.TEXTBEFORE(_xlfn.TEXTAFTER(A18,"Unit "),"-"))</f>
        <v>5</v>
      </c>
      <c r="W18" s="1" t="str">
        <f>IF(TRIM(CLEAN(A18))="","",_xlfn.TEXTBEFORE(_xlfn.TEXTAFTER(A18,"-"),"-"))</f>
        <v>04</v>
      </c>
      <c r="X18" s="1" t="str">
        <f>IF(TRIM(CLEAN(A18))="","",_xlfn.TEXTAFTER(A18,"-",-1))</f>
        <v>5760</v>
      </c>
    </row>
    <row r="19" spans="1:25" hidden="1" x14ac:dyDescent="0.4">
      <c r="A19" s="4" t="s">
        <v>118</v>
      </c>
      <c r="B19" s="1" t="s">
        <v>34</v>
      </c>
      <c r="C19" s="3">
        <v>46075</v>
      </c>
      <c r="D19" s="3">
        <v>46083</v>
      </c>
      <c r="E19" s="1">
        <f ca="1">IF(DMRB5[[#This Row],[Move_out ]]="","",TODAY()-DMRB5[[#This Row],[Move_out ]])</f>
        <v>-5</v>
      </c>
      <c r="F19" s="2">
        <v>46088</v>
      </c>
      <c r="G19" s="1">
        <f ca="1">IF(DMRB5[[#This Row],[Move_in]]="","",TODAY()-DMRB5[[#This Row],[Move_in]])</f>
        <v>-18</v>
      </c>
      <c r="H1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19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9" s="1" t="s">
        <v>38</v>
      </c>
      <c r="K19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9" s="1" t="s">
        <v>38</v>
      </c>
      <c r="M19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9" s="1" t="s">
        <v>38</v>
      </c>
      <c r="O19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9" s="1" t="s">
        <v>38</v>
      </c>
      <c r="Q19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9" s="1" t="s">
        <v>38</v>
      </c>
      <c r="S19" s="2" t="s">
        <v>42</v>
      </c>
      <c r="T19" s="1"/>
      <c r="U19" s="1" t="s">
        <v>36</v>
      </c>
      <c r="V19" s="1" t="str">
        <f>IF(TRIM(CLEAN(A19))="","",_xlfn.TEXTBEFORE(_xlfn.TEXTAFTER(A19,"Unit "),"-"))</f>
        <v>8</v>
      </c>
      <c r="W19" s="1" t="str">
        <f>IF(TRIM(CLEAN(A19))="","",_xlfn.TEXTBEFORE(_xlfn.TEXTAFTER(A19,"-"),"-"))</f>
        <v>01</v>
      </c>
      <c r="X19" s="1" t="str">
        <f>IF(TRIM(CLEAN(A19))="","",_xlfn.TEXTAFTER(A19,"-",-1))</f>
        <v>3036</v>
      </c>
    </row>
    <row r="20" spans="1:25" hidden="1" x14ac:dyDescent="0.4">
      <c r="A20" s="4" t="s">
        <v>117</v>
      </c>
      <c r="B20" s="1" t="s">
        <v>34</v>
      </c>
      <c r="C20" s="3">
        <v>46074</v>
      </c>
      <c r="D20" s="3">
        <v>46082</v>
      </c>
      <c r="E20" s="1">
        <f ca="1">IF(DMRB5[[#This Row],[Move_out ]]="","",TODAY()-DMRB5[[#This Row],[Move_out ]])</f>
        <v>-4</v>
      </c>
      <c r="F20" s="2">
        <v>46102</v>
      </c>
      <c r="G20" s="1">
        <f ca="1">IF(DMRB5[[#This Row],[Move_in]]="","",TODAY()-DMRB5[[#This Row],[Move_in]])</f>
        <v>-32</v>
      </c>
      <c r="H2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0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0" s="1" t="s">
        <v>38</v>
      </c>
      <c r="K20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0" s="1" t="s">
        <v>38</v>
      </c>
      <c r="M20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0" s="1" t="s">
        <v>38</v>
      </c>
      <c r="O20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0" s="1" t="s">
        <v>38</v>
      </c>
      <c r="Q20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0" s="1" t="s">
        <v>38</v>
      </c>
      <c r="S20" s="2" t="s">
        <v>2</v>
      </c>
      <c r="T20" s="1"/>
      <c r="U20" s="1" t="s">
        <v>36</v>
      </c>
      <c r="V20" s="1" t="str">
        <f>IF(TRIM(CLEAN(A20))="","",_xlfn.TEXTBEFORE(_xlfn.TEXTAFTER(A20,"Unit "),"-"))</f>
        <v>5</v>
      </c>
      <c r="W20" s="1" t="str">
        <f>IF(TRIM(CLEAN(A20))="","",_xlfn.TEXTBEFORE(_xlfn.TEXTAFTER(A20,"-"),"-"))</f>
        <v>17</v>
      </c>
      <c r="X20" s="1" t="str">
        <f>IF(TRIM(CLEAN(A20))="","",_xlfn.TEXTAFTER(A20,"-",-1))</f>
        <v>0207</v>
      </c>
    </row>
    <row r="21" spans="1:25" hidden="1" x14ac:dyDescent="0.4">
      <c r="A21" s="88" t="s">
        <v>193</v>
      </c>
      <c r="B21" s="1" t="s">
        <v>34</v>
      </c>
      <c r="C21" s="3">
        <v>46103</v>
      </c>
      <c r="D21" s="3">
        <v>46114</v>
      </c>
      <c r="E21" s="1">
        <f ca="1">IF(DMRB5[[#This Row],[Move_out ]]="","",TODAY()-DMRB5[[#This Row],[Move_out ]])</f>
        <v>-33</v>
      </c>
      <c r="F21" s="2">
        <v>46115</v>
      </c>
      <c r="G21" s="1">
        <f ca="1">IF(DMRB5[[#This Row],[Move_in]]="","",TODAY()-DMRB5[[#This Row],[Move_in]])</f>
        <v>-45</v>
      </c>
      <c r="H2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1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1" s="1" t="s">
        <v>38</v>
      </c>
      <c r="K21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1" s="1" t="s">
        <v>38</v>
      </c>
      <c r="M21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1" s="1" t="s">
        <v>38</v>
      </c>
      <c r="O21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1" s="1" t="s">
        <v>38</v>
      </c>
      <c r="Q21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1" s="1" t="s">
        <v>38</v>
      </c>
      <c r="S21" s="2" t="s">
        <v>39</v>
      </c>
      <c r="U21" s="1" t="s">
        <v>36</v>
      </c>
      <c r="V21" s="1" t="str">
        <f>IF(TRIM(CLEAN(A21))="","",_xlfn.TEXTBEFORE(_xlfn.TEXTAFTER(A21,"Unit "),"-"))</f>
        <v>7</v>
      </c>
      <c r="W21" s="1" t="str">
        <f>IF(TRIM(CLEAN(A21))="","",_xlfn.TEXTBEFORE(_xlfn.TEXTAFTER(A21,"-"),"-"))</f>
        <v>03</v>
      </c>
      <c r="X21" s="1" t="str">
        <f>IF(TRIM(CLEAN(A21))="","",_xlfn.TEXTAFTER(A21,"-",-1))</f>
        <v>0218</v>
      </c>
    </row>
    <row r="22" spans="1:25" hidden="1" x14ac:dyDescent="0.4">
      <c r="A22" s="88" t="s">
        <v>195</v>
      </c>
      <c r="B22" s="1" t="s">
        <v>34</v>
      </c>
      <c r="C22" s="3">
        <v>46103</v>
      </c>
      <c r="D22" s="3">
        <v>46114</v>
      </c>
      <c r="E22" s="1">
        <f ca="1">IF(DMRB5[[#This Row],[Move_out ]]="","",TODAY()-DMRB5[[#This Row],[Move_out ]])</f>
        <v>-33</v>
      </c>
      <c r="F22" s="2">
        <v>46116</v>
      </c>
      <c r="G22" s="1">
        <f ca="1">IF(DMRB5[[#This Row],[Move_in]]="","",TODAY()-DMRB5[[#This Row],[Move_in]])</f>
        <v>-46</v>
      </c>
      <c r="H2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2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2" s="1" t="s">
        <v>38</v>
      </c>
      <c r="K22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2" s="1" t="s">
        <v>38</v>
      </c>
      <c r="M22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2" s="1" t="s">
        <v>38</v>
      </c>
      <c r="O22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2" s="1" t="s">
        <v>38</v>
      </c>
      <c r="Q22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2" s="1" t="s">
        <v>38</v>
      </c>
      <c r="S22" s="2" t="s">
        <v>42</v>
      </c>
      <c r="U22" s="1" t="s">
        <v>36</v>
      </c>
      <c r="V22" s="1" t="str">
        <f>IF(TRIM(CLEAN(A22))="","",_xlfn.TEXTBEFORE(_xlfn.TEXTAFTER(A22,"Unit "),"-"))</f>
        <v>8</v>
      </c>
      <c r="W22" s="1" t="str">
        <f>IF(TRIM(CLEAN(A22))="","",_xlfn.TEXTBEFORE(_xlfn.TEXTAFTER(A22,"-"),"-"))</f>
        <v>01</v>
      </c>
      <c r="X22" s="1" t="str">
        <f>IF(TRIM(CLEAN(A22))="","",_xlfn.TEXTAFTER(A22,"-",-1))</f>
        <v>2074</v>
      </c>
    </row>
    <row r="23" spans="1:25" hidden="1" x14ac:dyDescent="0.4">
      <c r="A23" s="88" t="s">
        <v>194</v>
      </c>
      <c r="B23" s="1" t="s">
        <v>34</v>
      </c>
      <c r="C23" s="3">
        <v>46103</v>
      </c>
      <c r="D23" s="3">
        <v>46114</v>
      </c>
      <c r="E23" s="1">
        <f ca="1">IF(DMRB5[[#This Row],[Move_out ]]="","",TODAY()-DMRB5[[#This Row],[Move_out ]])</f>
        <v>-33</v>
      </c>
      <c r="F23" s="2">
        <v>46116</v>
      </c>
      <c r="G23" s="1">
        <f ca="1">IF(DMRB5[[#This Row],[Move_in]]="","",TODAY()-DMRB5[[#This Row],[Move_in]])</f>
        <v>-46</v>
      </c>
      <c r="H2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3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3" s="1" t="s">
        <v>38</v>
      </c>
      <c r="K23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3" s="1" t="s">
        <v>38</v>
      </c>
      <c r="M23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3" s="1" t="s">
        <v>38</v>
      </c>
      <c r="O23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3" s="1" t="s">
        <v>38</v>
      </c>
      <c r="Q23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3" s="1" t="s">
        <v>38</v>
      </c>
      <c r="S23" s="2" t="s">
        <v>39</v>
      </c>
      <c r="U23" s="1" t="s">
        <v>36</v>
      </c>
      <c r="V23" s="1" t="str">
        <f>IF(TRIM(CLEAN(A23))="","",_xlfn.TEXTBEFORE(_xlfn.TEXTAFTER(A23,"Unit "),"-"))</f>
        <v>7</v>
      </c>
      <c r="W23" s="1" t="str">
        <f>IF(TRIM(CLEAN(A23))="","",_xlfn.TEXTBEFORE(_xlfn.TEXTAFTER(A23,"-"),"-"))</f>
        <v>07</v>
      </c>
      <c r="X23" s="1" t="str">
        <f>IF(TRIM(CLEAN(A23))="","",_xlfn.TEXTAFTER(A23,"-",-1))</f>
        <v>0208</v>
      </c>
    </row>
    <row r="24" spans="1:25" hidden="1" x14ac:dyDescent="0.4">
      <c r="A24" s="88" t="s">
        <v>196</v>
      </c>
      <c r="B24" s="1" t="s">
        <v>34</v>
      </c>
      <c r="C24" s="3">
        <v>46103</v>
      </c>
      <c r="D24" s="3">
        <v>46114</v>
      </c>
      <c r="E24" s="1">
        <f ca="1">IF(DMRB5[[#This Row],[Move_out ]]="","",TODAY()-DMRB5[[#This Row],[Move_out ]])</f>
        <v>-33</v>
      </c>
      <c r="F24" s="2">
        <v>46121</v>
      </c>
      <c r="G24" s="1">
        <f ca="1">IF(DMRB5[[#This Row],[Move_in]]="","",TODAY()-DMRB5[[#This Row],[Move_in]])</f>
        <v>-51</v>
      </c>
      <c r="H2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4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4" s="1" t="s">
        <v>38</v>
      </c>
      <c r="K24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4" s="1" t="s">
        <v>38</v>
      </c>
      <c r="M24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4" s="1" t="s">
        <v>38</v>
      </c>
      <c r="O24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4" s="1" t="s">
        <v>38</v>
      </c>
      <c r="Q24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4" s="1" t="s">
        <v>38</v>
      </c>
      <c r="S24" s="2" t="s">
        <v>2</v>
      </c>
      <c r="U24" s="1" t="s">
        <v>36</v>
      </c>
      <c r="V24" s="1" t="str">
        <f>IF(TRIM(CLEAN(A24))="","",_xlfn.TEXTBEFORE(_xlfn.TEXTAFTER(A24,"Unit "),"-"))</f>
        <v>5</v>
      </c>
      <c r="W24" s="1" t="str">
        <f>IF(TRIM(CLEAN(A24))="","",_xlfn.TEXTBEFORE(_xlfn.TEXTAFTER(A24,"-"),"-"))</f>
        <v>13</v>
      </c>
      <c r="X24" s="1" t="str">
        <f>IF(TRIM(CLEAN(A24))="","",_xlfn.TEXTAFTER(A24,"-",-1))</f>
        <v>0306</v>
      </c>
    </row>
    <row r="25" spans="1:25" hidden="1" x14ac:dyDescent="0.4">
      <c r="A25" s="74" t="s">
        <v>144</v>
      </c>
      <c r="B25" s="1" t="s">
        <v>34</v>
      </c>
      <c r="C25" s="3">
        <v>46107</v>
      </c>
      <c r="D25" s="75">
        <v>46118</v>
      </c>
      <c r="E25" s="1">
        <f ca="1">IF(DMRB5[[#This Row],[Move_out ]]="","",TODAY()-DMRB5[[#This Row],[Move_out ]])</f>
        <v>-37</v>
      </c>
      <c r="F25" s="2">
        <v>46122</v>
      </c>
      <c r="G25" s="1">
        <f ca="1">IF(DMRB5[[#This Row],[Move_in]]="","",TODAY()-DMRB5[[#This Row],[Move_in]])</f>
        <v>-52</v>
      </c>
      <c r="H2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5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5" s="1" t="s">
        <v>38</v>
      </c>
      <c r="K25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5" s="1" t="s">
        <v>38</v>
      </c>
      <c r="M25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5" s="1" t="s">
        <v>38</v>
      </c>
      <c r="O25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5" s="1" t="s">
        <v>38</v>
      </c>
      <c r="Q25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5" s="1" t="s">
        <v>38</v>
      </c>
      <c r="S25" s="2" t="s">
        <v>2</v>
      </c>
      <c r="U25" s="1" t="s">
        <v>36</v>
      </c>
      <c r="V25" s="1" t="str">
        <f>IF(TRIM(CLEAN(A25))="","",_xlfn.TEXTBEFORE(_xlfn.TEXTAFTER(A25,"Unit "),"-"))</f>
        <v>5</v>
      </c>
      <c r="W25" s="1" t="str">
        <f>IF(TRIM(CLEAN(A25))="","",_xlfn.TEXTBEFORE(_xlfn.TEXTAFTER(A25,"-"),"-"))</f>
        <v>03</v>
      </c>
      <c r="X25" s="1" t="str">
        <f>IF(TRIM(CLEAN(A25))="","",_xlfn.TEXTAFTER(A25,"-",-1))</f>
        <v>0427</v>
      </c>
    </row>
    <row r="26" spans="1:25" hidden="1" x14ac:dyDescent="0.4">
      <c r="A26" s="88" t="s">
        <v>197</v>
      </c>
      <c r="B26" s="1" t="s">
        <v>34</v>
      </c>
      <c r="C26" s="3">
        <v>46103</v>
      </c>
      <c r="D26" s="3">
        <v>46114</v>
      </c>
      <c r="E26" s="1">
        <f ca="1">IF(DMRB5[[#This Row],[Move_out ]]="","",TODAY()-DMRB5[[#This Row],[Move_out ]])</f>
        <v>-33</v>
      </c>
      <c r="F26" s="2">
        <v>46123</v>
      </c>
      <c r="G26" s="1">
        <f ca="1">IF(DMRB5[[#This Row],[Move_in]]="","",TODAY()-DMRB5[[#This Row],[Move_in]])</f>
        <v>-53</v>
      </c>
      <c r="H2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6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6" s="1" t="s">
        <v>38</v>
      </c>
      <c r="K26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6" s="1" t="s">
        <v>38</v>
      </c>
      <c r="M26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6" s="1" t="s">
        <v>38</v>
      </c>
      <c r="O26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6" s="1" t="s">
        <v>38</v>
      </c>
      <c r="Q26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6" s="1" t="s">
        <v>38</v>
      </c>
      <c r="S26" s="2" t="s">
        <v>39</v>
      </c>
      <c r="U26" s="1" t="s">
        <v>36</v>
      </c>
      <c r="V26" s="1" t="str">
        <f>IF(TRIM(CLEAN(A26))="","",_xlfn.TEXTBEFORE(_xlfn.TEXTAFTER(A26,"Unit "),"-"))</f>
        <v>7</v>
      </c>
      <c r="W26" s="1" t="str">
        <f>IF(TRIM(CLEAN(A26))="","",_xlfn.TEXTBEFORE(_xlfn.TEXTAFTER(A26,"-"),"-"))</f>
        <v>11</v>
      </c>
      <c r="X26" s="1" t="str">
        <f>IF(TRIM(CLEAN(A26))="","",_xlfn.TEXTAFTER(A26,"-",-1))</f>
        <v>0411</v>
      </c>
    </row>
    <row r="27" spans="1:25" hidden="1" x14ac:dyDescent="0.4">
      <c r="A27" s="74" t="s">
        <v>145</v>
      </c>
      <c r="B27" s="1" t="s">
        <v>34</v>
      </c>
      <c r="C27" s="3">
        <v>46110</v>
      </c>
      <c r="D27" s="75">
        <v>46121</v>
      </c>
      <c r="E27" s="1">
        <f ca="1">IF(DMRB5[[#This Row],[Move_out ]]="","",TODAY()-DMRB5[[#This Row],[Move_out ]])</f>
        <v>-40</v>
      </c>
      <c r="F27" s="2">
        <v>46123</v>
      </c>
      <c r="G27" s="1">
        <f ca="1">IF(DMRB5[[#This Row],[Move_in]]="","",TODAY()-DMRB5[[#This Row],[Move_in]])</f>
        <v>-53</v>
      </c>
      <c r="H2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7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7" s="1" t="s">
        <v>38</v>
      </c>
      <c r="K27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7" s="1" t="s">
        <v>38</v>
      </c>
      <c r="M27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7" s="1" t="s">
        <v>38</v>
      </c>
      <c r="O27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7" s="1" t="s">
        <v>38</v>
      </c>
      <c r="Q27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7" s="1" t="s">
        <v>38</v>
      </c>
      <c r="S27" s="2" t="s">
        <v>2</v>
      </c>
      <c r="U27" s="1" t="s">
        <v>36</v>
      </c>
      <c r="V27" s="1" t="str">
        <f>IF(TRIM(CLEAN(A27))="","",_xlfn.TEXTBEFORE(_xlfn.TEXTAFTER(A27,"Unit "),"-"))</f>
        <v>5</v>
      </c>
      <c r="W27" s="1" t="str">
        <f>IF(TRIM(CLEAN(A27))="","",_xlfn.TEXTBEFORE(_xlfn.TEXTAFTER(A27,"-"),"-"))</f>
        <v>02</v>
      </c>
      <c r="X27" s="1" t="str">
        <f>IF(TRIM(CLEAN(A27))="","",_xlfn.TEXTAFTER(A27,"-",-1))</f>
        <v>0305</v>
      </c>
    </row>
    <row r="28" spans="1:25" hidden="1" x14ac:dyDescent="0.4">
      <c r="A28" s="88" t="s">
        <v>198</v>
      </c>
      <c r="B28" s="1" t="s">
        <v>34</v>
      </c>
      <c r="C28" s="3">
        <v>46103</v>
      </c>
      <c r="D28" s="3">
        <v>46114</v>
      </c>
      <c r="E28" s="1">
        <f ca="1">IF(DMRB5[[#This Row],[Move_out ]]="","",TODAY()-DMRB5[[#This Row],[Move_out ]])</f>
        <v>-33</v>
      </c>
      <c r="F28" s="2">
        <v>46130</v>
      </c>
      <c r="G28" s="1">
        <f ca="1">IF(DMRB5[[#This Row],[Move_in]]="","",TODAY()-DMRB5[[#This Row],[Move_in]])</f>
        <v>-60</v>
      </c>
      <c r="H2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8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8" s="1" t="s">
        <v>38</v>
      </c>
      <c r="K28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8" s="1" t="s">
        <v>38</v>
      </c>
      <c r="M28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8" s="1" t="s">
        <v>38</v>
      </c>
      <c r="O28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8" s="1" t="s">
        <v>38</v>
      </c>
      <c r="Q28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8" s="1" t="s">
        <v>38</v>
      </c>
      <c r="S28" s="2" t="s">
        <v>39</v>
      </c>
      <c r="U28" s="1" t="s">
        <v>36</v>
      </c>
      <c r="V28" s="1" t="str">
        <f>IF(TRIM(CLEAN(A28))="","",_xlfn.TEXTBEFORE(_xlfn.TEXTAFTER(A28,"Unit "),"-"))</f>
        <v>7</v>
      </c>
      <c r="W28" s="1" t="str">
        <f>IF(TRIM(CLEAN(A28))="","",_xlfn.TEXTBEFORE(_xlfn.TEXTAFTER(A28,"-"),"-"))</f>
        <v>07</v>
      </c>
      <c r="X28" s="1" t="str">
        <f>IF(TRIM(CLEAN(A28))="","",_xlfn.TEXTAFTER(A28,"-",-1))</f>
        <v>0109</v>
      </c>
    </row>
    <row r="29" spans="1:25" hidden="1" x14ac:dyDescent="0.4">
      <c r="A29" s="88" t="s">
        <v>199</v>
      </c>
      <c r="B29" s="1" t="s">
        <v>34</v>
      </c>
      <c r="C29" s="3">
        <v>46103</v>
      </c>
      <c r="D29" s="3">
        <v>46114</v>
      </c>
      <c r="E29" s="1">
        <f ca="1">IF(DMRB5[[#This Row],[Move_out ]]="","",TODAY()-DMRB5[[#This Row],[Move_out ]])</f>
        <v>-33</v>
      </c>
      <c r="F29" s="2">
        <v>46137</v>
      </c>
      <c r="G29" s="1">
        <f ca="1">IF(DMRB5[[#This Row],[Move_in]]="","",TODAY()-DMRB5[[#This Row],[Move_in]])</f>
        <v>-67</v>
      </c>
      <c r="H2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29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29" s="1" t="s">
        <v>38</v>
      </c>
      <c r="K29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29" s="1" t="s">
        <v>38</v>
      </c>
      <c r="M29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29" s="1" t="s">
        <v>38</v>
      </c>
      <c r="O29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29" s="1" t="s">
        <v>38</v>
      </c>
      <c r="Q29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29" s="1" t="s">
        <v>38</v>
      </c>
      <c r="S29" s="2" t="s">
        <v>2</v>
      </c>
      <c r="U29" s="1" t="s">
        <v>36</v>
      </c>
      <c r="V29" s="1" t="str">
        <f>IF(TRIM(CLEAN(A29))="","",_xlfn.TEXTBEFORE(_xlfn.TEXTAFTER(A29,"Unit "),"-"))</f>
        <v>5</v>
      </c>
      <c r="W29" s="1" t="str">
        <f>IF(TRIM(CLEAN(A29))="","",_xlfn.TEXTBEFORE(_xlfn.TEXTAFTER(A29,"-"),"-"))</f>
        <v>15</v>
      </c>
      <c r="X29" s="1" t="str">
        <f>IF(TRIM(CLEAN(A29))="","",_xlfn.TEXTAFTER(A29,"-",-1))</f>
        <v>0204</v>
      </c>
    </row>
    <row r="30" spans="1:25" hidden="1" x14ac:dyDescent="0.4">
      <c r="A30" s="88" t="s">
        <v>200</v>
      </c>
      <c r="B30" s="1" t="s">
        <v>34</v>
      </c>
      <c r="C30" s="3">
        <v>46103</v>
      </c>
      <c r="D30" s="3">
        <v>46114</v>
      </c>
      <c r="E30" s="1">
        <f ca="1">IF(DMRB5[[#This Row],[Move_out ]]="","",TODAY()-DMRB5[[#This Row],[Move_out ]])</f>
        <v>-33</v>
      </c>
      <c r="F30" s="2">
        <v>46144</v>
      </c>
      <c r="G30" s="1">
        <f ca="1">IF(DMRB5[[#This Row],[Move_in]]="","",TODAY()-DMRB5[[#This Row],[Move_in]])</f>
        <v>-74</v>
      </c>
      <c r="H3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30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30" s="1" t="s">
        <v>38</v>
      </c>
      <c r="K30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30" s="1" t="s">
        <v>38</v>
      </c>
      <c r="M30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30" s="1" t="s">
        <v>38</v>
      </c>
      <c r="O30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30" s="1" t="s">
        <v>38</v>
      </c>
      <c r="Q30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30" s="1" t="s">
        <v>38</v>
      </c>
      <c r="S30" s="2" t="s">
        <v>42</v>
      </c>
      <c r="U30" s="1" t="s">
        <v>36</v>
      </c>
      <c r="V30" s="1" t="str">
        <f>IF(TRIM(CLEAN(A30))="","",_xlfn.TEXTBEFORE(_xlfn.TEXTAFTER(A30,"Unit "),"-"))</f>
        <v>8</v>
      </c>
      <c r="W30" s="1" t="str">
        <f>IF(TRIM(CLEAN(A30))="","",_xlfn.TEXTBEFORE(_xlfn.TEXTAFTER(A30,"-"),"-"))</f>
        <v>01</v>
      </c>
      <c r="X30" s="1" t="str">
        <f>IF(TRIM(CLEAN(A30))="","",_xlfn.TEXTAFTER(A30,"-",-1))</f>
        <v>3082</v>
      </c>
    </row>
    <row r="31" spans="1:25" hidden="1" x14ac:dyDescent="0.4">
      <c r="A31" s="88" t="s">
        <v>201</v>
      </c>
      <c r="B31" s="1" t="s">
        <v>34</v>
      </c>
      <c r="C31" s="3">
        <v>46103</v>
      </c>
      <c r="D31" s="3">
        <v>46114</v>
      </c>
      <c r="E31" s="1">
        <f ca="1">IF(DMRB5[[#This Row],[Move_out ]]="","",TODAY()-DMRB5[[#This Row],[Move_out ]])</f>
        <v>-33</v>
      </c>
      <c r="F31" s="2">
        <v>46158</v>
      </c>
      <c r="G31" s="1">
        <f ca="1">IF(DMRB5[[#This Row],[Move_in]]="","",TODAY()-DMRB5[[#This Row],[Move_in]])</f>
        <v>-88</v>
      </c>
      <c r="H3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 + SMI</v>
      </c>
      <c r="I31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31" s="1" t="s">
        <v>38</v>
      </c>
      <c r="K31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31" s="1" t="s">
        <v>38</v>
      </c>
      <c r="M31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31" s="1" t="s">
        <v>38</v>
      </c>
      <c r="O31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31" s="1" t="s">
        <v>38</v>
      </c>
      <c r="Q31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31" s="1" t="s">
        <v>38</v>
      </c>
      <c r="S31" s="2" t="s">
        <v>42</v>
      </c>
      <c r="U31" s="1" t="s">
        <v>36</v>
      </c>
      <c r="V31" s="1" t="str">
        <f>IF(TRIM(CLEAN(A31))="","",_xlfn.TEXTBEFORE(_xlfn.TEXTAFTER(A31,"Unit "),"-"))</f>
        <v>8</v>
      </c>
      <c r="W31" s="1" t="str">
        <f>IF(TRIM(CLEAN(A31))="","",_xlfn.TEXTBEFORE(_xlfn.TEXTAFTER(A31,"-"),"-"))</f>
        <v>01</v>
      </c>
      <c r="X31" s="1" t="str">
        <f>IF(TRIM(CLEAN(A31))="","",_xlfn.TEXTAFTER(A31,"-",-1))</f>
        <v>4008</v>
      </c>
    </row>
    <row r="32" spans="1:25" x14ac:dyDescent="0.4">
      <c r="A32" s="4" t="s">
        <v>56</v>
      </c>
      <c r="B32" s="1" t="s">
        <v>41</v>
      </c>
      <c r="C32" s="3">
        <v>45748</v>
      </c>
      <c r="D32" s="3">
        <v>45744</v>
      </c>
      <c r="E32" s="1">
        <f ca="1">IF(DMRB5[[#This Row],[Move_out ]]="","",TODAY()-DMRB5[[#This Row],[Move_out ]])</f>
        <v>322</v>
      </c>
      <c r="F32" s="2"/>
      <c r="G32" s="1" t="str">
        <f ca="1">IF(DMRB5[[#This Row],[Move_in]]="","",TODAY()-DMRB5[[#This Row],[Move_in]])</f>
        <v/>
      </c>
      <c r="H3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32" s="3">
        <f>IF(DMRB5[[#This Row],[Move_out ]]="","",
IF(OR(DMRB5[[#This Row],[Insp_status ]]="In Progress",DMRB5[[#This Row],[Insp_status ]]="Done",
DMRB5[[#This Row],[Insp_status ]]="Scheduled"),
WORKDAY(DMRB5[[#This Row],[Move_out ]],1),
""))</f>
        <v>45749</v>
      </c>
      <c r="J32" s="1" t="s">
        <v>0</v>
      </c>
      <c r="K32" s="3">
        <f>IF(DMRB5[[#This Row],[Move_out ]]="","",
IF(OR(DMRB5[[#This Row],[Paint_status]]="In Progress",DMRB5[[#This Row],[Paint_status]]="Done",
DMRB5[[#This Row],[Paint_status]]="Scheduled"),
WORKDAY(DMRB5[[#This Row],[Move_out ]],2),
""))</f>
        <v>45750</v>
      </c>
      <c r="L32" s="1" t="s">
        <v>0</v>
      </c>
      <c r="M32" s="3">
        <f>IF(DMRB5[[#This Row],[Move_out ]]="","",
IF(OR(DMRB5[[#This Row],[MR_Status]]="In Progress",DMRB5[[#This Row],[MR_Status]]="Done",
DMRB5[[#This Row],[MR_Status]]="Scheduled"),
WORKDAY(DMRB5[[#This Row],[Move_out ]],3),
""))</f>
        <v>45751</v>
      </c>
      <c r="N32" s="1" t="s">
        <v>0</v>
      </c>
      <c r="O32" s="3">
        <f>IF(DMRB5[[#This Row],[Move_out ]]="","",
IF(OR(DMRB5[[#This Row],[HK_Status]]="In Progress",DMRB5[[#This Row],[HK_Status]]="Done",
DMRB5[[#This Row],[HK_Status]]="Scheduled"),
WORKDAY(DMRB5[[#This Row],[Move_out ]],6),
""))</f>
        <v>45756</v>
      </c>
      <c r="P32" s="1" t="s">
        <v>0</v>
      </c>
      <c r="Q32" s="3">
        <f>IF(DMRB5[[#This Row],[Move_out ]]="","",
IF(OR(DMRB5[[#This Row],[CC_status]]="In Progress",DMRB5[[#This Row],[CC_status]]="Done",
DMRB5[[#This Row],[CC_status]]="Scheduled"),
WORKDAY(DMRB5[[#This Row],[Move_out ]],7),
""))</f>
        <v>45757</v>
      </c>
      <c r="R32" s="1" t="s">
        <v>0</v>
      </c>
      <c r="S32" s="2" t="s">
        <v>2</v>
      </c>
      <c r="T32" s="1" t="s">
        <v>123</v>
      </c>
      <c r="U32" s="1" t="s">
        <v>36</v>
      </c>
      <c r="V32" s="1" t="str">
        <f>IF(TRIM(CLEAN(A32))="","",_xlfn.TEXTBEFORE(_xlfn.TEXTAFTER(A32,"Unit "),"-"))</f>
        <v>5</v>
      </c>
      <c r="W32" s="1" t="str">
        <f>IF(TRIM(CLEAN(A32))="","",_xlfn.TEXTBEFORE(_xlfn.TEXTAFTER(A32,"-"),"-"))</f>
        <v>12</v>
      </c>
      <c r="X32" s="1" t="str">
        <f>IF(TRIM(CLEAN(A32))="","",_xlfn.TEXTAFTER(A32,"-",-1))</f>
        <v>0307</v>
      </c>
    </row>
    <row r="33" spans="1:25" x14ac:dyDescent="0.4">
      <c r="A33" s="4" t="s">
        <v>57</v>
      </c>
      <c r="B33" s="1" t="s">
        <v>5</v>
      </c>
      <c r="C33" s="3">
        <v>45748</v>
      </c>
      <c r="D33" s="3">
        <v>46081</v>
      </c>
      <c r="E33" s="1">
        <f ca="1">IF(DMRB5[[#This Row],[Move_out ]]="","",TODAY()-DMRB5[[#This Row],[Move_out ]])</f>
        <v>322</v>
      </c>
      <c r="F33" s="2"/>
      <c r="G33" s="1" t="str">
        <f ca="1">IF(DMRB5[[#This Row],[Move_in]]="","",TODAY()-DMRB5[[#This Row],[Move_in]])</f>
        <v/>
      </c>
      <c r="H3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33" s="3">
        <f>IF(DMRB5[[#This Row],[Move_out ]]="","",
IF(OR(DMRB5[[#This Row],[Insp_status ]]="In Progress",DMRB5[[#This Row],[Insp_status ]]="Done",
DMRB5[[#This Row],[Insp_status ]]="Scheduled"),
WORKDAY(DMRB5[[#This Row],[Move_out ]],1),
""))</f>
        <v>45749</v>
      </c>
      <c r="J33" s="1" t="s">
        <v>0</v>
      </c>
      <c r="K33" s="3">
        <f>IF(DMRB5[[#This Row],[Move_out ]]="","",
IF(OR(DMRB5[[#This Row],[Paint_status]]="In Progress",DMRB5[[#This Row],[Paint_status]]="Done",
DMRB5[[#This Row],[Paint_status]]="Scheduled"),
WORKDAY(DMRB5[[#This Row],[Move_out ]],2),
""))</f>
        <v>45750</v>
      </c>
      <c r="L33" s="1" t="s">
        <v>0</v>
      </c>
      <c r="M33" s="3">
        <f>IF(DMRB5[[#This Row],[Move_out ]]="","",
IF(OR(DMRB5[[#This Row],[MR_Status]]="In Progress",DMRB5[[#This Row],[MR_Status]]="Done",
DMRB5[[#This Row],[MR_Status]]="Scheduled"),
WORKDAY(DMRB5[[#This Row],[Move_out ]],3),
""))</f>
        <v>45751</v>
      </c>
      <c r="N33" s="1" t="s">
        <v>0</v>
      </c>
      <c r="O33" s="3">
        <f>IF(DMRB5[[#This Row],[Move_out ]]="","",
IF(OR(DMRB5[[#This Row],[HK_Status]]="In Progress",DMRB5[[#This Row],[HK_Status]]="Done",
DMRB5[[#This Row],[HK_Status]]="Scheduled"),
WORKDAY(DMRB5[[#This Row],[Move_out ]],6),
""))</f>
        <v>45756</v>
      </c>
      <c r="P33" s="1" t="s">
        <v>0</v>
      </c>
      <c r="Q33" s="3">
        <f>IF(DMRB5[[#This Row],[Move_out ]]="","",
IF(OR(DMRB5[[#This Row],[CC_status]]="In Progress",DMRB5[[#This Row],[CC_status]]="Done",
DMRB5[[#This Row],[CC_status]]="Scheduled"),
WORKDAY(DMRB5[[#This Row],[Move_out ]],7),
""))</f>
        <v>45757</v>
      </c>
      <c r="R33" s="1" t="s">
        <v>0</v>
      </c>
      <c r="S33" s="2" t="s">
        <v>2</v>
      </c>
      <c r="T33" s="1" t="s">
        <v>123</v>
      </c>
      <c r="U33" s="1" t="s">
        <v>36</v>
      </c>
      <c r="V33" s="1" t="str">
        <f>IF(TRIM(CLEAN(A33))="","",_xlfn.TEXTBEFORE(_xlfn.TEXTAFTER(A33,"Unit "),"-"))</f>
        <v>5</v>
      </c>
      <c r="W33" s="1" t="str">
        <f>IF(TRIM(CLEAN(A33))="","",_xlfn.TEXTBEFORE(_xlfn.TEXTAFTER(A33,"-"),"-"))</f>
        <v>18</v>
      </c>
      <c r="X33" s="1" t="str">
        <f>IF(TRIM(CLEAN(A33))="","",_xlfn.TEXTAFTER(A33,"-",-1))</f>
        <v>0116</v>
      </c>
      <c r="Y33" s="52" t="s">
        <v>124</v>
      </c>
    </row>
    <row r="34" spans="1:25" x14ac:dyDescent="0.4">
      <c r="A34" s="4" t="s">
        <v>58</v>
      </c>
      <c r="B34" s="1" t="s">
        <v>41</v>
      </c>
      <c r="C34" s="3">
        <v>45817</v>
      </c>
      <c r="D34" s="3">
        <v>45826</v>
      </c>
      <c r="E34" s="1">
        <f ca="1">IF(DMRB5[[#This Row],[Move_out ]]="","",TODAY()-DMRB5[[#This Row],[Move_out ]])</f>
        <v>253</v>
      </c>
      <c r="F34" s="2"/>
      <c r="G34" s="1" t="str">
        <f ca="1">IF(DMRB5[[#This Row],[Move_in]]="","",TODAY()-DMRB5[[#This Row],[Move_in]])</f>
        <v/>
      </c>
      <c r="H3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34" s="3">
        <f>IF(DMRB5[[#This Row],[Move_out ]]="","",
IF(OR(DMRB5[[#This Row],[Insp_status ]]="In Progress",DMRB5[[#This Row],[Insp_status ]]="Done",
DMRB5[[#This Row],[Insp_status ]]="Scheduled"),
WORKDAY(DMRB5[[#This Row],[Move_out ]],1),
""))</f>
        <v>45818</v>
      </c>
      <c r="J34" s="1" t="s">
        <v>0</v>
      </c>
      <c r="K34" s="3">
        <f>IF(DMRB5[[#This Row],[Move_out ]]="","",
IF(OR(DMRB5[[#This Row],[Paint_status]]="In Progress",DMRB5[[#This Row],[Paint_status]]="Done",
DMRB5[[#This Row],[Paint_status]]="Scheduled"),
WORKDAY(DMRB5[[#This Row],[Move_out ]],2),
""))</f>
        <v>45819</v>
      </c>
      <c r="L34" s="1" t="s">
        <v>0</v>
      </c>
      <c r="M34" s="3">
        <f>IF(DMRB5[[#This Row],[Move_out ]]="","",
IF(OR(DMRB5[[#This Row],[MR_Status]]="In Progress",DMRB5[[#This Row],[MR_Status]]="Done",
DMRB5[[#This Row],[MR_Status]]="Scheduled"),
WORKDAY(DMRB5[[#This Row],[Move_out ]],3),
""))</f>
        <v>45820</v>
      </c>
      <c r="N34" s="1" t="s">
        <v>0</v>
      </c>
      <c r="O34" s="3">
        <f>IF(DMRB5[[#This Row],[Move_out ]]="","",
IF(OR(DMRB5[[#This Row],[HK_Status]]="In Progress",DMRB5[[#This Row],[HK_Status]]="Done",
DMRB5[[#This Row],[HK_Status]]="Scheduled"),
WORKDAY(DMRB5[[#This Row],[Move_out ]],6),
""))</f>
        <v>45825</v>
      </c>
      <c r="P34" s="1" t="s">
        <v>0</v>
      </c>
      <c r="Q34" s="3">
        <f>IF(DMRB5[[#This Row],[Move_out ]]="","",
IF(OR(DMRB5[[#This Row],[CC_status]]="In Progress",DMRB5[[#This Row],[CC_status]]="Done",
DMRB5[[#This Row],[CC_status]]="Scheduled"),
WORKDAY(DMRB5[[#This Row],[Move_out ]],7),
""))</f>
        <v>45826</v>
      </c>
      <c r="R34" s="1" t="s">
        <v>0</v>
      </c>
      <c r="S34" s="2" t="s">
        <v>2</v>
      </c>
      <c r="T34" s="1" t="s">
        <v>123</v>
      </c>
      <c r="U34" s="1" t="s">
        <v>36</v>
      </c>
      <c r="V34" s="1" t="str">
        <f>IF(TRIM(CLEAN(A34))="","",_xlfn.TEXTBEFORE(_xlfn.TEXTAFTER(A34,"Unit "),"-"))</f>
        <v>5</v>
      </c>
      <c r="W34" s="1" t="str">
        <f>IF(TRIM(CLEAN(A34))="","",_xlfn.TEXTBEFORE(_xlfn.TEXTAFTER(A34,"-"),"-"))</f>
        <v>18</v>
      </c>
      <c r="X34" s="1" t="str">
        <f>IF(TRIM(CLEAN(A34))="","",_xlfn.TEXTAFTER(A34,"-",-1))</f>
        <v>0238</v>
      </c>
    </row>
    <row r="35" spans="1:25" x14ac:dyDescent="0.4">
      <c r="A35" s="4" t="s">
        <v>59</v>
      </c>
      <c r="B35" s="1" t="s">
        <v>41</v>
      </c>
      <c r="C35" s="3">
        <v>45846</v>
      </c>
      <c r="D35" s="3">
        <v>45860</v>
      </c>
      <c r="E35" s="1">
        <f ca="1">IF(DMRB5[[#This Row],[Move_out ]]="","",TODAY()-DMRB5[[#This Row],[Move_out ]])</f>
        <v>224</v>
      </c>
      <c r="F35" s="2"/>
      <c r="G35" s="1" t="str">
        <f ca="1">IF(DMRB5[[#This Row],[Move_in]]="","",TODAY()-DMRB5[[#This Row],[Move_in]])</f>
        <v/>
      </c>
      <c r="H3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35" s="3">
        <f>IF(DMRB5[[#This Row],[Move_out ]]="","",
IF(OR(DMRB5[[#This Row],[Insp_status ]]="In Progress",DMRB5[[#This Row],[Insp_status ]]="Done",
DMRB5[[#This Row],[Insp_status ]]="Scheduled"),
WORKDAY(DMRB5[[#This Row],[Move_out ]],1),
""))</f>
        <v>45847</v>
      </c>
      <c r="J35" s="1" t="s">
        <v>0</v>
      </c>
      <c r="K35" s="3">
        <f>IF(DMRB5[[#This Row],[Move_out ]]="","",
IF(OR(DMRB5[[#This Row],[Paint_status]]="In Progress",DMRB5[[#This Row],[Paint_status]]="Done",
DMRB5[[#This Row],[Paint_status]]="Scheduled"),
WORKDAY(DMRB5[[#This Row],[Move_out ]],2),
""))</f>
        <v>45848</v>
      </c>
      <c r="L35" s="1" t="s">
        <v>0</v>
      </c>
      <c r="M35" s="3">
        <f>IF(DMRB5[[#This Row],[Move_out ]]="","",
IF(OR(DMRB5[[#This Row],[MR_Status]]="In Progress",DMRB5[[#This Row],[MR_Status]]="Done",
DMRB5[[#This Row],[MR_Status]]="Scheduled"),
WORKDAY(DMRB5[[#This Row],[Move_out ]],3),
""))</f>
        <v>45849</v>
      </c>
      <c r="N35" s="1" t="s">
        <v>0</v>
      </c>
      <c r="O35" s="3">
        <f>IF(DMRB5[[#This Row],[Move_out ]]="","",
IF(OR(DMRB5[[#This Row],[HK_Status]]="In Progress",DMRB5[[#This Row],[HK_Status]]="Done",
DMRB5[[#This Row],[HK_Status]]="Scheduled"),
WORKDAY(DMRB5[[#This Row],[Move_out ]],6),
""))</f>
        <v>45854</v>
      </c>
      <c r="P35" s="1" t="s">
        <v>0</v>
      </c>
      <c r="Q35" s="3">
        <f>IF(DMRB5[[#This Row],[Move_out ]]="","",
IF(OR(DMRB5[[#This Row],[CC_status]]="In Progress",DMRB5[[#This Row],[CC_status]]="Done",
DMRB5[[#This Row],[CC_status]]="Scheduled"),
WORKDAY(DMRB5[[#This Row],[Move_out ]],7),
""))</f>
        <v>45855</v>
      </c>
      <c r="R35" s="1" t="s">
        <v>0</v>
      </c>
      <c r="S35" s="2" t="s">
        <v>42</v>
      </c>
      <c r="T35" s="1" t="s">
        <v>123</v>
      </c>
      <c r="U35" s="1" t="s">
        <v>36</v>
      </c>
      <c r="V35" s="1" t="str">
        <f>IF(TRIM(CLEAN(A35))="","",_xlfn.TEXTBEFORE(_xlfn.TEXTAFTER(A35,"Unit "),"-"))</f>
        <v>8</v>
      </c>
      <c r="W35" s="1" t="str">
        <f>IF(TRIM(CLEAN(A35))="","",_xlfn.TEXTBEFORE(_xlfn.TEXTAFTER(A35,"-"),"-"))</f>
        <v>01</v>
      </c>
      <c r="X35" s="1" t="str">
        <f>IF(TRIM(CLEAN(A35))="","",_xlfn.TEXTAFTER(A35,"-",-1))</f>
        <v>3001</v>
      </c>
    </row>
    <row r="36" spans="1:25" x14ac:dyDescent="0.4">
      <c r="A36" s="4" t="s">
        <v>60</v>
      </c>
      <c r="B36" s="1" t="s">
        <v>41</v>
      </c>
      <c r="C36" s="3">
        <v>45869</v>
      </c>
      <c r="D36" s="3">
        <v>45985</v>
      </c>
      <c r="E36" s="1">
        <f ca="1">IF(DMRB5[[#This Row],[Move_out ]]="","",TODAY()-DMRB5[[#This Row],[Move_out ]])</f>
        <v>201</v>
      </c>
      <c r="F36" s="2"/>
      <c r="G36" s="1" t="str">
        <f ca="1">IF(DMRB5[[#This Row],[Move_in]]="","",TODAY()-DMRB5[[#This Row],[Move_in]])</f>
        <v/>
      </c>
      <c r="H3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36" s="3">
        <f>IF(DMRB5[[#This Row],[Move_out ]]="","",
IF(OR(DMRB5[[#This Row],[Insp_status ]]="In Progress",DMRB5[[#This Row],[Insp_status ]]="Done",
DMRB5[[#This Row],[Insp_status ]]="Scheduled"),
WORKDAY(DMRB5[[#This Row],[Move_out ]],1),
""))</f>
        <v>45870</v>
      </c>
      <c r="J36" s="1" t="s">
        <v>0</v>
      </c>
      <c r="K36" s="3">
        <f>IF(DMRB5[[#This Row],[Move_out ]]="","",
IF(OR(DMRB5[[#This Row],[Paint_status]]="In Progress",DMRB5[[#This Row],[Paint_status]]="Done",
DMRB5[[#This Row],[Paint_status]]="Scheduled"),
WORKDAY(DMRB5[[#This Row],[Move_out ]],2),
""))</f>
        <v>45873</v>
      </c>
      <c r="L36" s="1" t="s">
        <v>0</v>
      </c>
      <c r="M36" s="3">
        <f>IF(DMRB5[[#This Row],[Move_out ]]="","",
IF(OR(DMRB5[[#This Row],[MR_Status]]="In Progress",DMRB5[[#This Row],[MR_Status]]="Done",
DMRB5[[#This Row],[MR_Status]]="Scheduled"),
WORKDAY(DMRB5[[#This Row],[Move_out ]],3),
""))</f>
        <v>45874</v>
      </c>
      <c r="N36" s="1" t="s">
        <v>0</v>
      </c>
      <c r="O36" s="3">
        <f>IF(DMRB5[[#This Row],[Move_out ]]="","",
IF(OR(DMRB5[[#This Row],[HK_Status]]="In Progress",DMRB5[[#This Row],[HK_Status]]="Done",
DMRB5[[#This Row],[HK_Status]]="Scheduled"),
WORKDAY(DMRB5[[#This Row],[Move_out ]],6),
""))</f>
        <v>45877</v>
      </c>
      <c r="P36" s="1" t="s">
        <v>0</v>
      </c>
      <c r="Q36" s="3">
        <f>IF(DMRB5[[#This Row],[Move_out ]]="","",
IF(OR(DMRB5[[#This Row],[CC_status]]="In Progress",DMRB5[[#This Row],[CC_status]]="Done",
DMRB5[[#This Row],[CC_status]]="Scheduled"),
WORKDAY(DMRB5[[#This Row],[Move_out ]],7),
""))</f>
        <v>45880</v>
      </c>
      <c r="R36" s="1" t="s">
        <v>0</v>
      </c>
      <c r="S36" s="2" t="s">
        <v>2</v>
      </c>
      <c r="T36" s="1" t="s">
        <v>123</v>
      </c>
      <c r="U36" s="1" t="s">
        <v>36</v>
      </c>
      <c r="V36" s="1" t="str">
        <f>IF(TRIM(CLEAN(A36))="","",_xlfn.TEXTBEFORE(_xlfn.TEXTAFTER(A36,"Unit "),"-"))</f>
        <v>5</v>
      </c>
      <c r="W36" s="1" t="str">
        <f>IF(TRIM(CLEAN(A36))="","",_xlfn.TEXTBEFORE(_xlfn.TEXTAFTER(A36,"-"),"-"))</f>
        <v>18</v>
      </c>
      <c r="X36" s="1" t="str">
        <f>IF(TRIM(CLEAN(A36))="","",_xlfn.TEXTAFTER(A36,"-",-1))</f>
        <v>0422</v>
      </c>
    </row>
    <row r="37" spans="1:25" x14ac:dyDescent="0.4">
      <c r="A37" s="4" t="s">
        <v>61</v>
      </c>
      <c r="B37" s="1" t="s">
        <v>41</v>
      </c>
      <c r="C37" s="3">
        <v>45914</v>
      </c>
      <c r="D37" s="3">
        <v>45925</v>
      </c>
      <c r="E37" s="1">
        <f ca="1">IF(DMRB5[[#This Row],[Move_out ]]="","",TODAY()-DMRB5[[#This Row],[Move_out ]])</f>
        <v>156</v>
      </c>
      <c r="F37" s="2"/>
      <c r="G37" s="1" t="str">
        <f ca="1">IF(DMRB5[[#This Row],[Move_in]]="","",TODAY()-DMRB5[[#This Row],[Move_in]])</f>
        <v/>
      </c>
      <c r="H3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37" s="3">
        <f>IF(DMRB5[[#This Row],[Move_out ]]="","",
IF(OR(DMRB5[[#This Row],[Insp_status ]]="In Progress",DMRB5[[#This Row],[Insp_status ]]="Done",
DMRB5[[#This Row],[Insp_status ]]="Scheduled"),
WORKDAY(DMRB5[[#This Row],[Move_out ]],1),
""))</f>
        <v>45915</v>
      </c>
      <c r="J37" s="1" t="s">
        <v>0</v>
      </c>
      <c r="K37" s="3">
        <f>IF(DMRB5[[#This Row],[Move_out ]]="","",
IF(OR(DMRB5[[#This Row],[Paint_status]]="In Progress",DMRB5[[#This Row],[Paint_status]]="Done",
DMRB5[[#This Row],[Paint_status]]="Scheduled"),
WORKDAY(DMRB5[[#This Row],[Move_out ]],2),
""))</f>
        <v>45916</v>
      </c>
      <c r="L37" s="1" t="s">
        <v>0</v>
      </c>
      <c r="M37" s="3">
        <f>IF(DMRB5[[#This Row],[Move_out ]]="","",
IF(OR(DMRB5[[#This Row],[MR_Status]]="In Progress",DMRB5[[#This Row],[MR_Status]]="Done",
DMRB5[[#This Row],[MR_Status]]="Scheduled"),
WORKDAY(DMRB5[[#This Row],[Move_out ]],3),
""))</f>
        <v>45917</v>
      </c>
      <c r="N37" s="1" t="s">
        <v>0</v>
      </c>
      <c r="O37" s="3">
        <f>IF(DMRB5[[#This Row],[Move_out ]]="","",
IF(OR(DMRB5[[#This Row],[HK_Status]]="In Progress",DMRB5[[#This Row],[HK_Status]]="Done",
DMRB5[[#This Row],[HK_Status]]="Scheduled"),
WORKDAY(DMRB5[[#This Row],[Move_out ]],6),
""))</f>
        <v>45922</v>
      </c>
      <c r="P37" s="1" t="s">
        <v>0</v>
      </c>
      <c r="Q37" s="3">
        <f>IF(DMRB5[[#This Row],[Move_out ]]="","",
IF(OR(DMRB5[[#This Row],[CC_status]]="In Progress",DMRB5[[#This Row],[CC_status]]="Done",
DMRB5[[#This Row],[CC_status]]="Scheduled"),
WORKDAY(DMRB5[[#This Row],[Move_out ]],7),
""))</f>
        <v>45923</v>
      </c>
      <c r="R37" s="1" t="s">
        <v>0</v>
      </c>
      <c r="S37" s="2" t="s">
        <v>42</v>
      </c>
      <c r="T37" s="1" t="s">
        <v>123</v>
      </c>
      <c r="U37" s="1" t="s">
        <v>36</v>
      </c>
      <c r="V37" s="1" t="str">
        <f>IF(TRIM(CLEAN(A37))="","",_xlfn.TEXTBEFORE(_xlfn.TEXTAFTER(A37,"Unit "),"-"))</f>
        <v>8</v>
      </c>
      <c r="W37" s="1" t="str">
        <f>IF(TRIM(CLEAN(A37))="","",_xlfn.TEXTBEFORE(_xlfn.TEXTAFTER(A37,"-"),"-"))</f>
        <v>01</v>
      </c>
      <c r="X37" s="1" t="str">
        <f>IF(TRIM(CLEAN(A37))="","",_xlfn.TEXTAFTER(A37,"-",-1))</f>
        <v>2001</v>
      </c>
    </row>
    <row r="38" spans="1:25" x14ac:dyDescent="0.4">
      <c r="A38" s="4" t="s">
        <v>62</v>
      </c>
      <c r="B38" s="1" t="s">
        <v>41</v>
      </c>
      <c r="C38" s="3">
        <v>45939</v>
      </c>
      <c r="D38" s="3">
        <v>46002</v>
      </c>
      <c r="E38" s="1">
        <f ca="1">IF(DMRB5[[#This Row],[Move_out ]]="","",TODAY()-DMRB5[[#This Row],[Move_out ]])</f>
        <v>131</v>
      </c>
      <c r="F38" s="2"/>
      <c r="G38" s="1" t="str">
        <f ca="1">IF(DMRB5[[#This Row],[Move_in]]="","",TODAY()-DMRB5[[#This Row],[Move_in]])</f>
        <v/>
      </c>
      <c r="H3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38" s="3">
        <f>IF(DMRB5[[#This Row],[Move_out ]]="","",
IF(OR(DMRB5[[#This Row],[Insp_status ]]="In Progress",DMRB5[[#This Row],[Insp_status ]]="Done",
DMRB5[[#This Row],[Insp_status ]]="Scheduled"),
WORKDAY(DMRB5[[#This Row],[Move_out ]],1),
""))</f>
        <v>45940</v>
      </c>
      <c r="J38" s="1" t="s">
        <v>0</v>
      </c>
      <c r="K38" s="3">
        <f>IF(DMRB5[[#This Row],[Move_out ]]="","",
IF(OR(DMRB5[[#This Row],[Paint_status]]="In Progress",DMRB5[[#This Row],[Paint_status]]="Done",
DMRB5[[#This Row],[Paint_status]]="Scheduled"),
WORKDAY(DMRB5[[#This Row],[Move_out ]],2),
""))</f>
        <v>45943</v>
      </c>
      <c r="L38" s="1" t="s">
        <v>0</v>
      </c>
      <c r="M38" s="3">
        <f>IF(DMRB5[[#This Row],[Move_out ]]="","",
IF(OR(DMRB5[[#This Row],[MR_Status]]="In Progress",DMRB5[[#This Row],[MR_Status]]="Done",
DMRB5[[#This Row],[MR_Status]]="Scheduled"),
WORKDAY(DMRB5[[#This Row],[Move_out ]],3),
""))</f>
        <v>45944</v>
      </c>
      <c r="N38" s="1" t="s">
        <v>0</v>
      </c>
      <c r="O38" s="3">
        <f>IF(DMRB5[[#This Row],[Move_out ]]="","",
IF(OR(DMRB5[[#This Row],[HK_Status]]="In Progress",DMRB5[[#This Row],[HK_Status]]="Done",
DMRB5[[#This Row],[HK_Status]]="Scheduled"),
WORKDAY(DMRB5[[#This Row],[Move_out ]],6),
""))</f>
        <v>45947</v>
      </c>
      <c r="P38" s="1" t="s">
        <v>0</v>
      </c>
      <c r="Q38" s="3">
        <f>IF(DMRB5[[#This Row],[Move_out ]]="","",
IF(OR(DMRB5[[#This Row],[CC_status]]="In Progress",DMRB5[[#This Row],[CC_status]]="Done",
DMRB5[[#This Row],[CC_status]]="Scheduled"),
WORKDAY(DMRB5[[#This Row],[Move_out ]],7),
""))</f>
        <v>45950</v>
      </c>
      <c r="R38" s="1" t="s">
        <v>0</v>
      </c>
      <c r="S38" s="2" t="s">
        <v>2</v>
      </c>
      <c r="T38" s="1" t="s">
        <v>123</v>
      </c>
      <c r="U38" s="1" t="s">
        <v>36</v>
      </c>
      <c r="V38" s="1" t="str">
        <f>IF(TRIM(CLEAN(A38))="","",_xlfn.TEXTBEFORE(_xlfn.TEXTAFTER(A38,"Unit "),"-"))</f>
        <v>5</v>
      </c>
      <c r="W38" s="1" t="str">
        <f>IF(TRIM(CLEAN(A38))="","",_xlfn.TEXTBEFORE(_xlfn.TEXTAFTER(A38,"-"),"-"))</f>
        <v>15</v>
      </c>
      <c r="X38" s="1" t="str">
        <f>IF(TRIM(CLEAN(A38))="","",_xlfn.TEXTAFTER(A38,"-",-1))</f>
        <v>0305</v>
      </c>
    </row>
    <row r="39" spans="1:25" x14ac:dyDescent="0.4">
      <c r="A39" s="4" t="s">
        <v>63</v>
      </c>
      <c r="B39" s="1" t="s">
        <v>41</v>
      </c>
      <c r="C39" s="3">
        <v>45946</v>
      </c>
      <c r="D39" s="3">
        <v>45954</v>
      </c>
      <c r="E39" s="1">
        <f ca="1">IF(DMRB5[[#This Row],[Move_out ]]="","",TODAY()-DMRB5[[#This Row],[Move_out ]])</f>
        <v>124</v>
      </c>
      <c r="F39" s="2"/>
      <c r="G39" s="1" t="str">
        <f ca="1">IF(DMRB5[[#This Row],[Move_in]]="","",TODAY()-DMRB5[[#This Row],[Move_in]])</f>
        <v/>
      </c>
      <c r="H3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39" s="3">
        <f>IF(DMRB5[[#This Row],[Move_out ]]="","",
IF(OR(DMRB5[[#This Row],[Insp_status ]]="In Progress",DMRB5[[#This Row],[Insp_status ]]="Done",
DMRB5[[#This Row],[Insp_status ]]="Scheduled"),
WORKDAY(DMRB5[[#This Row],[Move_out ]],1),
""))</f>
        <v>45947</v>
      </c>
      <c r="J39" s="1" t="s">
        <v>0</v>
      </c>
      <c r="K39" s="3">
        <f>IF(DMRB5[[#This Row],[Move_out ]]="","",
IF(OR(DMRB5[[#This Row],[Paint_status]]="In Progress",DMRB5[[#This Row],[Paint_status]]="Done",
DMRB5[[#This Row],[Paint_status]]="Scheduled"),
WORKDAY(DMRB5[[#This Row],[Move_out ]],2),
""))</f>
        <v>45950</v>
      </c>
      <c r="L39" s="1" t="s">
        <v>0</v>
      </c>
      <c r="M39" s="3">
        <f>IF(DMRB5[[#This Row],[Move_out ]]="","",
IF(OR(DMRB5[[#This Row],[MR_Status]]="In Progress",DMRB5[[#This Row],[MR_Status]]="Done",
DMRB5[[#This Row],[MR_Status]]="Scheduled"),
WORKDAY(DMRB5[[#This Row],[Move_out ]],3),
""))</f>
        <v>45951</v>
      </c>
      <c r="N39" s="1" t="s">
        <v>0</v>
      </c>
      <c r="O39" s="3">
        <f>IF(DMRB5[[#This Row],[Move_out ]]="","",
IF(OR(DMRB5[[#This Row],[HK_Status]]="In Progress",DMRB5[[#This Row],[HK_Status]]="Done",
DMRB5[[#This Row],[HK_Status]]="Scheduled"),
WORKDAY(DMRB5[[#This Row],[Move_out ]],6),
""))</f>
        <v>45954</v>
      </c>
      <c r="P39" s="1" t="s">
        <v>0</v>
      </c>
      <c r="Q39" s="3">
        <f>IF(DMRB5[[#This Row],[Move_out ]]="","",
IF(OR(DMRB5[[#This Row],[CC_status]]="In Progress",DMRB5[[#This Row],[CC_status]]="Done",
DMRB5[[#This Row],[CC_status]]="Scheduled"),
WORKDAY(DMRB5[[#This Row],[Move_out ]],7),
""))</f>
        <v>45957</v>
      </c>
      <c r="R39" s="1" t="s">
        <v>0</v>
      </c>
      <c r="S39" s="2" t="s">
        <v>2</v>
      </c>
      <c r="T39" s="1" t="s">
        <v>123</v>
      </c>
      <c r="U39" s="1" t="s">
        <v>36</v>
      </c>
      <c r="V39" s="1" t="str">
        <f>IF(TRIM(CLEAN(A39))="","",_xlfn.TEXTBEFORE(_xlfn.TEXTAFTER(A39,"Unit "),"-"))</f>
        <v>5</v>
      </c>
      <c r="W39" s="1" t="str">
        <f>IF(TRIM(CLEAN(A39))="","",_xlfn.TEXTBEFORE(_xlfn.TEXTAFTER(A39,"-"),"-"))</f>
        <v>18</v>
      </c>
      <c r="X39" s="1" t="str">
        <f>IF(TRIM(CLEAN(A39))="","",_xlfn.TEXTAFTER(A39,"-",-1))</f>
        <v>0222</v>
      </c>
    </row>
    <row r="40" spans="1:25" x14ac:dyDescent="0.4">
      <c r="A40" s="4" t="s">
        <v>64</v>
      </c>
      <c r="B40" s="1" t="s">
        <v>41</v>
      </c>
      <c r="C40" s="3">
        <v>45961</v>
      </c>
      <c r="D40" s="3">
        <v>45977</v>
      </c>
      <c r="E40" s="1">
        <f ca="1">IF(DMRB5[[#This Row],[Move_out ]]="","",TODAY()-DMRB5[[#This Row],[Move_out ]])</f>
        <v>109</v>
      </c>
      <c r="F40" s="2"/>
      <c r="G40" s="1" t="str">
        <f ca="1">IF(DMRB5[[#This Row],[Move_in]]="","",TODAY()-DMRB5[[#This Row],[Move_in]])</f>
        <v/>
      </c>
      <c r="H4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40" s="3">
        <f>IF(DMRB5[[#This Row],[Move_out ]]="","",
IF(OR(DMRB5[[#This Row],[Insp_status ]]="In Progress",DMRB5[[#This Row],[Insp_status ]]="Done",
DMRB5[[#This Row],[Insp_status ]]="Scheduled"),
WORKDAY(DMRB5[[#This Row],[Move_out ]],1),
""))</f>
        <v>45964</v>
      </c>
      <c r="J40" s="1" t="s">
        <v>0</v>
      </c>
      <c r="K40" s="3">
        <f>IF(DMRB5[[#This Row],[Move_out ]]="","",
IF(OR(DMRB5[[#This Row],[Paint_status]]="In Progress",DMRB5[[#This Row],[Paint_status]]="Done",
DMRB5[[#This Row],[Paint_status]]="Scheduled"),
WORKDAY(DMRB5[[#This Row],[Move_out ]],2),
""))</f>
        <v>45965</v>
      </c>
      <c r="L40" s="1" t="s">
        <v>0</v>
      </c>
      <c r="M40" s="3">
        <f>IF(DMRB5[[#This Row],[Move_out ]]="","",
IF(OR(DMRB5[[#This Row],[MR_Status]]="In Progress",DMRB5[[#This Row],[MR_Status]]="Done",
DMRB5[[#This Row],[MR_Status]]="Scheduled"),
WORKDAY(DMRB5[[#This Row],[Move_out ]],3),
""))</f>
        <v>45966</v>
      </c>
      <c r="N40" s="1" t="s">
        <v>0</v>
      </c>
      <c r="O40" s="3">
        <f>IF(DMRB5[[#This Row],[Move_out ]]="","",
IF(OR(DMRB5[[#This Row],[HK_Status]]="In Progress",DMRB5[[#This Row],[HK_Status]]="Done",
DMRB5[[#This Row],[HK_Status]]="Scheduled"),
WORKDAY(DMRB5[[#This Row],[Move_out ]],6),
""))</f>
        <v>45971</v>
      </c>
      <c r="P40" s="1" t="s">
        <v>0</v>
      </c>
      <c r="Q40" s="3">
        <f>IF(DMRB5[[#This Row],[Move_out ]]="","",
IF(OR(DMRB5[[#This Row],[CC_status]]="In Progress",DMRB5[[#This Row],[CC_status]]="Done",
DMRB5[[#This Row],[CC_status]]="Scheduled"),
WORKDAY(DMRB5[[#This Row],[Move_out ]],7),
""))</f>
        <v>45972</v>
      </c>
      <c r="R40" s="1" t="s">
        <v>0</v>
      </c>
      <c r="S40" s="2" t="s">
        <v>39</v>
      </c>
      <c r="T40" s="1" t="s">
        <v>123</v>
      </c>
      <c r="U40" s="1" t="s">
        <v>36</v>
      </c>
      <c r="V40" s="1" t="str">
        <f>IF(TRIM(CLEAN(A40))="","",_xlfn.TEXTBEFORE(_xlfn.TEXTAFTER(A40,"Unit "),"-"))</f>
        <v>7</v>
      </c>
      <c r="W40" s="1" t="str">
        <f>IF(TRIM(CLEAN(A40))="","",_xlfn.TEXTBEFORE(_xlfn.TEXTAFTER(A40,"-"),"-"))</f>
        <v>09</v>
      </c>
      <c r="X40" s="1" t="str">
        <f>IF(TRIM(CLEAN(A40))="","",_xlfn.TEXTAFTER(A40,"-",-1))</f>
        <v>0107</v>
      </c>
    </row>
    <row r="41" spans="1:25" x14ac:dyDescent="0.4">
      <c r="A41" s="4" t="s">
        <v>66</v>
      </c>
      <c r="B41" s="1" t="s">
        <v>41</v>
      </c>
      <c r="C41" s="3">
        <v>45971</v>
      </c>
      <c r="D41" s="3">
        <v>46003</v>
      </c>
      <c r="E41" s="1">
        <f ca="1">IF(DMRB5[[#This Row],[Move_out ]]="","",TODAY()-DMRB5[[#This Row],[Move_out ]])</f>
        <v>99</v>
      </c>
      <c r="F41" s="2"/>
      <c r="G41" s="1" t="str">
        <f ca="1">IF(DMRB5[[#This Row],[Move_in]]="","",TODAY()-DMRB5[[#This Row],[Move_in]])</f>
        <v/>
      </c>
      <c r="H4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41" s="3">
        <f>IF(DMRB5[[#This Row],[Move_out ]]="","",
IF(OR(DMRB5[[#This Row],[Insp_status ]]="In Progress",DMRB5[[#This Row],[Insp_status ]]="Done",
DMRB5[[#This Row],[Insp_status ]]="Scheduled"),
WORKDAY(DMRB5[[#This Row],[Move_out ]],1),
""))</f>
        <v>45972</v>
      </c>
      <c r="J41" s="1" t="s">
        <v>0</v>
      </c>
      <c r="K41" s="3">
        <f>IF(DMRB5[[#This Row],[Move_out ]]="","",
IF(OR(DMRB5[[#This Row],[Paint_status]]="In Progress",DMRB5[[#This Row],[Paint_status]]="Done",
DMRB5[[#This Row],[Paint_status]]="Scheduled"),
WORKDAY(DMRB5[[#This Row],[Move_out ]],2),
""))</f>
        <v>45973</v>
      </c>
      <c r="L41" s="1" t="s">
        <v>0</v>
      </c>
      <c r="M41" s="3">
        <f>IF(DMRB5[[#This Row],[Move_out ]]="","",
IF(OR(DMRB5[[#This Row],[MR_Status]]="In Progress",DMRB5[[#This Row],[MR_Status]]="Done",
DMRB5[[#This Row],[MR_Status]]="Scheduled"),
WORKDAY(DMRB5[[#This Row],[Move_out ]],3),
""))</f>
        <v>45974</v>
      </c>
      <c r="N41" s="1" t="s">
        <v>0</v>
      </c>
      <c r="O41" s="3">
        <f>IF(DMRB5[[#This Row],[Move_out ]]="","",
IF(OR(DMRB5[[#This Row],[HK_Status]]="In Progress",DMRB5[[#This Row],[HK_Status]]="Done",
DMRB5[[#This Row],[HK_Status]]="Scheduled"),
WORKDAY(DMRB5[[#This Row],[Move_out ]],6),
""))</f>
        <v>45979</v>
      </c>
      <c r="P41" s="1" t="s">
        <v>0</v>
      </c>
      <c r="Q41" s="3">
        <f>IF(DMRB5[[#This Row],[Move_out ]]="","",
IF(OR(DMRB5[[#This Row],[CC_status]]="In Progress",DMRB5[[#This Row],[CC_status]]="Done",
DMRB5[[#This Row],[CC_status]]="Scheduled"),
WORKDAY(DMRB5[[#This Row],[Move_out ]],7),
""))</f>
        <v>45980</v>
      </c>
      <c r="R41" s="1" t="s">
        <v>0</v>
      </c>
      <c r="S41" s="2" t="s">
        <v>2</v>
      </c>
      <c r="T41" s="1" t="s">
        <v>123</v>
      </c>
      <c r="U41" s="1" t="s">
        <v>36</v>
      </c>
      <c r="V41" s="1" t="str">
        <f>IF(TRIM(CLEAN(A41))="","",_xlfn.TEXTBEFORE(_xlfn.TEXTAFTER(A41,"Unit "),"-"))</f>
        <v>5</v>
      </c>
      <c r="W41" s="1" t="str">
        <f>IF(TRIM(CLEAN(A41))="","",_xlfn.TEXTBEFORE(_xlfn.TEXTAFTER(A41,"-"),"-"))</f>
        <v>18</v>
      </c>
      <c r="X41" s="1" t="str">
        <f>IF(TRIM(CLEAN(A41))="","",_xlfn.TEXTAFTER(A41,"-",-1))</f>
        <v>0202</v>
      </c>
    </row>
    <row r="42" spans="1:25" x14ac:dyDescent="0.4">
      <c r="A42" s="4" t="s">
        <v>67</v>
      </c>
      <c r="B42" s="1" t="s">
        <v>41</v>
      </c>
      <c r="C42" s="3">
        <v>45972</v>
      </c>
      <c r="D42" s="3">
        <v>46017</v>
      </c>
      <c r="E42" s="1">
        <f ca="1">IF(DMRB5[[#This Row],[Move_out ]]="","",TODAY()-DMRB5[[#This Row],[Move_out ]])</f>
        <v>98</v>
      </c>
      <c r="F42" s="2"/>
      <c r="G42" s="1" t="str">
        <f ca="1">IF(DMRB5[[#This Row],[Move_in]]="","",TODAY()-DMRB5[[#This Row],[Move_in]])</f>
        <v/>
      </c>
      <c r="H4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42" s="3">
        <f>IF(DMRB5[[#This Row],[Move_out ]]="","",
IF(OR(DMRB5[[#This Row],[Insp_status ]]="In Progress",DMRB5[[#This Row],[Insp_status ]]="Done",
DMRB5[[#This Row],[Insp_status ]]="Scheduled"),
WORKDAY(DMRB5[[#This Row],[Move_out ]],1),
""))</f>
        <v>45973</v>
      </c>
      <c r="J42" s="1" t="s">
        <v>0</v>
      </c>
      <c r="K42" s="3">
        <f>IF(DMRB5[[#This Row],[Move_out ]]="","",
IF(OR(DMRB5[[#This Row],[Paint_status]]="In Progress",DMRB5[[#This Row],[Paint_status]]="Done",
DMRB5[[#This Row],[Paint_status]]="Scheduled"),
WORKDAY(DMRB5[[#This Row],[Move_out ]],2),
""))</f>
        <v>45974</v>
      </c>
      <c r="L42" s="1" t="s">
        <v>0</v>
      </c>
      <c r="M42" s="3">
        <f>IF(DMRB5[[#This Row],[Move_out ]]="","",
IF(OR(DMRB5[[#This Row],[MR_Status]]="In Progress",DMRB5[[#This Row],[MR_Status]]="Done",
DMRB5[[#This Row],[MR_Status]]="Scheduled"),
WORKDAY(DMRB5[[#This Row],[Move_out ]],3),
""))</f>
        <v>45975</v>
      </c>
      <c r="N42" s="1" t="s">
        <v>0</v>
      </c>
      <c r="O42" s="3">
        <f>IF(DMRB5[[#This Row],[Move_out ]]="","",
IF(OR(DMRB5[[#This Row],[HK_Status]]="In Progress",DMRB5[[#This Row],[HK_Status]]="Done",
DMRB5[[#This Row],[HK_Status]]="Scheduled"),
WORKDAY(DMRB5[[#This Row],[Move_out ]],6),
""))</f>
        <v>45980</v>
      </c>
      <c r="P42" s="1" t="s">
        <v>0</v>
      </c>
      <c r="Q42" s="3">
        <f>IF(DMRB5[[#This Row],[Move_out ]]="","",
IF(OR(DMRB5[[#This Row],[CC_status]]="In Progress",DMRB5[[#This Row],[CC_status]]="Done",
DMRB5[[#This Row],[CC_status]]="Scheduled"),
WORKDAY(DMRB5[[#This Row],[Move_out ]],7),
""))</f>
        <v>45981</v>
      </c>
      <c r="R42" s="1" t="s">
        <v>0</v>
      </c>
      <c r="S42" s="2" t="s">
        <v>39</v>
      </c>
      <c r="T42" s="1" t="s">
        <v>123</v>
      </c>
      <c r="U42" s="1" t="s">
        <v>36</v>
      </c>
      <c r="V42" s="1" t="str">
        <f>IF(TRIM(CLEAN(A42))="","",_xlfn.TEXTBEFORE(_xlfn.TEXTAFTER(A42,"Unit "),"-"))</f>
        <v>7</v>
      </c>
      <c r="W42" s="1" t="str">
        <f>IF(TRIM(CLEAN(A42))="","",_xlfn.TEXTBEFORE(_xlfn.TEXTAFTER(A42,"-"),"-"))</f>
        <v>10</v>
      </c>
      <c r="X42" s="1" t="str">
        <f>IF(TRIM(CLEAN(A42))="","",_xlfn.TEXTAFTER(A42,"-",-1))</f>
        <v>0303</v>
      </c>
    </row>
    <row r="43" spans="1:25" x14ac:dyDescent="0.4">
      <c r="A43" s="4" t="s">
        <v>68</v>
      </c>
      <c r="B43" s="1" t="s">
        <v>41</v>
      </c>
      <c r="C43" s="3">
        <v>45973</v>
      </c>
      <c r="D43" s="3">
        <v>46001</v>
      </c>
      <c r="E43" s="1">
        <f ca="1">IF(DMRB5[[#This Row],[Move_out ]]="","",TODAY()-DMRB5[[#This Row],[Move_out ]])</f>
        <v>97</v>
      </c>
      <c r="F43" s="2"/>
      <c r="G43" s="1" t="str">
        <f ca="1">IF(DMRB5[[#This Row],[Move_in]]="","",TODAY()-DMRB5[[#This Row],[Move_in]])</f>
        <v/>
      </c>
      <c r="H4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43" s="3">
        <f>IF(DMRB5[[#This Row],[Move_out ]]="","",
IF(OR(DMRB5[[#This Row],[Insp_status ]]="In Progress",DMRB5[[#This Row],[Insp_status ]]="Done",
DMRB5[[#This Row],[Insp_status ]]="Scheduled"),
WORKDAY(DMRB5[[#This Row],[Move_out ]],1),
""))</f>
        <v>45974</v>
      </c>
      <c r="J43" s="1" t="s">
        <v>0</v>
      </c>
      <c r="K43" s="3">
        <f>IF(DMRB5[[#This Row],[Move_out ]]="","",
IF(OR(DMRB5[[#This Row],[Paint_status]]="In Progress",DMRB5[[#This Row],[Paint_status]]="Done",
DMRB5[[#This Row],[Paint_status]]="Scheduled"),
WORKDAY(DMRB5[[#This Row],[Move_out ]],2),
""))</f>
        <v>45975</v>
      </c>
      <c r="L43" s="1" t="s">
        <v>0</v>
      </c>
      <c r="M43" s="3">
        <f>IF(DMRB5[[#This Row],[Move_out ]]="","",
IF(OR(DMRB5[[#This Row],[MR_Status]]="In Progress",DMRB5[[#This Row],[MR_Status]]="Done",
DMRB5[[#This Row],[MR_Status]]="Scheduled"),
WORKDAY(DMRB5[[#This Row],[Move_out ]],3),
""))</f>
        <v>45978</v>
      </c>
      <c r="N43" s="1" t="s">
        <v>0</v>
      </c>
      <c r="O43" s="3">
        <f>IF(DMRB5[[#This Row],[Move_out ]]="","",
IF(OR(DMRB5[[#This Row],[HK_Status]]="In Progress",DMRB5[[#This Row],[HK_Status]]="Done",
DMRB5[[#This Row],[HK_Status]]="Scheduled"),
WORKDAY(DMRB5[[#This Row],[Move_out ]],6),
""))</f>
        <v>45981</v>
      </c>
      <c r="P43" s="1" t="s">
        <v>0</v>
      </c>
      <c r="Q43" s="3">
        <f>IF(DMRB5[[#This Row],[Move_out ]]="","",
IF(OR(DMRB5[[#This Row],[CC_status]]="In Progress",DMRB5[[#This Row],[CC_status]]="Done",
DMRB5[[#This Row],[CC_status]]="Scheduled"),
WORKDAY(DMRB5[[#This Row],[Move_out ]],7),
""))</f>
        <v>45982</v>
      </c>
      <c r="R43" s="1" t="s">
        <v>0</v>
      </c>
      <c r="S43" s="2" t="s">
        <v>42</v>
      </c>
      <c r="T43" s="1" t="s">
        <v>123</v>
      </c>
      <c r="U43" s="1" t="s">
        <v>36</v>
      </c>
      <c r="V43" s="1" t="str">
        <f>IF(TRIM(CLEAN(A43))="","",_xlfn.TEXTBEFORE(_xlfn.TEXTAFTER(A43,"Unit "),"-"))</f>
        <v>8</v>
      </c>
      <c r="W43" s="1" t="str">
        <f>IF(TRIM(CLEAN(A43))="","",_xlfn.TEXTBEFORE(_xlfn.TEXTAFTER(A43,"-"),"-"))</f>
        <v>01</v>
      </c>
      <c r="X43" s="1" t="str">
        <f>IF(TRIM(CLEAN(A43))="","",_xlfn.TEXTAFTER(A43,"-",-1))</f>
        <v>3013</v>
      </c>
    </row>
    <row r="44" spans="1:25" x14ac:dyDescent="0.4">
      <c r="A44" s="4" t="s">
        <v>69</v>
      </c>
      <c r="B44" s="1" t="s">
        <v>5</v>
      </c>
      <c r="C44" s="3">
        <v>45985</v>
      </c>
      <c r="D44" s="3">
        <v>46081</v>
      </c>
      <c r="E44" s="1">
        <f ca="1">IF(DMRB5[[#This Row],[Move_out ]]="","",TODAY()-DMRB5[[#This Row],[Move_out ]])</f>
        <v>85</v>
      </c>
      <c r="F44" s="2"/>
      <c r="G44" s="1" t="str">
        <f ca="1">IF(DMRB5[[#This Row],[Move_in]]="","",TODAY()-DMRB5[[#This Row],[Move_in]])</f>
        <v/>
      </c>
      <c r="H4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44" s="3">
        <f>IF(DMRB5[[#This Row],[Move_out ]]="","",
IF(OR(DMRB5[[#This Row],[Insp_status ]]="In Progress",DMRB5[[#This Row],[Insp_status ]]="Done",
DMRB5[[#This Row],[Insp_status ]]="Scheduled"),
WORKDAY(DMRB5[[#This Row],[Move_out ]],1),
""))</f>
        <v>45986</v>
      </c>
      <c r="J44" s="1" t="s">
        <v>0</v>
      </c>
      <c r="K44" s="3">
        <f>IF(DMRB5[[#This Row],[Move_out ]]="","",
IF(OR(DMRB5[[#This Row],[Paint_status]]="In Progress",DMRB5[[#This Row],[Paint_status]]="Done",
DMRB5[[#This Row],[Paint_status]]="Scheduled"),
WORKDAY(DMRB5[[#This Row],[Move_out ]],2),
""))</f>
        <v>45987</v>
      </c>
      <c r="L44" s="1" t="s">
        <v>0</v>
      </c>
      <c r="M44" s="3">
        <f>IF(DMRB5[[#This Row],[Move_out ]]="","",
IF(OR(DMRB5[[#This Row],[MR_Status]]="In Progress",DMRB5[[#This Row],[MR_Status]]="Done",
DMRB5[[#This Row],[MR_Status]]="Scheduled"),
WORKDAY(DMRB5[[#This Row],[Move_out ]],3),
""))</f>
        <v>45988</v>
      </c>
      <c r="N44" s="1" t="s">
        <v>0</v>
      </c>
      <c r="O44" s="3">
        <f>IF(DMRB5[[#This Row],[Move_out ]]="","",
IF(OR(DMRB5[[#This Row],[HK_Status]]="In Progress",DMRB5[[#This Row],[HK_Status]]="Done",
DMRB5[[#This Row],[HK_Status]]="Scheduled"),
WORKDAY(DMRB5[[#This Row],[Move_out ]],6),
""))</f>
        <v>45993</v>
      </c>
      <c r="P44" s="1" t="s">
        <v>0</v>
      </c>
      <c r="Q44" s="3">
        <f>IF(DMRB5[[#This Row],[Move_out ]]="","",
IF(OR(DMRB5[[#This Row],[CC_status]]="In Progress",DMRB5[[#This Row],[CC_status]]="Done",
DMRB5[[#This Row],[CC_status]]="Scheduled"),
WORKDAY(DMRB5[[#This Row],[Move_out ]],7),
""))</f>
        <v>45994</v>
      </c>
      <c r="R44" s="1" t="s">
        <v>0</v>
      </c>
      <c r="S44" s="2" t="s">
        <v>2</v>
      </c>
      <c r="T44" s="1" t="s">
        <v>123</v>
      </c>
      <c r="U44" s="1" t="s">
        <v>36</v>
      </c>
      <c r="V44" s="1" t="str">
        <f>IF(TRIM(CLEAN(A44))="","",_xlfn.TEXTBEFORE(_xlfn.TEXTAFTER(A44,"Unit "),"-"))</f>
        <v>5</v>
      </c>
      <c r="W44" s="1" t="str">
        <f>IF(TRIM(CLEAN(A44))="","",_xlfn.TEXTBEFORE(_xlfn.TEXTAFTER(A44,"-"),"-"))</f>
        <v>18</v>
      </c>
      <c r="X44" s="1" t="str">
        <f>IF(TRIM(CLEAN(A44))="","",_xlfn.TEXTAFTER(A44,"-",-1))</f>
        <v>0117</v>
      </c>
      <c r="Y44" s="52" t="s">
        <v>124</v>
      </c>
    </row>
    <row r="45" spans="1:25" x14ac:dyDescent="0.4">
      <c r="A45" s="4" t="s">
        <v>70</v>
      </c>
      <c r="B45" s="1" t="s">
        <v>41</v>
      </c>
      <c r="C45" s="3">
        <v>45995</v>
      </c>
      <c r="D45" s="3">
        <v>46034</v>
      </c>
      <c r="E45" s="1">
        <f ca="1">IF(DMRB5[[#This Row],[Move_out ]]="","",TODAY()-DMRB5[[#This Row],[Move_out ]])</f>
        <v>75</v>
      </c>
      <c r="F45" s="2"/>
      <c r="G45" s="1" t="str">
        <f ca="1">IF(DMRB5[[#This Row],[Move_in]]="","",TODAY()-DMRB5[[#This Row],[Move_in]])</f>
        <v/>
      </c>
      <c r="H4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45" s="3">
        <f>IF(DMRB5[[#This Row],[Move_out ]]="","",
IF(OR(DMRB5[[#This Row],[Insp_status ]]="In Progress",DMRB5[[#This Row],[Insp_status ]]="Done",
DMRB5[[#This Row],[Insp_status ]]="Scheduled"),
WORKDAY(DMRB5[[#This Row],[Move_out ]],1),
""))</f>
        <v>45996</v>
      </c>
      <c r="J45" s="1" t="s">
        <v>0</v>
      </c>
      <c r="K45" s="3">
        <f>IF(DMRB5[[#This Row],[Move_out ]]="","",
IF(OR(DMRB5[[#This Row],[Paint_status]]="In Progress",DMRB5[[#This Row],[Paint_status]]="Done",
DMRB5[[#This Row],[Paint_status]]="Scheduled"),
WORKDAY(DMRB5[[#This Row],[Move_out ]],2),
""))</f>
        <v>45999</v>
      </c>
      <c r="L45" s="1" t="s">
        <v>0</v>
      </c>
      <c r="M45" s="3">
        <f>IF(DMRB5[[#This Row],[Move_out ]]="","",
IF(OR(DMRB5[[#This Row],[MR_Status]]="In Progress",DMRB5[[#This Row],[MR_Status]]="Done",
DMRB5[[#This Row],[MR_Status]]="Scheduled"),
WORKDAY(DMRB5[[#This Row],[Move_out ]],3),
""))</f>
        <v>46000</v>
      </c>
      <c r="N45" s="1" t="s">
        <v>0</v>
      </c>
      <c r="O45" s="3">
        <f>IF(DMRB5[[#This Row],[Move_out ]]="","",
IF(OR(DMRB5[[#This Row],[HK_Status]]="In Progress",DMRB5[[#This Row],[HK_Status]]="Done",
DMRB5[[#This Row],[HK_Status]]="Scheduled"),
WORKDAY(DMRB5[[#This Row],[Move_out ]],6),
""))</f>
        <v>46003</v>
      </c>
      <c r="P45" s="1" t="s">
        <v>0</v>
      </c>
      <c r="Q45" s="3">
        <f>IF(DMRB5[[#This Row],[Move_out ]]="","",
IF(OR(DMRB5[[#This Row],[CC_status]]="In Progress",DMRB5[[#This Row],[CC_status]]="Done",
DMRB5[[#This Row],[CC_status]]="Scheduled"),
WORKDAY(DMRB5[[#This Row],[Move_out ]],7),
""))</f>
        <v>46006</v>
      </c>
      <c r="R45" s="1" t="s">
        <v>0</v>
      </c>
      <c r="S45" s="2" t="s">
        <v>2</v>
      </c>
      <c r="T45" s="1" t="s">
        <v>1</v>
      </c>
      <c r="U45" s="1" t="s">
        <v>36</v>
      </c>
      <c r="V45" s="1" t="str">
        <f>IF(TRIM(CLEAN(A45))="","",_xlfn.TEXTBEFORE(_xlfn.TEXTAFTER(A45,"Unit "),"-"))</f>
        <v>5</v>
      </c>
      <c r="W45" s="1" t="str">
        <f>IF(TRIM(CLEAN(A45))="","",_xlfn.TEXTBEFORE(_xlfn.TEXTAFTER(A45,"-"),"-"))</f>
        <v>11</v>
      </c>
      <c r="X45" s="1" t="str">
        <f>IF(TRIM(CLEAN(A45))="","",_xlfn.TEXTAFTER(A45,"-",-1))</f>
        <v>0106</v>
      </c>
    </row>
    <row r="46" spans="1:25" x14ac:dyDescent="0.4">
      <c r="A46" s="4" t="s">
        <v>71</v>
      </c>
      <c r="B46" s="1" t="s">
        <v>41</v>
      </c>
      <c r="C46" s="3">
        <v>45996</v>
      </c>
      <c r="D46" s="3">
        <v>46017</v>
      </c>
      <c r="E46" s="1">
        <f ca="1">IF(DMRB5[[#This Row],[Move_out ]]="","",TODAY()-DMRB5[[#This Row],[Move_out ]])</f>
        <v>74</v>
      </c>
      <c r="F46" s="2"/>
      <c r="G46" s="1" t="str">
        <f ca="1">IF(DMRB5[[#This Row],[Move_in]]="","",TODAY()-DMRB5[[#This Row],[Move_in]])</f>
        <v/>
      </c>
      <c r="H4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46" s="3">
        <f>IF(DMRB5[[#This Row],[Move_out ]]="","",
IF(OR(DMRB5[[#This Row],[Insp_status ]]="In Progress",DMRB5[[#This Row],[Insp_status ]]="Done",
DMRB5[[#This Row],[Insp_status ]]="Scheduled"),
WORKDAY(DMRB5[[#This Row],[Move_out ]],1),
""))</f>
        <v>45999</v>
      </c>
      <c r="J46" s="1" t="s">
        <v>0</v>
      </c>
      <c r="K46" s="3">
        <f>IF(DMRB5[[#This Row],[Move_out ]]="","",
IF(OR(DMRB5[[#This Row],[Paint_status]]="In Progress",DMRB5[[#This Row],[Paint_status]]="Done",
DMRB5[[#This Row],[Paint_status]]="Scheduled"),
WORKDAY(DMRB5[[#This Row],[Move_out ]],2),
""))</f>
        <v>46000</v>
      </c>
      <c r="L46" s="1" t="s">
        <v>0</v>
      </c>
      <c r="M46" s="3">
        <f>IF(DMRB5[[#This Row],[Move_out ]]="","",
IF(OR(DMRB5[[#This Row],[MR_Status]]="In Progress",DMRB5[[#This Row],[MR_Status]]="Done",
DMRB5[[#This Row],[MR_Status]]="Scheduled"),
WORKDAY(DMRB5[[#This Row],[Move_out ]],3),
""))</f>
        <v>46001</v>
      </c>
      <c r="N46" s="1" t="s">
        <v>0</v>
      </c>
      <c r="O46" s="3">
        <f>IF(DMRB5[[#This Row],[Move_out ]]="","",
IF(OR(DMRB5[[#This Row],[HK_Status]]="In Progress",DMRB5[[#This Row],[HK_Status]]="Done",
DMRB5[[#This Row],[HK_Status]]="Scheduled"),
WORKDAY(DMRB5[[#This Row],[Move_out ]],6),
""))</f>
        <v>46006</v>
      </c>
      <c r="P46" s="1" t="s">
        <v>0</v>
      </c>
      <c r="Q46" s="3">
        <f>IF(DMRB5[[#This Row],[Move_out ]]="","",
IF(OR(DMRB5[[#This Row],[CC_status]]="In Progress",DMRB5[[#This Row],[CC_status]]="Done",
DMRB5[[#This Row],[CC_status]]="Scheduled"),
WORKDAY(DMRB5[[#This Row],[Move_out ]],7),
""))</f>
        <v>46007</v>
      </c>
      <c r="R46" s="1" t="s">
        <v>0</v>
      </c>
      <c r="S46" s="2" t="s">
        <v>2</v>
      </c>
      <c r="T46" s="1" t="s">
        <v>123</v>
      </c>
      <c r="U46" s="1" t="s">
        <v>36</v>
      </c>
      <c r="V46" s="1" t="str">
        <f>IF(TRIM(CLEAN(A46))="","",_xlfn.TEXTBEFORE(_xlfn.TEXTAFTER(A46,"Unit "),"-"))</f>
        <v>5</v>
      </c>
      <c r="W46" s="1" t="str">
        <f>IF(TRIM(CLEAN(A46))="","",_xlfn.TEXTBEFORE(_xlfn.TEXTAFTER(A46,"-"),"-"))</f>
        <v>17</v>
      </c>
      <c r="X46" s="1" t="str">
        <f>IF(TRIM(CLEAN(A46))="","",_xlfn.TEXTAFTER(A46,"-",-1))</f>
        <v>0119</v>
      </c>
    </row>
    <row r="47" spans="1:25" x14ac:dyDescent="0.4">
      <c r="A47" s="4" t="s">
        <v>72</v>
      </c>
      <c r="B47" s="1" t="s">
        <v>41</v>
      </c>
      <c r="C47" s="3">
        <v>45996</v>
      </c>
      <c r="D47" s="3">
        <v>46013</v>
      </c>
      <c r="E47" s="1">
        <f ca="1">IF(DMRB5[[#This Row],[Move_out ]]="","",TODAY()-DMRB5[[#This Row],[Move_out ]])</f>
        <v>74</v>
      </c>
      <c r="F47" s="2"/>
      <c r="G47" s="1" t="str">
        <f ca="1">IF(DMRB5[[#This Row],[Move_in]]="","",TODAY()-DMRB5[[#This Row],[Move_in]])</f>
        <v/>
      </c>
      <c r="H4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47" s="3">
        <f>IF(DMRB5[[#This Row],[Move_out ]]="","",
IF(OR(DMRB5[[#This Row],[Insp_status ]]="In Progress",DMRB5[[#This Row],[Insp_status ]]="Done",
DMRB5[[#This Row],[Insp_status ]]="Scheduled"),
WORKDAY(DMRB5[[#This Row],[Move_out ]],1),
""))</f>
        <v>45999</v>
      </c>
      <c r="J47" s="1" t="s">
        <v>0</v>
      </c>
      <c r="K47" s="3">
        <f>IF(DMRB5[[#This Row],[Move_out ]]="","",
IF(OR(DMRB5[[#This Row],[Paint_status]]="In Progress",DMRB5[[#This Row],[Paint_status]]="Done",
DMRB5[[#This Row],[Paint_status]]="Scheduled"),
WORKDAY(DMRB5[[#This Row],[Move_out ]],2),
""))</f>
        <v>46000</v>
      </c>
      <c r="L47" s="1" t="s">
        <v>0</v>
      </c>
      <c r="M47" s="3">
        <f>IF(DMRB5[[#This Row],[Move_out ]]="","",
IF(OR(DMRB5[[#This Row],[MR_Status]]="In Progress",DMRB5[[#This Row],[MR_Status]]="Done",
DMRB5[[#This Row],[MR_Status]]="Scheduled"),
WORKDAY(DMRB5[[#This Row],[Move_out ]],3),
""))</f>
        <v>46001</v>
      </c>
      <c r="N47" s="1" t="s">
        <v>0</v>
      </c>
      <c r="O47" s="3">
        <f>IF(DMRB5[[#This Row],[Move_out ]]="","",
IF(OR(DMRB5[[#This Row],[HK_Status]]="In Progress",DMRB5[[#This Row],[HK_Status]]="Done",
DMRB5[[#This Row],[HK_Status]]="Scheduled"),
WORKDAY(DMRB5[[#This Row],[Move_out ]],6),
""))</f>
        <v>46006</v>
      </c>
      <c r="P47" s="1" t="s">
        <v>0</v>
      </c>
      <c r="Q47" s="3">
        <f>IF(DMRB5[[#This Row],[Move_out ]]="","",
IF(OR(DMRB5[[#This Row],[CC_status]]="In Progress",DMRB5[[#This Row],[CC_status]]="Done",
DMRB5[[#This Row],[CC_status]]="Scheduled"),
WORKDAY(DMRB5[[#This Row],[Move_out ]],7),
""))</f>
        <v>46007</v>
      </c>
      <c r="R47" s="1" t="s">
        <v>0</v>
      </c>
      <c r="S47" s="2" t="s">
        <v>42</v>
      </c>
      <c r="T47" s="1" t="s">
        <v>123</v>
      </c>
      <c r="U47" s="1" t="s">
        <v>36</v>
      </c>
      <c r="V47" s="1" t="str">
        <f>IF(TRIM(CLEAN(A47))="","",_xlfn.TEXTBEFORE(_xlfn.TEXTAFTER(A47,"Unit "),"-"))</f>
        <v>8</v>
      </c>
      <c r="W47" s="1" t="str">
        <f>IF(TRIM(CLEAN(A47))="","",_xlfn.TEXTBEFORE(_xlfn.TEXTAFTER(A47,"-"),"-"))</f>
        <v>01</v>
      </c>
      <c r="X47" s="1" t="str">
        <f>IF(TRIM(CLEAN(A47))="","",_xlfn.TEXTAFTER(A47,"-",-1))</f>
        <v>1109</v>
      </c>
    </row>
    <row r="48" spans="1:25" x14ac:dyDescent="0.4">
      <c r="A48" s="4" t="s">
        <v>73</v>
      </c>
      <c r="B48" s="1" t="s">
        <v>41</v>
      </c>
      <c r="C48" s="3">
        <v>46002</v>
      </c>
      <c r="D48" s="3">
        <v>46029</v>
      </c>
      <c r="E48" s="1">
        <f ca="1">IF(DMRB5[[#This Row],[Move_out ]]="","",TODAY()-DMRB5[[#This Row],[Move_out ]])</f>
        <v>68</v>
      </c>
      <c r="F48" s="2"/>
      <c r="G48" s="1" t="str">
        <f ca="1">IF(DMRB5[[#This Row],[Move_in]]="","",TODAY()-DMRB5[[#This Row],[Move_in]])</f>
        <v/>
      </c>
      <c r="H4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48" s="3">
        <f>IF(DMRB5[[#This Row],[Move_out ]]="","",
IF(OR(DMRB5[[#This Row],[Insp_status ]]="In Progress",DMRB5[[#This Row],[Insp_status ]]="Done",
DMRB5[[#This Row],[Insp_status ]]="Scheduled"),
WORKDAY(DMRB5[[#This Row],[Move_out ]],1),
""))</f>
        <v>46003</v>
      </c>
      <c r="J48" s="1" t="s">
        <v>0</v>
      </c>
      <c r="K48" s="3">
        <f>IF(DMRB5[[#This Row],[Move_out ]]="","",
IF(OR(DMRB5[[#This Row],[Paint_status]]="In Progress",DMRB5[[#This Row],[Paint_status]]="Done",
DMRB5[[#This Row],[Paint_status]]="Scheduled"),
WORKDAY(DMRB5[[#This Row],[Move_out ]],2),
""))</f>
        <v>46006</v>
      </c>
      <c r="L48" s="1" t="s">
        <v>0</v>
      </c>
      <c r="M48" s="3">
        <f>IF(DMRB5[[#This Row],[Move_out ]]="","",
IF(OR(DMRB5[[#This Row],[MR_Status]]="In Progress",DMRB5[[#This Row],[MR_Status]]="Done",
DMRB5[[#This Row],[MR_Status]]="Scheduled"),
WORKDAY(DMRB5[[#This Row],[Move_out ]],3),
""))</f>
        <v>46007</v>
      </c>
      <c r="N48" s="1" t="s">
        <v>0</v>
      </c>
      <c r="O48" s="3">
        <f>IF(DMRB5[[#This Row],[Move_out ]]="","",
IF(OR(DMRB5[[#This Row],[HK_Status]]="In Progress",DMRB5[[#This Row],[HK_Status]]="Done",
DMRB5[[#This Row],[HK_Status]]="Scheduled"),
WORKDAY(DMRB5[[#This Row],[Move_out ]],6),
""))</f>
        <v>46010</v>
      </c>
      <c r="P48" s="1" t="s">
        <v>0</v>
      </c>
      <c r="Q48" s="3">
        <f>IF(DMRB5[[#This Row],[Move_out ]]="","",
IF(OR(DMRB5[[#This Row],[CC_status]]="In Progress",DMRB5[[#This Row],[CC_status]]="Done",
DMRB5[[#This Row],[CC_status]]="Scheduled"),
WORKDAY(DMRB5[[#This Row],[Move_out ]],7),
""))</f>
        <v>46013</v>
      </c>
      <c r="R48" s="1" t="s">
        <v>0</v>
      </c>
      <c r="S48" s="2" t="s">
        <v>39</v>
      </c>
      <c r="T48" s="1" t="s">
        <v>123</v>
      </c>
      <c r="U48" s="1" t="s">
        <v>36</v>
      </c>
      <c r="V48" s="1" t="str">
        <f>IF(TRIM(CLEAN(A48))="","",_xlfn.TEXTBEFORE(_xlfn.TEXTAFTER(A48,"Unit "),"-"))</f>
        <v>7</v>
      </c>
      <c r="W48" s="1" t="str">
        <f>IF(TRIM(CLEAN(A48))="","",_xlfn.TEXTBEFORE(_xlfn.TEXTAFTER(A48,"-"),"-"))</f>
        <v>11</v>
      </c>
      <c r="X48" s="1" t="str">
        <f>IF(TRIM(CLEAN(A48))="","",_xlfn.TEXTAFTER(A48,"-",-1))</f>
        <v>0315</v>
      </c>
    </row>
    <row r="49" spans="1:25" x14ac:dyDescent="0.4">
      <c r="A49" s="4" t="s">
        <v>74</v>
      </c>
      <c r="B49" s="1" t="s">
        <v>41</v>
      </c>
      <c r="C49" s="3">
        <v>46015</v>
      </c>
      <c r="D49" s="3">
        <v>46035</v>
      </c>
      <c r="E49" s="1">
        <f ca="1">IF(DMRB5[[#This Row],[Move_out ]]="","",TODAY()-DMRB5[[#This Row],[Move_out ]])</f>
        <v>55</v>
      </c>
      <c r="F49" s="2"/>
      <c r="G49" s="1" t="str">
        <f ca="1">IF(DMRB5[[#This Row],[Move_in]]="","",TODAY()-DMRB5[[#This Row],[Move_in]])</f>
        <v/>
      </c>
      <c r="H4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49" s="3">
        <f>IF(DMRB5[[#This Row],[Move_out ]]="","",
IF(OR(DMRB5[[#This Row],[Insp_status ]]="In Progress",DMRB5[[#This Row],[Insp_status ]]="Done",
DMRB5[[#This Row],[Insp_status ]]="Scheduled"),
WORKDAY(DMRB5[[#This Row],[Move_out ]],1),
""))</f>
        <v>46016</v>
      </c>
      <c r="J49" s="1" t="s">
        <v>0</v>
      </c>
      <c r="K49" s="3">
        <f>IF(DMRB5[[#This Row],[Move_out ]]="","",
IF(OR(DMRB5[[#This Row],[Paint_status]]="In Progress",DMRB5[[#This Row],[Paint_status]]="Done",
DMRB5[[#This Row],[Paint_status]]="Scheduled"),
WORKDAY(DMRB5[[#This Row],[Move_out ]],2),
""))</f>
        <v>46017</v>
      </c>
      <c r="L49" s="1" t="s">
        <v>0</v>
      </c>
      <c r="M49" s="3">
        <f>IF(DMRB5[[#This Row],[Move_out ]]="","",
IF(OR(DMRB5[[#This Row],[MR_Status]]="In Progress",DMRB5[[#This Row],[MR_Status]]="Done",
DMRB5[[#This Row],[MR_Status]]="Scheduled"),
WORKDAY(DMRB5[[#This Row],[Move_out ]],3),
""))</f>
        <v>46020</v>
      </c>
      <c r="N49" s="1" t="s">
        <v>0</v>
      </c>
      <c r="O49" s="3">
        <f>IF(DMRB5[[#This Row],[Move_out ]]="","",
IF(OR(DMRB5[[#This Row],[HK_Status]]="In Progress",DMRB5[[#This Row],[HK_Status]]="Done",
DMRB5[[#This Row],[HK_Status]]="Scheduled"),
WORKDAY(DMRB5[[#This Row],[Move_out ]],6),
""))</f>
        <v>46023</v>
      </c>
      <c r="P49" s="1" t="s">
        <v>0</v>
      </c>
      <c r="Q49" s="3">
        <f>IF(DMRB5[[#This Row],[Move_out ]]="","",
IF(OR(DMRB5[[#This Row],[CC_status]]="In Progress",DMRB5[[#This Row],[CC_status]]="Done",
DMRB5[[#This Row],[CC_status]]="Scheduled"),
WORKDAY(DMRB5[[#This Row],[Move_out ]],7),
""))</f>
        <v>46024</v>
      </c>
      <c r="R49" s="1" t="s">
        <v>0</v>
      </c>
      <c r="S49" s="2" t="s">
        <v>42</v>
      </c>
      <c r="T49" s="1" t="s">
        <v>1</v>
      </c>
      <c r="U49" s="1" t="s">
        <v>36</v>
      </c>
      <c r="V49" s="1" t="str">
        <f>IF(TRIM(CLEAN(A49))="","",_xlfn.TEXTBEFORE(_xlfn.TEXTAFTER(A49,"Unit "),"-"))</f>
        <v>8</v>
      </c>
      <c r="W49" s="1" t="str">
        <f>IF(TRIM(CLEAN(A49))="","",_xlfn.TEXTBEFORE(_xlfn.TEXTAFTER(A49,"-"),"-"))</f>
        <v>01</v>
      </c>
      <c r="X49" s="1" t="str">
        <f>IF(TRIM(CLEAN(A49))="","",_xlfn.TEXTAFTER(A49,"-",-1))</f>
        <v>2012</v>
      </c>
    </row>
    <row r="50" spans="1:25" x14ac:dyDescent="0.4">
      <c r="A50" s="4" t="s">
        <v>75</v>
      </c>
      <c r="B50" s="1" t="s">
        <v>41</v>
      </c>
      <c r="C50" s="3">
        <v>46016</v>
      </c>
      <c r="D50" s="3">
        <v>46038</v>
      </c>
      <c r="E50" s="1">
        <f ca="1">IF(DMRB5[[#This Row],[Move_out ]]="","",TODAY()-DMRB5[[#This Row],[Move_out ]])</f>
        <v>54</v>
      </c>
      <c r="F50" s="2"/>
      <c r="G50" s="1" t="str">
        <f ca="1">IF(DMRB5[[#This Row],[Move_in]]="","",TODAY()-DMRB5[[#This Row],[Move_in]])</f>
        <v/>
      </c>
      <c r="H5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0" s="3">
        <f>IF(DMRB5[[#This Row],[Move_out ]]="","",
IF(OR(DMRB5[[#This Row],[Insp_status ]]="In Progress",DMRB5[[#This Row],[Insp_status ]]="Done",
DMRB5[[#This Row],[Insp_status ]]="Scheduled"),
WORKDAY(DMRB5[[#This Row],[Move_out ]],1),
""))</f>
        <v>46017</v>
      </c>
      <c r="J50" s="1" t="s">
        <v>0</v>
      </c>
      <c r="K50" s="3">
        <f>IF(DMRB5[[#This Row],[Move_out ]]="","",
IF(OR(DMRB5[[#This Row],[Paint_status]]="In Progress",DMRB5[[#This Row],[Paint_status]]="Done",
DMRB5[[#This Row],[Paint_status]]="Scheduled"),
WORKDAY(DMRB5[[#This Row],[Move_out ]],2),
""))</f>
        <v>46020</v>
      </c>
      <c r="L50" s="1" t="s">
        <v>0</v>
      </c>
      <c r="M50" s="3">
        <f>IF(DMRB5[[#This Row],[Move_out ]]="","",
IF(OR(DMRB5[[#This Row],[MR_Status]]="In Progress",DMRB5[[#This Row],[MR_Status]]="Done",
DMRB5[[#This Row],[MR_Status]]="Scheduled"),
WORKDAY(DMRB5[[#This Row],[Move_out ]],3),
""))</f>
        <v>46021</v>
      </c>
      <c r="N50" s="1" t="s">
        <v>0</v>
      </c>
      <c r="O50" s="3">
        <f>IF(DMRB5[[#This Row],[Move_out ]]="","",
IF(OR(DMRB5[[#This Row],[HK_Status]]="In Progress",DMRB5[[#This Row],[HK_Status]]="Done",
DMRB5[[#This Row],[HK_Status]]="Scheduled"),
WORKDAY(DMRB5[[#This Row],[Move_out ]],6),
""))</f>
        <v>46024</v>
      </c>
      <c r="P50" s="1" t="s">
        <v>0</v>
      </c>
      <c r="Q50" s="3">
        <f>IF(DMRB5[[#This Row],[Move_out ]]="","",
IF(OR(DMRB5[[#This Row],[CC_status]]="In Progress",DMRB5[[#This Row],[CC_status]]="Done",
DMRB5[[#This Row],[CC_status]]="Scheduled"),
WORKDAY(DMRB5[[#This Row],[Move_out ]],7),
""))</f>
        <v>46027</v>
      </c>
      <c r="R50" s="1" t="s">
        <v>0</v>
      </c>
      <c r="S50" s="2" t="s">
        <v>2</v>
      </c>
      <c r="T50" s="1" t="s">
        <v>123</v>
      </c>
      <c r="U50" s="1" t="s">
        <v>36</v>
      </c>
      <c r="V50" s="1" t="str">
        <f>IF(TRIM(CLEAN(A50))="","",_xlfn.TEXTBEFORE(_xlfn.TEXTAFTER(A50,"Unit "),"-"))</f>
        <v>5</v>
      </c>
      <c r="W50" s="1" t="str">
        <f>IF(TRIM(CLEAN(A50))="","",_xlfn.TEXTBEFORE(_xlfn.TEXTAFTER(A50,"-"),"-"))</f>
        <v>02</v>
      </c>
      <c r="X50" s="1" t="str">
        <f>IF(TRIM(CLEAN(A50))="","",_xlfn.TEXTAFTER(A50,"-",-1))</f>
        <v>0109</v>
      </c>
    </row>
    <row r="51" spans="1:25" x14ac:dyDescent="0.4">
      <c r="A51" s="4" t="s">
        <v>76</v>
      </c>
      <c r="B51" s="1" t="s">
        <v>41</v>
      </c>
      <c r="C51" s="3">
        <v>46018</v>
      </c>
      <c r="D51" s="3">
        <v>46038</v>
      </c>
      <c r="E51" s="1">
        <f ca="1">IF(DMRB5[[#This Row],[Move_out ]]="","",TODAY()-DMRB5[[#This Row],[Move_out ]])</f>
        <v>52</v>
      </c>
      <c r="F51" s="2"/>
      <c r="G51" s="1" t="str">
        <f ca="1">IF(DMRB5[[#This Row],[Move_in]]="","",TODAY()-DMRB5[[#This Row],[Move_in]])</f>
        <v/>
      </c>
      <c r="H5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1" s="3">
        <f>IF(DMRB5[[#This Row],[Move_out ]]="","",
IF(OR(DMRB5[[#This Row],[Insp_status ]]="In Progress",DMRB5[[#This Row],[Insp_status ]]="Done",
DMRB5[[#This Row],[Insp_status ]]="Scheduled"),
WORKDAY(DMRB5[[#This Row],[Move_out ]],1),
""))</f>
        <v>46020</v>
      </c>
      <c r="J51" s="1" t="s">
        <v>0</v>
      </c>
      <c r="K51" s="3">
        <f>IF(DMRB5[[#This Row],[Move_out ]]="","",
IF(OR(DMRB5[[#This Row],[Paint_status]]="In Progress",DMRB5[[#This Row],[Paint_status]]="Done",
DMRB5[[#This Row],[Paint_status]]="Scheduled"),
WORKDAY(DMRB5[[#This Row],[Move_out ]],2),
""))</f>
        <v>46021</v>
      </c>
      <c r="L51" s="1" t="s">
        <v>0</v>
      </c>
      <c r="M51" s="3">
        <f>IF(DMRB5[[#This Row],[Move_out ]]="","",
IF(OR(DMRB5[[#This Row],[MR_Status]]="In Progress",DMRB5[[#This Row],[MR_Status]]="Done",
DMRB5[[#This Row],[MR_Status]]="Scheduled"),
WORKDAY(DMRB5[[#This Row],[Move_out ]],3),
""))</f>
        <v>46022</v>
      </c>
      <c r="N51" s="1" t="s">
        <v>0</v>
      </c>
      <c r="O51" s="3">
        <f>IF(DMRB5[[#This Row],[Move_out ]]="","",
IF(OR(DMRB5[[#This Row],[HK_Status]]="In Progress",DMRB5[[#This Row],[HK_Status]]="Done",
DMRB5[[#This Row],[HK_Status]]="Scheduled"),
WORKDAY(DMRB5[[#This Row],[Move_out ]],6),
""))</f>
        <v>46027</v>
      </c>
      <c r="P51" s="1" t="s">
        <v>0</v>
      </c>
      <c r="Q51" s="3">
        <f>IF(DMRB5[[#This Row],[Move_out ]]="","",
IF(OR(DMRB5[[#This Row],[CC_status]]="In Progress",DMRB5[[#This Row],[CC_status]]="Done",
DMRB5[[#This Row],[CC_status]]="Scheduled"),
WORKDAY(DMRB5[[#This Row],[Move_out ]],7),
""))</f>
        <v>46028</v>
      </c>
      <c r="R51" s="1" t="s">
        <v>0</v>
      </c>
      <c r="S51" s="2" t="s">
        <v>39</v>
      </c>
      <c r="T51" s="1" t="s">
        <v>123</v>
      </c>
      <c r="U51" s="1" t="s">
        <v>36</v>
      </c>
      <c r="V51" s="1" t="str">
        <f>IF(TRIM(CLEAN(A51))="","",_xlfn.TEXTBEFORE(_xlfn.TEXTAFTER(A51,"Unit "),"-"))</f>
        <v>7</v>
      </c>
      <c r="W51" s="1" t="str">
        <f>IF(TRIM(CLEAN(A51))="","",_xlfn.TEXTBEFORE(_xlfn.TEXTAFTER(A51,"-"),"-"))</f>
        <v>02</v>
      </c>
      <c r="X51" s="1" t="str">
        <f>IF(TRIM(CLEAN(A51))="","",_xlfn.TEXTAFTER(A51,"-",-1))</f>
        <v>0303</v>
      </c>
    </row>
    <row r="52" spans="1:25" x14ac:dyDescent="0.4">
      <c r="A52" s="4" t="s">
        <v>77</v>
      </c>
      <c r="B52" s="1" t="s">
        <v>41</v>
      </c>
      <c r="C52" s="3">
        <v>46021</v>
      </c>
      <c r="D52" s="3">
        <v>46038</v>
      </c>
      <c r="E52" s="1">
        <f ca="1">IF(DMRB5[[#This Row],[Move_out ]]="","",TODAY()-DMRB5[[#This Row],[Move_out ]])</f>
        <v>49</v>
      </c>
      <c r="F52" s="2"/>
      <c r="G52" s="1" t="str">
        <f ca="1">IF(DMRB5[[#This Row],[Move_in]]="","",TODAY()-DMRB5[[#This Row],[Move_in]])</f>
        <v/>
      </c>
      <c r="H5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2" s="3">
        <f>IF(DMRB5[[#This Row],[Move_out ]]="","",
IF(OR(DMRB5[[#This Row],[Insp_status ]]="In Progress",DMRB5[[#This Row],[Insp_status ]]="Done",
DMRB5[[#This Row],[Insp_status ]]="Scheduled"),
WORKDAY(DMRB5[[#This Row],[Move_out ]],1),
""))</f>
        <v>46022</v>
      </c>
      <c r="J52" s="1" t="s">
        <v>0</v>
      </c>
      <c r="K52" s="3">
        <f>IF(DMRB5[[#This Row],[Move_out ]]="","",
IF(OR(DMRB5[[#This Row],[Paint_status]]="In Progress",DMRB5[[#This Row],[Paint_status]]="Done",
DMRB5[[#This Row],[Paint_status]]="Scheduled"),
WORKDAY(DMRB5[[#This Row],[Move_out ]],2),
""))</f>
        <v>46023</v>
      </c>
      <c r="L52" s="1" t="s">
        <v>0</v>
      </c>
      <c r="M52" s="3">
        <f>IF(DMRB5[[#This Row],[Move_out ]]="","",
IF(OR(DMRB5[[#This Row],[MR_Status]]="In Progress",DMRB5[[#This Row],[MR_Status]]="Done",
DMRB5[[#This Row],[MR_Status]]="Scheduled"),
WORKDAY(DMRB5[[#This Row],[Move_out ]],3),
""))</f>
        <v>46024</v>
      </c>
      <c r="N52" s="1" t="s">
        <v>0</v>
      </c>
      <c r="O52" s="3">
        <f>IF(DMRB5[[#This Row],[Move_out ]]="","",
IF(OR(DMRB5[[#This Row],[HK_Status]]="In Progress",DMRB5[[#This Row],[HK_Status]]="Done",
DMRB5[[#This Row],[HK_Status]]="Scheduled"),
WORKDAY(DMRB5[[#This Row],[Move_out ]],6),
""))</f>
        <v>46029</v>
      </c>
      <c r="P52" s="1" t="s">
        <v>0</v>
      </c>
      <c r="Q52" s="3">
        <f>IF(DMRB5[[#This Row],[Move_out ]]="","",
IF(OR(DMRB5[[#This Row],[CC_status]]="In Progress",DMRB5[[#This Row],[CC_status]]="Done",
DMRB5[[#This Row],[CC_status]]="Scheduled"),
WORKDAY(DMRB5[[#This Row],[Move_out ]],7),
""))</f>
        <v>46030</v>
      </c>
      <c r="R52" s="1" t="s">
        <v>0</v>
      </c>
      <c r="S52" s="2" t="s">
        <v>39</v>
      </c>
      <c r="T52" s="1" t="s">
        <v>123</v>
      </c>
      <c r="U52" s="1" t="s">
        <v>36</v>
      </c>
      <c r="V52" s="1" t="str">
        <f>IF(TRIM(CLEAN(A52))="","",_xlfn.TEXTBEFORE(_xlfn.TEXTAFTER(A52,"Unit "),"-"))</f>
        <v>7</v>
      </c>
      <c r="W52" s="1" t="str">
        <f>IF(TRIM(CLEAN(A52))="","",_xlfn.TEXTBEFORE(_xlfn.TEXTAFTER(A52,"-"),"-"))</f>
        <v>04</v>
      </c>
      <c r="X52" s="1" t="str">
        <f>IF(TRIM(CLEAN(A52))="","",_xlfn.TEXTAFTER(A52,"-",-1))</f>
        <v>0303</v>
      </c>
    </row>
    <row r="53" spans="1:25" x14ac:dyDescent="0.4">
      <c r="A53" s="4" t="s">
        <v>78</v>
      </c>
      <c r="B53" s="1" t="s">
        <v>41</v>
      </c>
      <c r="C53" s="3">
        <v>46021</v>
      </c>
      <c r="D53" s="3">
        <v>46038</v>
      </c>
      <c r="E53" s="1">
        <f ca="1">IF(DMRB5[[#This Row],[Move_out ]]="","",TODAY()-DMRB5[[#This Row],[Move_out ]])</f>
        <v>49</v>
      </c>
      <c r="F53" s="2"/>
      <c r="G53" s="1" t="str">
        <f ca="1">IF(DMRB5[[#This Row],[Move_in]]="","",TODAY()-DMRB5[[#This Row],[Move_in]])</f>
        <v/>
      </c>
      <c r="H5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3" s="3">
        <f>IF(DMRB5[[#This Row],[Move_out ]]="","",
IF(OR(DMRB5[[#This Row],[Insp_status ]]="In Progress",DMRB5[[#This Row],[Insp_status ]]="Done",
DMRB5[[#This Row],[Insp_status ]]="Scheduled"),
WORKDAY(DMRB5[[#This Row],[Move_out ]],1),
""))</f>
        <v>46022</v>
      </c>
      <c r="J53" s="1" t="s">
        <v>0</v>
      </c>
      <c r="K53" s="3">
        <f>IF(DMRB5[[#This Row],[Move_out ]]="","",
IF(OR(DMRB5[[#This Row],[Paint_status]]="In Progress",DMRB5[[#This Row],[Paint_status]]="Done",
DMRB5[[#This Row],[Paint_status]]="Scheduled"),
WORKDAY(DMRB5[[#This Row],[Move_out ]],2),
""))</f>
        <v>46023</v>
      </c>
      <c r="L53" s="1" t="s">
        <v>0</v>
      </c>
      <c r="M53" s="3">
        <f>IF(DMRB5[[#This Row],[Move_out ]]="","",
IF(OR(DMRB5[[#This Row],[MR_Status]]="In Progress",DMRB5[[#This Row],[MR_Status]]="Done",
DMRB5[[#This Row],[MR_Status]]="Scheduled"),
WORKDAY(DMRB5[[#This Row],[Move_out ]],3),
""))</f>
        <v>46024</v>
      </c>
      <c r="N53" s="1" t="s">
        <v>0</v>
      </c>
      <c r="O53" s="3">
        <f>IF(DMRB5[[#This Row],[Move_out ]]="","",
IF(OR(DMRB5[[#This Row],[HK_Status]]="In Progress",DMRB5[[#This Row],[HK_Status]]="Done",
DMRB5[[#This Row],[HK_Status]]="Scheduled"),
WORKDAY(DMRB5[[#This Row],[Move_out ]],6),
""))</f>
        <v>46029</v>
      </c>
      <c r="P53" s="1" t="s">
        <v>0</v>
      </c>
      <c r="Q53" s="3">
        <f>IF(DMRB5[[#This Row],[Move_out ]]="","",
IF(OR(DMRB5[[#This Row],[CC_status]]="In Progress",DMRB5[[#This Row],[CC_status]]="Done",
DMRB5[[#This Row],[CC_status]]="Scheduled"),
WORKDAY(DMRB5[[#This Row],[Move_out ]],7),
""))</f>
        <v>46030</v>
      </c>
      <c r="R53" s="1" t="s">
        <v>0</v>
      </c>
      <c r="S53" s="2" t="s">
        <v>2</v>
      </c>
      <c r="T53" s="1" t="s">
        <v>123</v>
      </c>
      <c r="U53" s="1" t="s">
        <v>36</v>
      </c>
      <c r="V53" s="1" t="str">
        <f>IF(TRIM(CLEAN(A53))="","",_xlfn.TEXTBEFORE(_xlfn.TEXTAFTER(A53,"Unit "),"-"))</f>
        <v>5</v>
      </c>
      <c r="W53" s="1" t="str">
        <f>IF(TRIM(CLEAN(A53))="","",_xlfn.TEXTBEFORE(_xlfn.TEXTAFTER(A53,"-"),"-"))</f>
        <v>01</v>
      </c>
      <c r="X53" s="1" t="str">
        <f>IF(TRIM(CLEAN(A53))="","",_xlfn.TEXTAFTER(A53,"-",-1))</f>
        <v>0221</v>
      </c>
    </row>
    <row r="54" spans="1:25" x14ac:dyDescent="0.4">
      <c r="A54" s="4" t="s">
        <v>79</v>
      </c>
      <c r="B54" s="1" t="s">
        <v>41</v>
      </c>
      <c r="C54" s="3">
        <v>46022</v>
      </c>
      <c r="D54" s="3">
        <v>46036</v>
      </c>
      <c r="E54" s="1">
        <f ca="1">IF(DMRB5[[#This Row],[Move_out ]]="","",TODAY()-DMRB5[[#This Row],[Move_out ]])</f>
        <v>48</v>
      </c>
      <c r="F54" s="2"/>
      <c r="G54" s="1" t="str">
        <f ca="1">IF(DMRB5[[#This Row],[Move_in]]="","",TODAY()-DMRB5[[#This Row],[Move_in]])</f>
        <v/>
      </c>
      <c r="H5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4" s="3">
        <f>IF(DMRB5[[#This Row],[Move_out ]]="","",
IF(OR(DMRB5[[#This Row],[Insp_status ]]="In Progress",DMRB5[[#This Row],[Insp_status ]]="Done",
DMRB5[[#This Row],[Insp_status ]]="Scheduled"),
WORKDAY(DMRB5[[#This Row],[Move_out ]],1),
""))</f>
        <v>46023</v>
      </c>
      <c r="J54" s="1" t="s">
        <v>0</v>
      </c>
      <c r="K54" s="3">
        <f>IF(DMRB5[[#This Row],[Move_out ]]="","",
IF(OR(DMRB5[[#This Row],[Paint_status]]="In Progress",DMRB5[[#This Row],[Paint_status]]="Done",
DMRB5[[#This Row],[Paint_status]]="Scheduled"),
WORKDAY(DMRB5[[#This Row],[Move_out ]],2),
""))</f>
        <v>46024</v>
      </c>
      <c r="L54" s="1" t="s">
        <v>0</v>
      </c>
      <c r="M54" s="3">
        <f>IF(DMRB5[[#This Row],[Move_out ]]="","",
IF(OR(DMRB5[[#This Row],[MR_Status]]="In Progress",DMRB5[[#This Row],[MR_Status]]="Done",
DMRB5[[#This Row],[MR_Status]]="Scheduled"),
WORKDAY(DMRB5[[#This Row],[Move_out ]],3),
""))</f>
        <v>46027</v>
      </c>
      <c r="N54" s="1" t="s">
        <v>0</v>
      </c>
      <c r="O54" s="3">
        <f>IF(DMRB5[[#This Row],[Move_out ]]="","",
IF(OR(DMRB5[[#This Row],[HK_Status]]="In Progress",DMRB5[[#This Row],[HK_Status]]="Done",
DMRB5[[#This Row],[HK_Status]]="Scheduled"),
WORKDAY(DMRB5[[#This Row],[Move_out ]],6),
""))</f>
        <v>46030</v>
      </c>
      <c r="P54" s="1" t="s">
        <v>0</v>
      </c>
      <c r="Q54" s="3">
        <f>IF(DMRB5[[#This Row],[Move_out ]]="","",
IF(OR(DMRB5[[#This Row],[CC_status]]="In Progress",DMRB5[[#This Row],[CC_status]]="Done",
DMRB5[[#This Row],[CC_status]]="Scheduled"),
WORKDAY(DMRB5[[#This Row],[Move_out ]],7),
""))</f>
        <v>46031</v>
      </c>
      <c r="R54" s="1" t="s">
        <v>0</v>
      </c>
      <c r="S54" s="2" t="s">
        <v>2</v>
      </c>
      <c r="T54" s="1" t="s">
        <v>123</v>
      </c>
      <c r="U54" s="1" t="s">
        <v>36</v>
      </c>
      <c r="V54" s="1" t="str">
        <f>IF(TRIM(CLEAN(A54))="","",_xlfn.TEXTBEFORE(_xlfn.TEXTAFTER(A54,"Unit "),"-"))</f>
        <v>5</v>
      </c>
      <c r="W54" s="1" t="str">
        <f>IF(TRIM(CLEAN(A54))="","",_xlfn.TEXTBEFORE(_xlfn.TEXTAFTER(A54,"-"),"-"))</f>
        <v>18</v>
      </c>
      <c r="X54" s="1" t="str">
        <f>IF(TRIM(CLEAN(A54))="","",_xlfn.TEXTAFTER(A54,"-",-1))</f>
        <v>0342</v>
      </c>
    </row>
    <row r="55" spans="1:25" x14ac:dyDescent="0.4">
      <c r="A55" s="4" t="s">
        <v>80</v>
      </c>
      <c r="B55" s="1" t="s">
        <v>41</v>
      </c>
      <c r="C55" s="3">
        <v>46024</v>
      </c>
      <c r="D55" s="3">
        <v>46038</v>
      </c>
      <c r="E55" s="1">
        <f ca="1">IF(DMRB5[[#This Row],[Move_out ]]="","",TODAY()-DMRB5[[#This Row],[Move_out ]])</f>
        <v>46</v>
      </c>
      <c r="F55" s="2"/>
      <c r="G55" s="1" t="str">
        <f ca="1">IF(DMRB5[[#This Row],[Move_in]]="","",TODAY()-DMRB5[[#This Row],[Move_in]])</f>
        <v/>
      </c>
      <c r="H5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5" s="3">
        <f>IF(DMRB5[[#This Row],[Move_out ]]="","",
IF(OR(DMRB5[[#This Row],[Insp_status ]]="In Progress",DMRB5[[#This Row],[Insp_status ]]="Done",
DMRB5[[#This Row],[Insp_status ]]="Scheduled"),
WORKDAY(DMRB5[[#This Row],[Move_out ]],1),
""))</f>
        <v>46027</v>
      </c>
      <c r="J55" s="1" t="s">
        <v>0</v>
      </c>
      <c r="K55" s="3">
        <f>IF(DMRB5[[#This Row],[Move_out ]]="","",
IF(OR(DMRB5[[#This Row],[Paint_status]]="In Progress",DMRB5[[#This Row],[Paint_status]]="Done",
DMRB5[[#This Row],[Paint_status]]="Scheduled"),
WORKDAY(DMRB5[[#This Row],[Move_out ]],2),
""))</f>
        <v>46028</v>
      </c>
      <c r="L55" s="1" t="s">
        <v>0</v>
      </c>
      <c r="M55" s="3">
        <f>IF(DMRB5[[#This Row],[Move_out ]]="","",
IF(OR(DMRB5[[#This Row],[MR_Status]]="In Progress",DMRB5[[#This Row],[MR_Status]]="Done",
DMRB5[[#This Row],[MR_Status]]="Scheduled"),
WORKDAY(DMRB5[[#This Row],[Move_out ]],3),
""))</f>
        <v>46029</v>
      </c>
      <c r="N55" s="1" t="s">
        <v>0</v>
      </c>
      <c r="O55" s="3">
        <f>IF(DMRB5[[#This Row],[Move_out ]]="","",
IF(OR(DMRB5[[#This Row],[HK_Status]]="In Progress",DMRB5[[#This Row],[HK_Status]]="Done",
DMRB5[[#This Row],[HK_Status]]="Scheduled"),
WORKDAY(DMRB5[[#This Row],[Move_out ]],6),
""))</f>
        <v>46034</v>
      </c>
      <c r="P55" s="1" t="s">
        <v>0</v>
      </c>
      <c r="Q55" s="3">
        <f>IF(DMRB5[[#This Row],[Move_out ]]="","",
IF(OR(DMRB5[[#This Row],[CC_status]]="In Progress",DMRB5[[#This Row],[CC_status]]="Done",
DMRB5[[#This Row],[CC_status]]="Scheduled"),
WORKDAY(DMRB5[[#This Row],[Move_out ]],7),
""))</f>
        <v>46035</v>
      </c>
      <c r="R55" s="1" t="s">
        <v>0</v>
      </c>
      <c r="S55" s="2" t="s">
        <v>126</v>
      </c>
      <c r="T55" s="1" t="s">
        <v>123</v>
      </c>
      <c r="U55" s="1" t="s">
        <v>36</v>
      </c>
      <c r="V55" s="1" t="str">
        <f>IF(TRIM(CLEAN(A55))="","",_xlfn.TEXTBEFORE(_xlfn.TEXTAFTER(A55,"Unit "),"-"))</f>
        <v>7</v>
      </c>
      <c r="W55" s="1" t="str">
        <f>IF(TRIM(CLEAN(A55))="","",_xlfn.TEXTBEFORE(_xlfn.TEXTAFTER(A55,"-"),"-"))</f>
        <v>02</v>
      </c>
      <c r="X55" s="1" t="str">
        <f>IF(TRIM(CLEAN(A55))="","",_xlfn.TEXTAFTER(A55,"-",-1))</f>
        <v>0302</v>
      </c>
    </row>
    <row r="56" spans="1:25" x14ac:dyDescent="0.4">
      <c r="A56" s="4" t="s">
        <v>81</v>
      </c>
      <c r="B56" s="1" t="s">
        <v>41</v>
      </c>
      <c r="C56" s="3">
        <v>46026</v>
      </c>
      <c r="D56" s="3">
        <v>46039</v>
      </c>
      <c r="E56" s="1">
        <f ca="1">IF(DMRB5[[#This Row],[Move_out ]]="","",TODAY()-DMRB5[[#This Row],[Move_out ]])</f>
        <v>44</v>
      </c>
      <c r="F56" s="2"/>
      <c r="G56" s="1" t="str">
        <f ca="1">IF(DMRB5[[#This Row],[Move_in]]="","",TODAY()-DMRB5[[#This Row],[Move_in]])</f>
        <v/>
      </c>
      <c r="H5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6" s="3">
        <f>IF(DMRB5[[#This Row],[Move_out ]]="","",
IF(OR(DMRB5[[#This Row],[Insp_status ]]="In Progress",DMRB5[[#This Row],[Insp_status ]]="Done",
DMRB5[[#This Row],[Insp_status ]]="Scheduled"),
WORKDAY(DMRB5[[#This Row],[Move_out ]],1),
""))</f>
        <v>46027</v>
      </c>
      <c r="J56" s="1" t="s">
        <v>0</v>
      </c>
      <c r="K56" s="3">
        <f>IF(DMRB5[[#This Row],[Move_out ]]="","",
IF(OR(DMRB5[[#This Row],[Paint_status]]="In Progress",DMRB5[[#This Row],[Paint_status]]="Done",
DMRB5[[#This Row],[Paint_status]]="Scheduled"),
WORKDAY(DMRB5[[#This Row],[Move_out ]],2),
""))</f>
        <v>46028</v>
      </c>
      <c r="L56" s="1" t="s">
        <v>0</v>
      </c>
      <c r="M56" s="3">
        <f>IF(DMRB5[[#This Row],[Move_out ]]="","",
IF(OR(DMRB5[[#This Row],[MR_Status]]="In Progress",DMRB5[[#This Row],[MR_Status]]="Done",
DMRB5[[#This Row],[MR_Status]]="Scheduled"),
WORKDAY(DMRB5[[#This Row],[Move_out ]],3),
""))</f>
        <v>46029</v>
      </c>
      <c r="N56" s="1" t="s">
        <v>0</v>
      </c>
      <c r="O56" s="3">
        <f>IF(DMRB5[[#This Row],[Move_out ]]="","",
IF(OR(DMRB5[[#This Row],[HK_Status]]="In Progress",DMRB5[[#This Row],[HK_Status]]="Done",
DMRB5[[#This Row],[HK_Status]]="Scheduled"),
WORKDAY(DMRB5[[#This Row],[Move_out ]],6),
""))</f>
        <v>46034</v>
      </c>
      <c r="P56" s="1" t="s">
        <v>0</v>
      </c>
      <c r="Q56" s="3">
        <f>IF(DMRB5[[#This Row],[Move_out ]]="","",
IF(OR(DMRB5[[#This Row],[CC_status]]="In Progress",DMRB5[[#This Row],[CC_status]]="Done",
DMRB5[[#This Row],[CC_status]]="Scheduled"),
WORKDAY(DMRB5[[#This Row],[Move_out ]],7),
""))</f>
        <v>46035</v>
      </c>
      <c r="R56" s="1" t="s">
        <v>0</v>
      </c>
      <c r="S56" s="2" t="s">
        <v>39</v>
      </c>
      <c r="T56" s="1" t="s">
        <v>123</v>
      </c>
      <c r="U56" s="1" t="s">
        <v>36</v>
      </c>
      <c r="V56" s="1" t="str">
        <f>IF(TRIM(CLEAN(A56))="","",_xlfn.TEXTBEFORE(_xlfn.TEXTAFTER(A56,"Unit "),"-"))</f>
        <v>7</v>
      </c>
      <c r="W56" s="1" t="str">
        <f>IF(TRIM(CLEAN(A56))="","",_xlfn.TEXTBEFORE(_xlfn.TEXTAFTER(A56,"-"),"-"))</f>
        <v>09</v>
      </c>
      <c r="X56" s="1" t="str">
        <f>IF(TRIM(CLEAN(A56))="","",_xlfn.TEXTAFTER(A56,"-",-1))</f>
        <v>0111</v>
      </c>
    </row>
    <row r="57" spans="1:25" x14ac:dyDescent="0.4">
      <c r="A57" s="4" t="s">
        <v>82</v>
      </c>
      <c r="B57" s="1" t="s">
        <v>41</v>
      </c>
      <c r="C57" s="3">
        <v>46027</v>
      </c>
      <c r="D57" s="3">
        <v>46045</v>
      </c>
      <c r="E57" s="1">
        <f ca="1">IF(DMRB5[[#This Row],[Move_out ]]="","",TODAY()-DMRB5[[#This Row],[Move_out ]])</f>
        <v>43</v>
      </c>
      <c r="F57" s="2"/>
      <c r="G57" s="1" t="str">
        <f ca="1">IF(DMRB5[[#This Row],[Move_in]]="","",TODAY()-DMRB5[[#This Row],[Move_in]])</f>
        <v/>
      </c>
      <c r="H5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7" s="3">
        <f>IF(DMRB5[[#This Row],[Move_out ]]="","",
IF(OR(DMRB5[[#This Row],[Insp_status ]]="In Progress",DMRB5[[#This Row],[Insp_status ]]="Done",
DMRB5[[#This Row],[Insp_status ]]="Scheduled"),
WORKDAY(DMRB5[[#This Row],[Move_out ]],1),
""))</f>
        <v>46028</v>
      </c>
      <c r="J57" s="1" t="s">
        <v>0</v>
      </c>
      <c r="K57" s="3">
        <f>IF(DMRB5[[#This Row],[Move_out ]]="","",
IF(OR(DMRB5[[#This Row],[Paint_status]]="In Progress",DMRB5[[#This Row],[Paint_status]]="Done",
DMRB5[[#This Row],[Paint_status]]="Scheduled"),
WORKDAY(DMRB5[[#This Row],[Move_out ]],2),
""))</f>
        <v>46029</v>
      </c>
      <c r="L57" s="1" t="s">
        <v>0</v>
      </c>
      <c r="M57" s="3">
        <f>IF(DMRB5[[#This Row],[Move_out ]]="","",
IF(OR(DMRB5[[#This Row],[MR_Status]]="In Progress",DMRB5[[#This Row],[MR_Status]]="Done",
DMRB5[[#This Row],[MR_Status]]="Scheduled"),
WORKDAY(DMRB5[[#This Row],[Move_out ]],3),
""))</f>
        <v>46030</v>
      </c>
      <c r="N57" s="1" t="s">
        <v>0</v>
      </c>
      <c r="O57" s="3">
        <f>IF(DMRB5[[#This Row],[Move_out ]]="","",
IF(OR(DMRB5[[#This Row],[HK_Status]]="In Progress",DMRB5[[#This Row],[HK_Status]]="Done",
DMRB5[[#This Row],[HK_Status]]="Scheduled"),
WORKDAY(DMRB5[[#This Row],[Move_out ]],6),
""))</f>
        <v>46035</v>
      </c>
      <c r="P57" s="1" t="s">
        <v>0</v>
      </c>
      <c r="Q57" s="3">
        <f>IF(DMRB5[[#This Row],[Move_out ]]="","",
IF(OR(DMRB5[[#This Row],[CC_status]]="In Progress",DMRB5[[#This Row],[CC_status]]="Done",
DMRB5[[#This Row],[CC_status]]="Scheduled"),
WORKDAY(DMRB5[[#This Row],[Move_out ]],7),
""))</f>
        <v>46036</v>
      </c>
      <c r="R57" s="1" t="s">
        <v>0</v>
      </c>
      <c r="S57" s="2" t="s">
        <v>39</v>
      </c>
      <c r="T57" s="1" t="s">
        <v>123</v>
      </c>
      <c r="U57" s="1" t="s">
        <v>36</v>
      </c>
      <c r="V57" s="1" t="str">
        <f>IF(TRIM(CLEAN(A57))="","",_xlfn.TEXTBEFORE(_xlfn.TEXTAFTER(A57,"Unit "),"-"))</f>
        <v>7</v>
      </c>
      <c r="W57" s="1" t="str">
        <f>IF(TRIM(CLEAN(A57))="","",_xlfn.TEXTBEFORE(_xlfn.TEXTAFTER(A57,"-"),"-"))</f>
        <v>07</v>
      </c>
      <c r="X57" s="1" t="str">
        <f>IF(TRIM(CLEAN(A57))="","",_xlfn.TEXTAFTER(A57,"-",-1))</f>
        <v>0104</v>
      </c>
    </row>
    <row r="58" spans="1:25" x14ac:dyDescent="0.4">
      <c r="A58" s="74" t="s">
        <v>148</v>
      </c>
      <c r="B58" s="1" t="s">
        <v>41</v>
      </c>
      <c r="C58" s="3">
        <v>46027</v>
      </c>
      <c r="D58" s="75">
        <v>46041</v>
      </c>
      <c r="E58" s="1">
        <f ca="1">IF(DMRB5[[#This Row],[Move_out ]]="","",TODAY()-DMRB5[[#This Row],[Move_out ]])</f>
        <v>43</v>
      </c>
      <c r="F58" s="2"/>
      <c r="G58" s="1" t="str">
        <f ca="1">IF(DMRB5[[#This Row],[Move_in]]="","",TODAY()-DMRB5[[#This Row],[Move_in]])</f>
        <v/>
      </c>
      <c r="H5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8" s="3">
        <f>IF(DMRB5[[#This Row],[Move_out ]]="","",
IF(OR(DMRB5[[#This Row],[Insp_status ]]="In Progress",DMRB5[[#This Row],[Insp_status ]]="Done",
DMRB5[[#This Row],[Insp_status ]]="Scheduled"),
WORKDAY(DMRB5[[#This Row],[Move_out ]],1),
""))</f>
        <v>46028</v>
      </c>
      <c r="J58" s="1" t="s">
        <v>0</v>
      </c>
      <c r="K58" s="3">
        <f>IF(DMRB5[[#This Row],[Move_out ]]="","",
IF(OR(DMRB5[[#This Row],[Paint_status]]="In Progress",DMRB5[[#This Row],[Paint_status]]="Done",
DMRB5[[#This Row],[Paint_status]]="Scheduled"),
WORKDAY(DMRB5[[#This Row],[Move_out ]],2),
""))</f>
        <v>46029</v>
      </c>
      <c r="L58" s="3" t="s">
        <v>0</v>
      </c>
      <c r="M58" s="3">
        <f>IF(DMRB5[[#This Row],[Move_out ]]="","",
IF(OR(DMRB5[[#This Row],[MR_Status]]="In Progress",DMRB5[[#This Row],[MR_Status]]="Done",
DMRB5[[#This Row],[MR_Status]]="Scheduled"),
WORKDAY(DMRB5[[#This Row],[Move_out ]],3),
""))</f>
        <v>46030</v>
      </c>
      <c r="N58" s="3" t="s">
        <v>0</v>
      </c>
      <c r="O58" s="3">
        <f>IF(DMRB5[[#This Row],[Move_out ]]="","",
IF(OR(DMRB5[[#This Row],[HK_Status]]="In Progress",DMRB5[[#This Row],[HK_Status]]="Done",
DMRB5[[#This Row],[HK_Status]]="Scheduled"),
WORKDAY(DMRB5[[#This Row],[Move_out ]],6),
""))</f>
        <v>46035</v>
      </c>
      <c r="P58" s="3" t="s">
        <v>0</v>
      </c>
      <c r="Q58" s="3">
        <f>IF(DMRB5[[#This Row],[Move_out ]]="","",
IF(OR(DMRB5[[#This Row],[CC_status]]="In Progress",DMRB5[[#This Row],[CC_status]]="Done",
DMRB5[[#This Row],[CC_status]]="Scheduled"),
WORKDAY(DMRB5[[#This Row],[Move_out ]],7),
""))</f>
        <v>46036</v>
      </c>
      <c r="R58" s="3" t="s">
        <v>0</v>
      </c>
      <c r="S58" s="2" t="s">
        <v>39</v>
      </c>
      <c r="T58" s="3" t="s">
        <v>43</v>
      </c>
      <c r="U58" s="1" t="s">
        <v>36</v>
      </c>
      <c r="V58" s="1" t="str">
        <f>IF(TRIM(CLEAN(A58))="","",_xlfn.TEXTBEFORE(_xlfn.TEXTAFTER(A58,"Unit "),"-"))</f>
        <v>7</v>
      </c>
      <c r="W58" s="1" t="str">
        <f>IF(TRIM(CLEAN(A58))="","",_xlfn.TEXTBEFORE(_xlfn.TEXTAFTER(A58,"-"),"-"))</f>
        <v>06</v>
      </c>
      <c r="X58" s="1" t="str">
        <f>IF(TRIM(CLEAN(A58))="","",_xlfn.TEXTAFTER(A58,"-",-1))</f>
        <v>0106</v>
      </c>
    </row>
    <row r="59" spans="1:25" x14ac:dyDescent="0.4">
      <c r="A59" s="4" t="s">
        <v>83</v>
      </c>
      <c r="B59" s="1" t="s">
        <v>41</v>
      </c>
      <c r="C59" s="3">
        <v>46029</v>
      </c>
      <c r="D59" s="3">
        <v>46048</v>
      </c>
      <c r="E59" s="1">
        <f ca="1">IF(DMRB5[[#This Row],[Move_out ]]="","",TODAY()-DMRB5[[#This Row],[Move_out ]])</f>
        <v>41</v>
      </c>
      <c r="F59" s="2"/>
      <c r="G59" s="1" t="str">
        <f ca="1">IF(DMRB5[[#This Row],[Move_in]]="","",TODAY()-DMRB5[[#This Row],[Move_in]])</f>
        <v/>
      </c>
      <c r="H5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59" s="3">
        <f>IF(DMRB5[[#This Row],[Move_out ]]="","",
IF(OR(DMRB5[[#This Row],[Insp_status ]]="In Progress",DMRB5[[#This Row],[Insp_status ]]="Done",
DMRB5[[#This Row],[Insp_status ]]="Scheduled"),
WORKDAY(DMRB5[[#This Row],[Move_out ]],1),
""))</f>
        <v>46030</v>
      </c>
      <c r="J59" s="1" t="s">
        <v>0</v>
      </c>
      <c r="K59" s="3">
        <f>IF(DMRB5[[#This Row],[Move_out ]]="","",
IF(OR(DMRB5[[#This Row],[Paint_status]]="In Progress",DMRB5[[#This Row],[Paint_status]]="Done",
DMRB5[[#This Row],[Paint_status]]="Scheduled"),
WORKDAY(DMRB5[[#This Row],[Move_out ]],2),
""))</f>
        <v>46031</v>
      </c>
      <c r="L59" s="1" t="s">
        <v>0</v>
      </c>
      <c r="M59" s="3">
        <f>IF(DMRB5[[#This Row],[Move_out ]]="","",
IF(OR(DMRB5[[#This Row],[MR_Status]]="In Progress",DMRB5[[#This Row],[MR_Status]]="Done",
DMRB5[[#This Row],[MR_Status]]="Scheduled"),
WORKDAY(DMRB5[[#This Row],[Move_out ]],3),
""))</f>
        <v>46034</v>
      </c>
      <c r="N59" s="1" t="s">
        <v>0</v>
      </c>
      <c r="O59" s="3">
        <f>IF(DMRB5[[#This Row],[Move_out ]]="","",
IF(OR(DMRB5[[#This Row],[HK_Status]]="In Progress",DMRB5[[#This Row],[HK_Status]]="Done",
DMRB5[[#This Row],[HK_Status]]="Scheduled"),
WORKDAY(DMRB5[[#This Row],[Move_out ]],6),
""))</f>
        <v>46037</v>
      </c>
      <c r="P59" s="1" t="s">
        <v>0</v>
      </c>
      <c r="Q59" s="3">
        <f>IF(DMRB5[[#This Row],[Move_out ]]="","",
IF(OR(DMRB5[[#This Row],[CC_status]]="In Progress",DMRB5[[#This Row],[CC_status]]="Done",
DMRB5[[#This Row],[CC_status]]="Scheduled"),
WORKDAY(DMRB5[[#This Row],[Move_out ]],7),
""))</f>
        <v>46038</v>
      </c>
      <c r="R59" s="1" t="s">
        <v>0</v>
      </c>
      <c r="S59" s="2" t="s">
        <v>39</v>
      </c>
      <c r="T59" s="1" t="s">
        <v>1</v>
      </c>
      <c r="U59" s="1" t="s">
        <v>36</v>
      </c>
      <c r="V59" s="1" t="str">
        <f>IF(TRIM(CLEAN(A59))="","",_xlfn.TEXTBEFORE(_xlfn.TEXTAFTER(A59,"Unit "),"-"))</f>
        <v>7</v>
      </c>
      <c r="W59" s="1" t="str">
        <f>IF(TRIM(CLEAN(A59))="","",_xlfn.TEXTBEFORE(_xlfn.TEXTAFTER(A59,"-"),"-"))</f>
        <v>11</v>
      </c>
      <c r="X59" s="1" t="str">
        <f>IF(TRIM(CLEAN(A59))="","",_xlfn.TEXTAFTER(A59,"-",-1))</f>
        <v>0318</v>
      </c>
    </row>
    <row r="60" spans="1:25" x14ac:dyDescent="0.4">
      <c r="A60" s="4" t="s">
        <v>84</v>
      </c>
      <c r="B60" s="1" t="s">
        <v>41</v>
      </c>
      <c r="C60" s="3">
        <v>46030</v>
      </c>
      <c r="D60" s="3">
        <v>46044</v>
      </c>
      <c r="E60" s="1">
        <f ca="1">IF(DMRB5[[#This Row],[Move_out ]]="","",TODAY()-DMRB5[[#This Row],[Move_out ]])</f>
        <v>40</v>
      </c>
      <c r="F60" s="2"/>
      <c r="G60" s="1" t="str">
        <f ca="1">IF(DMRB5[[#This Row],[Move_in]]="","",TODAY()-DMRB5[[#This Row],[Move_in]])</f>
        <v/>
      </c>
      <c r="H6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0" s="3">
        <f>IF(DMRB5[[#This Row],[Move_out ]]="","",
IF(OR(DMRB5[[#This Row],[Insp_status ]]="In Progress",DMRB5[[#This Row],[Insp_status ]]="Done",
DMRB5[[#This Row],[Insp_status ]]="Scheduled"),
WORKDAY(DMRB5[[#This Row],[Move_out ]],1),
""))</f>
        <v>46031</v>
      </c>
      <c r="J60" s="1" t="s">
        <v>0</v>
      </c>
      <c r="K60" s="3">
        <f>IF(DMRB5[[#This Row],[Move_out ]]="","",
IF(OR(DMRB5[[#This Row],[Paint_status]]="In Progress",DMRB5[[#This Row],[Paint_status]]="Done",
DMRB5[[#This Row],[Paint_status]]="Scheduled"),
WORKDAY(DMRB5[[#This Row],[Move_out ]],2),
""))</f>
        <v>46034</v>
      </c>
      <c r="L60" s="1" t="s">
        <v>0</v>
      </c>
      <c r="M60" s="3">
        <f>IF(DMRB5[[#This Row],[Move_out ]]="","",
IF(OR(DMRB5[[#This Row],[MR_Status]]="In Progress",DMRB5[[#This Row],[MR_Status]]="Done",
DMRB5[[#This Row],[MR_Status]]="Scheduled"),
WORKDAY(DMRB5[[#This Row],[Move_out ]],3),
""))</f>
        <v>46035</v>
      </c>
      <c r="N60" s="1" t="s">
        <v>0</v>
      </c>
      <c r="O60" s="3">
        <f>IF(DMRB5[[#This Row],[Move_out ]]="","",
IF(OR(DMRB5[[#This Row],[HK_Status]]="In Progress",DMRB5[[#This Row],[HK_Status]]="Done",
DMRB5[[#This Row],[HK_Status]]="Scheduled"),
WORKDAY(DMRB5[[#This Row],[Move_out ]],6),
""))</f>
        <v>46038</v>
      </c>
      <c r="P60" s="1" t="s">
        <v>0</v>
      </c>
      <c r="Q60" s="3">
        <f>IF(DMRB5[[#This Row],[Move_out ]]="","",
IF(OR(DMRB5[[#This Row],[CC_status]]="In Progress",DMRB5[[#This Row],[CC_status]]="Done",
DMRB5[[#This Row],[CC_status]]="Scheduled"),
WORKDAY(DMRB5[[#This Row],[Move_out ]],7),
""))</f>
        <v>46041</v>
      </c>
      <c r="R60" s="1" t="s">
        <v>0</v>
      </c>
      <c r="S60" s="2" t="s">
        <v>42</v>
      </c>
      <c r="T60" s="1" t="s">
        <v>1</v>
      </c>
      <c r="U60" s="1" t="s">
        <v>36</v>
      </c>
      <c r="V60" s="1" t="str">
        <f>IF(TRIM(CLEAN(A60))="","",_xlfn.TEXTBEFORE(_xlfn.TEXTAFTER(A60,"Unit "),"-"))</f>
        <v>8</v>
      </c>
      <c r="W60" s="1" t="str">
        <f>IF(TRIM(CLEAN(A60))="","",_xlfn.TEXTBEFORE(_xlfn.TEXTAFTER(A60,"-"),"-"))</f>
        <v>01</v>
      </c>
      <c r="X60" s="1" t="str">
        <f>IF(TRIM(CLEAN(A60))="","",_xlfn.TEXTAFTER(A60,"-",-1))</f>
        <v>3096</v>
      </c>
    </row>
    <row r="61" spans="1:25" x14ac:dyDescent="0.4">
      <c r="A61" s="4" t="s">
        <v>85</v>
      </c>
      <c r="B61" s="1" t="s">
        <v>41</v>
      </c>
      <c r="C61" s="3">
        <v>46037</v>
      </c>
      <c r="D61" s="3">
        <v>46059</v>
      </c>
      <c r="E61" s="1">
        <f ca="1">IF(DMRB5[[#This Row],[Move_out ]]="","",TODAY()-DMRB5[[#This Row],[Move_out ]])</f>
        <v>33</v>
      </c>
      <c r="F61" s="2"/>
      <c r="G61" s="1" t="str">
        <f ca="1">IF(DMRB5[[#This Row],[Move_in]]="","",TODAY()-DMRB5[[#This Row],[Move_in]])</f>
        <v/>
      </c>
      <c r="H6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1" s="3">
        <f>IF(DMRB5[[#This Row],[Move_out ]]="","",
IF(OR(DMRB5[[#This Row],[Insp_status ]]="In Progress",DMRB5[[#This Row],[Insp_status ]]="Done",
DMRB5[[#This Row],[Insp_status ]]="Scheduled"),
WORKDAY(DMRB5[[#This Row],[Move_out ]],1),
""))</f>
        <v>46038</v>
      </c>
      <c r="J61" s="1" t="s">
        <v>0</v>
      </c>
      <c r="K61" s="3">
        <f>IF(DMRB5[[#This Row],[Move_out ]]="","",
IF(OR(DMRB5[[#This Row],[Paint_status]]="In Progress",DMRB5[[#This Row],[Paint_status]]="Done",
DMRB5[[#This Row],[Paint_status]]="Scheduled"),
WORKDAY(DMRB5[[#This Row],[Move_out ]],2),
""))</f>
        <v>46041</v>
      </c>
      <c r="L61" s="1" t="s">
        <v>0</v>
      </c>
      <c r="M61" s="3">
        <f>IF(DMRB5[[#This Row],[Move_out ]]="","",
IF(OR(DMRB5[[#This Row],[MR_Status]]="In Progress",DMRB5[[#This Row],[MR_Status]]="Done",
DMRB5[[#This Row],[MR_Status]]="Scheduled"),
WORKDAY(DMRB5[[#This Row],[Move_out ]],3),
""))</f>
        <v>46042</v>
      </c>
      <c r="N61" s="1" t="s">
        <v>0</v>
      </c>
      <c r="O61" s="3">
        <f>IF(DMRB5[[#This Row],[Move_out ]]="","",
IF(OR(DMRB5[[#This Row],[HK_Status]]="In Progress",DMRB5[[#This Row],[HK_Status]]="Done",
DMRB5[[#This Row],[HK_Status]]="Scheduled"),
WORKDAY(DMRB5[[#This Row],[Move_out ]],6),
""))</f>
        <v>46045</v>
      </c>
      <c r="P61" s="1" t="s">
        <v>0</v>
      </c>
      <c r="Q61" s="3">
        <f>IF(DMRB5[[#This Row],[Move_out ]]="","",
IF(OR(DMRB5[[#This Row],[CC_status]]="In Progress",DMRB5[[#This Row],[CC_status]]="Done",
DMRB5[[#This Row],[CC_status]]="Scheduled"),
WORKDAY(DMRB5[[#This Row],[Move_out ]],7),
""))</f>
        <v>46048</v>
      </c>
      <c r="R61" s="1" t="s">
        <v>0</v>
      </c>
      <c r="S61" s="2" t="s">
        <v>2</v>
      </c>
      <c r="T61" s="1" t="s">
        <v>1</v>
      </c>
      <c r="U61" s="1" t="s">
        <v>36</v>
      </c>
      <c r="V61" s="1" t="str">
        <f>IF(TRIM(CLEAN(A61))="","",_xlfn.TEXTBEFORE(_xlfn.TEXTAFTER(A61,"Unit "),"-"))</f>
        <v>5</v>
      </c>
      <c r="W61" s="1" t="str">
        <f>IF(TRIM(CLEAN(A61))="","",_xlfn.TEXTBEFORE(_xlfn.TEXTAFTER(A61,"-"),"-"))</f>
        <v>18</v>
      </c>
      <c r="X61" s="1" t="str">
        <f>IF(TRIM(CLEAN(A61))="","",_xlfn.TEXTAFTER(A61,"-",-1))</f>
        <v>0218</v>
      </c>
    </row>
    <row r="62" spans="1:25" x14ac:dyDescent="0.4">
      <c r="A62" s="4" t="s">
        <v>86</v>
      </c>
      <c r="B62" s="1" t="s">
        <v>41</v>
      </c>
      <c r="C62" s="3">
        <v>46038</v>
      </c>
      <c r="D62" s="3">
        <v>46059</v>
      </c>
      <c r="E62" s="1">
        <f ca="1">IF(DMRB5[[#This Row],[Move_out ]]="","",TODAY()-DMRB5[[#This Row],[Move_out ]])</f>
        <v>32</v>
      </c>
      <c r="F62" s="2"/>
      <c r="G62" s="1" t="str">
        <f ca="1">IF(DMRB5[[#This Row],[Move_in]]="","",TODAY()-DMRB5[[#This Row],[Move_in]])</f>
        <v/>
      </c>
      <c r="H6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2" s="3">
        <f>IF(DMRB5[[#This Row],[Move_out ]]="","",
IF(OR(DMRB5[[#This Row],[Insp_status ]]="In Progress",DMRB5[[#This Row],[Insp_status ]]="Done",
DMRB5[[#This Row],[Insp_status ]]="Scheduled"),
WORKDAY(DMRB5[[#This Row],[Move_out ]],1),
""))</f>
        <v>46041</v>
      </c>
      <c r="J62" s="1" t="s">
        <v>0</v>
      </c>
      <c r="K62" s="3">
        <f>IF(DMRB5[[#This Row],[Move_out ]]="","",
IF(OR(DMRB5[[#This Row],[Paint_status]]="In Progress",DMRB5[[#This Row],[Paint_status]]="Done",
DMRB5[[#This Row],[Paint_status]]="Scheduled"),
WORKDAY(DMRB5[[#This Row],[Move_out ]],2),
""))</f>
        <v>46042</v>
      </c>
      <c r="L62" s="1" t="s">
        <v>0</v>
      </c>
      <c r="M62" s="3">
        <f>IF(DMRB5[[#This Row],[Move_out ]]="","",
IF(OR(DMRB5[[#This Row],[MR_Status]]="In Progress",DMRB5[[#This Row],[MR_Status]]="Done",
DMRB5[[#This Row],[MR_Status]]="Scheduled"),
WORKDAY(DMRB5[[#This Row],[Move_out ]],3),
""))</f>
        <v>46043</v>
      </c>
      <c r="N62" s="1" t="s">
        <v>0</v>
      </c>
      <c r="O62" s="3">
        <f>IF(DMRB5[[#This Row],[Move_out ]]="","",
IF(OR(DMRB5[[#This Row],[HK_Status]]="In Progress",DMRB5[[#This Row],[HK_Status]]="Done",
DMRB5[[#This Row],[HK_Status]]="Scheduled"),
WORKDAY(DMRB5[[#This Row],[Move_out ]],6),
""))</f>
        <v>46048</v>
      </c>
      <c r="P62" s="1" t="s">
        <v>0</v>
      </c>
      <c r="Q62" s="3">
        <f>IF(DMRB5[[#This Row],[Move_out ]]="","",
IF(OR(DMRB5[[#This Row],[CC_status]]="In Progress",DMRB5[[#This Row],[CC_status]]="Done",
DMRB5[[#This Row],[CC_status]]="Scheduled"),
WORKDAY(DMRB5[[#This Row],[Move_out ]],7),
""))</f>
        <v>46049</v>
      </c>
      <c r="R62" s="1" t="s">
        <v>0</v>
      </c>
      <c r="S62" s="2" t="s">
        <v>126</v>
      </c>
      <c r="T62" s="1" t="s">
        <v>43</v>
      </c>
      <c r="U62" s="1" t="s">
        <v>36</v>
      </c>
      <c r="V62" s="1" t="str">
        <f>IF(TRIM(CLEAN(A62))="","",_xlfn.TEXTBEFORE(_xlfn.TEXTAFTER(A62,"Unit "),"-"))</f>
        <v>7</v>
      </c>
      <c r="W62" s="1" t="str">
        <f>IF(TRIM(CLEAN(A62))="","",_xlfn.TEXTBEFORE(_xlfn.TEXTAFTER(A62,"-"),"-"))</f>
        <v>10</v>
      </c>
      <c r="X62" s="1" t="str">
        <f>IF(TRIM(CLEAN(A62))="","",_xlfn.TEXTAFTER(A62,"-",-1))</f>
        <v>0302</v>
      </c>
    </row>
    <row r="63" spans="1:25" x14ac:dyDescent="0.4">
      <c r="A63" s="4" t="s">
        <v>87</v>
      </c>
      <c r="B63" s="1" t="s">
        <v>5</v>
      </c>
      <c r="C63" s="3">
        <v>46038</v>
      </c>
      <c r="D63" s="3">
        <v>46066</v>
      </c>
      <c r="E63" s="1">
        <f ca="1">IF(DMRB5[[#This Row],[Move_out ]]="","",TODAY()-DMRB5[[#This Row],[Move_out ]])</f>
        <v>32</v>
      </c>
      <c r="F63" s="2"/>
      <c r="G63" s="1" t="str">
        <f ca="1">IF(DMRB5[[#This Row],[Move_in]]="","",TODAY()-DMRB5[[#This Row],[Move_in]])</f>
        <v/>
      </c>
      <c r="H6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3" s="3">
        <f>IF(DMRB5[[#This Row],[Move_out ]]="","",
IF(OR(DMRB5[[#This Row],[Insp_status ]]="In Progress",DMRB5[[#This Row],[Insp_status ]]="Done",
DMRB5[[#This Row],[Insp_status ]]="Scheduled"),
WORKDAY(DMRB5[[#This Row],[Move_out ]],1),
""))</f>
        <v>46041</v>
      </c>
      <c r="J63" s="1" t="s">
        <v>0</v>
      </c>
      <c r="K63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63" s="1" t="s">
        <v>31</v>
      </c>
      <c r="M63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63" s="1" t="s">
        <v>31</v>
      </c>
      <c r="O63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63" s="1" t="s">
        <v>31</v>
      </c>
      <c r="Q63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63" s="1" t="s">
        <v>31</v>
      </c>
      <c r="S63" s="2" t="s">
        <v>2</v>
      </c>
      <c r="T63" s="1" t="s">
        <v>43</v>
      </c>
      <c r="U63" s="1" t="s">
        <v>36</v>
      </c>
      <c r="V63" s="1" t="str">
        <f>IF(TRIM(CLEAN(A63))="","",_xlfn.TEXTBEFORE(_xlfn.TEXTAFTER(A63,"Unit "),"-"))</f>
        <v>5</v>
      </c>
      <c r="W63" s="1" t="str">
        <f>IF(TRIM(CLEAN(A63))="","",_xlfn.TEXTBEFORE(_xlfn.TEXTAFTER(A63,"-"),"-"))</f>
        <v>17</v>
      </c>
      <c r="X63" s="1" t="str">
        <f>IF(TRIM(CLEAN(A63))="","",_xlfn.TEXTAFTER(A63,"-",-1))</f>
        <v>0215</v>
      </c>
      <c r="Y63" s="52" t="s">
        <v>125</v>
      </c>
    </row>
    <row r="64" spans="1:25" x14ac:dyDescent="0.4">
      <c r="A64" s="4" t="s">
        <v>88</v>
      </c>
      <c r="B64" s="1" t="s">
        <v>41</v>
      </c>
      <c r="C64" s="3">
        <v>46039</v>
      </c>
      <c r="D64" s="3">
        <v>46059</v>
      </c>
      <c r="E64" s="1">
        <f ca="1">IF(DMRB5[[#This Row],[Move_out ]]="","",TODAY()-DMRB5[[#This Row],[Move_out ]])</f>
        <v>31</v>
      </c>
      <c r="F64" s="2"/>
      <c r="G64" s="1" t="str">
        <f ca="1">IF(DMRB5[[#This Row],[Move_in]]="","",TODAY()-DMRB5[[#This Row],[Move_in]])</f>
        <v/>
      </c>
      <c r="H6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4" s="3">
        <f>IF(DMRB5[[#This Row],[Move_out ]]="","",
IF(OR(DMRB5[[#This Row],[Insp_status ]]="In Progress",DMRB5[[#This Row],[Insp_status ]]="Done",
DMRB5[[#This Row],[Insp_status ]]="Scheduled"),
WORKDAY(DMRB5[[#This Row],[Move_out ]],1),
""))</f>
        <v>46041</v>
      </c>
      <c r="J64" s="1" t="s">
        <v>0</v>
      </c>
      <c r="K64" s="3">
        <f>IF(DMRB5[[#This Row],[Move_out ]]="","",
IF(OR(DMRB5[[#This Row],[Paint_status]]="In Progress",DMRB5[[#This Row],[Paint_status]]="Done",
DMRB5[[#This Row],[Paint_status]]="Scheduled"),
WORKDAY(DMRB5[[#This Row],[Move_out ]],2),
""))</f>
        <v>46042</v>
      </c>
      <c r="L64" s="1" t="s">
        <v>0</v>
      </c>
      <c r="M64" s="3">
        <f>IF(DMRB5[[#This Row],[Move_out ]]="","",
IF(OR(DMRB5[[#This Row],[MR_Status]]="In Progress",DMRB5[[#This Row],[MR_Status]]="Done",
DMRB5[[#This Row],[MR_Status]]="Scheduled"),
WORKDAY(DMRB5[[#This Row],[Move_out ]],3),
""))</f>
        <v>46043</v>
      </c>
      <c r="N64" s="1" t="s">
        <v>0</v>
      </c>
      <c r="O64" s="3">
        <f>IF(DMRB5[[#This Row],[Move_out ]]="","",
IF(OR(DMRB5[[#This Row],[HK_Status]]="In Progress",DMRB5[[#This Row],[HK_Status]]="Done",
DMRB5[[#This Row],[HK_Status]]="Scheduled"),
WORKDAY(DMRB5[[#This Row],[Move_out ]],6),
""))</f>
        <v>46048</v>
      </c>
      <c r="P64" s="1" t="s">
        <v>0</v>
      </c>
      <c r="Q64" s="3">
        <f>IF(DMRB5[[#This Row],[Move_out ]]="","",
IF(OR(DMRB5[[#This Row],[CC_status]]="In Progress",DMRB5[[#This Row],[CC_status]]="Done",
DMRB5[[#This Row],[CC_status]]="Scheduled"),
WORKDAY(DMRB5[[#This Row],[Move_out ]],7),
""))</f>
        <v>46049</v>
      </c>
      <c r="R64" s="1" t="s">
        <v>0</v>
      </c>
      <c r="S64" s="2" t="s">
        <v>2</v>
      </c>
      <c r="T64" s="1" t="s">
        <v>43</v>
      </c>
      <c r="U64" s="1" t="s">
        <v>36</v>
      </c>
      <c r="V64" s="1" t="str">
        <f>IF(TRIM(CLEAN(A64))="","",_xlfn.TEXTBEFORE(_xlfn.TEXTAFTER(A64,"Unit "),"-"))</f>
        <v>5</v>
      </c>
      <c r="W64" s="1" t="str">
        <f>IF(TRIM(CLEAN(A64))="","",_xlfn.TEXTBEFORE(_xlfn.TEXTAFTER(A64,"-"),"-"))</f>
        <v>17</v>
      </c>
      <c r="X64" s="1" t="str">
        <f>IF(TRIM(CLEAN(A64))="","",_xlfn.TEXTAFTER(A64,"-",-1))</f>
        <v>0311</v>
      </c>
    </row>
    <row r="65" spans="1:25" x14ac:dyDescent="0.4">
      <c r="A65" s="4" t="s">
        <v>89</v>
      </c>
      <c r="B65" s="1" t="s">
        <v>41</v>
      </c>
      <c r="C65" s="3">
        <v>46040</v>
      </c>
      <c r="D65" s="3">
        <v>46053</v>
      </c>
      <c r="E65" s="1">
        <f ca="1">IF(DMRB5[[#This Row],[Move_out ]]="","",TODAY()-DMRB5[[#This Row],[Move_out ]])</f>
        <v>30</v>
      </c>
      <c r="F65" s="2"/>
      <c r="G65" s="1" t="str">
        <f ca="1">IF(DMRB5[[#This Row],[Move_in]]="","",TODAY()-DMRB5[[#This Row],[Move_in]])</f>
        <v/>
      </c>
      <c r="H6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5" s="3">
        <f>IF(DMRB5[[#This Row],[Move_out ]]="","",
IF(OR(DMRB5[[#This Row],[Insp_status ]]="In Progress",DMRB5[[#This Row],[Insp_status ]]="Done",
DMRB5[[#This Row],[Insp_status ]]="Scheduled"),
WORKDAY(DMRB5[[#This Row],[Move_out ]],1),
""))</f>
        <v>46041</v>
      </c>
      <c r="J65" s="1" t="s">
        <v>0</v>
      </c>
      <c r="K65" s="3">
        <f>IF(DMRB5[[#This Row],[Move_out ]]="","",
IF(OR(DMRB5[[#This Row],[Paint_status]]="In Progress",DMRB5[[#This Row],[Paint_status]]="Done",
DMRB5[[#This Row],[Paint_status]]="Scheduled"),
WORKDAY(DMRB5[[#This Row],[Move_out ]],2),
""))</f>
        <v>46042</v>
      </c>
      <c r="L65" s="1" t="s">
        <v>0</v>
      </c>
      <c r="M65" s="3">
        <f>IF(DMRB5[[#This Row],[Move_out ]]="","",
IF(OR(DMRB5[[#This Row],[MR_Status]]="In Progress",DMRB5[[#This Row],[MR_Status]]="Done",
DMRB5[[#This Row],[MR_Status]]="Scheduled"),
WORKDAY(DMRB5[[#This Row],[Move_out ]],3),
""))</f>
        <v>46043</v>
      </c>
      <c r="N65" s="1" t="s">
        <v>0</v>
      </c>
      <c r="O65" s="3">
        <f>IF(DMRB5[[#This Row],[Move_out ]]="","",
IF(OR(DMRB5[[#This Row],[HK_Status]]="In Progress",DMRB5[[#This Row],[HK_Status]]="Done",
DMRB5[[#This Row],[HK_Status]]="Scheduled"),
WORKDAY(DMRB5[[#This Row],[Move_out ]],6),
""))</f>
        <v>46048</v>
      </c>
      <c r="P65" s="1" t="s">
        <v>0</v>
      </c>
      <c r="Q65" s="3">
        <f>IF(DMRB5[[#This Row],[Move_out ]]="","",
IF(OR(DMRB5[[#This Row],[CC_status]]="In Progress",DMRB5[[#This Row],[CC_status]]="Done",
DMRB5[[#This Row],[CC_status]]="Scheduled"),
WORKDAY(DMRB5[[#This Row],[Move_out ]],7),
""))</f>
        <v>46049</v>
      </c>
      <c r="R65" s="1" t="s">
        <v>0</v>
      </c>
      <c r="S65" s="2" t="s">
        <v>42</v>
      </c>
      <c r="T65" s="1" t="s">
        <v>123</v>
      </c>
      <c r="U65" s="1" t="s">
        <v>36</v>
      </c>
      <c r="V65" s="1" t="str">
        <f>IF(TRIM(CLEAN(A65))="","",_xlfn.TEXTBEFORE(_xlfn.TEXTAFTER(A65,"Unit "),"-"))</f>
        <v>8</v>
      </c>
      <c r="W65" s="1" t="str">
        <f>IF(TRIM(CLEAN(A65))="","",_xlfn.TEXTBEFORE(_xlfn.TEXTAFTER(A65,"-"),"-"))</f>
        <v>01</v>
      </c>
      <c r="X65" s="1" t="str">
        <f>IF(TRIM(CLEAN(A65))="","",_xlfn.TEXTAFTER(A65,"-",-1))</f>
        <v>3086</v>
      </c>
    </row>
    <row r="66" spans="1:25" x14ac:dyDescent="0.4">
      <c r="A66" s="4" t="s">
        <v>92</v>
      </c>
      <c r="B66" s="1" t="s">
        <v>41</v>
      </c>
      <c r="C66" s="3">
        <v>46041</v>
      </c>
      <c r="D66" s="3">
        <v>46051</v>
      </c>
      <c r="E66" s="1">
        <f ca="1">IF(DMRB5[[#This Row],[Move_out ]]="","",TODAY()-DMRB5[[#This Row],[Move_out ]])</f>
        <v>29</v>
      </c>
      <c r="F66" s="2"/>
      <c r="G66" s="1" t="str">
        <f ca="1">IF(DMRB5[[#This Row],[Move_in]]="","",TODAY()-DMRB5[[#This Row],[Move_in]])</f>
        <v/>
      </c>
      <c r="H6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6" s="3">
        <f>IF(DMRB5[[#This Row],[Move_out ]]="","",
IF(OR(DMRB5[[#This Row],[Insp_status ]]="In Progress",DMRB5[[#This Row],[Insp_status ]]="Done",
DMRB5[[#This Row],[Insp_status ]]="Scheduled"),
WORKDAY(DMRB5[[#This Row],[Move_out ]],1),
""))</f>
        <v>46042</v>
      </c>
      <c r="J66" s="1" t="s">
        <v>0</v>
      </c>
      <c r="K66" s="3">
        <f>IF(DMRB5[[#This Row],[Move_out ]]="","",
IF(OR(DMRB5[[#This Row],[Paint_status]]="In Progress",DMRB5[[#This Row],[Paint_status]]="Done",
DMRB5[[#This Row],[Paint_status]]="Scheduled"),
WORKDAY(DMRB5[[#This Row],[Move_out ]],2),
""))</f>
        <v>46043</v>
      </c>
      <c r="L66" s="1" t="s">
        <v>0</v>
      </c>
      <c r="M66" s="3">
        <f>IF(DMRB5[[#This Row],[Move_out ]]="","",
IF(OR(DMRB5[[#This Row],[MR_Status]]="In Progress",DMRB5[[#This Row],[MR_Status]]="Done",
DMRB5[[#This Row],[MR_Status]]="Scheduled"),
WORKDAY(DMRB5[[#This Row],[Move_out ]],3),
""))</f>
        <v>46044</v>
      </c>
      <c r="N66" s="1" t="s">
        <v>0</v>
      </c>
      <c r="O66" s="3">
        <f>IF(DMRB5[[#This Row],[Move_out ]]="","",
IF(OR(DMRB5[[#This Row],[HK_Status]]="In Progress",DMRB5[[#This Row],[HK_Status]]="Done",
DMRB5[[#This Row],[HK_Status]]="Scheduled"),
WORKDAY(DMRB5[[#This Row],[Move_out ]],6),
""))</f>
        <v>46049</v>
      </c>
      <c r="P66" s="1" t="s">
        <v>0</v>
      </c>
      <c r="Q66" s="3">
        <f>IF(DMRB5[[#This Row],[Move_out ]]="","",
IF(OR(DMRB5[[#This Row],[CC_status]]="In Progress",DMRB5[[#This Row],[CC_status]]="Done",
DMRB5[[#This Row],[CC_status]]="Scheduled"),
WORKDAY(DMRB5[[#This Row],[Move_out ]],7),
""))</f>
        <v>46050</v>
      </c>
      <c r="R66" s="1" t="s">
        <v>0</v>
      </c>
      <c r="S66" s="2" t="s">
        <v>2</v>
      </c>
      <c r="T66" s="1" t="s">
        <v>43</v>
      </c>
      <c r="U66" s="1" t="s">
        <v>36</v>
      </c>
      <c r="V66" s="1" t="str">
        <f>IF(TRIM(CLEAN(A66))="","",_xlfn.TEXTBEFORE(_xlfn.TEXTAFTER(A66,"Unit "),"-"))</f>
        <v>5</v>
      </c>
      <c r="W66" s="1" t="str">
        <f>IF(TRIM(CLEAN(A66))="","",_xlfn.TEXTBEFORE(_xlfn.TEXTAFTER(A66,"-"),"-"))</f>
        <v>18</v>
      </c>
      <c r="X66" s="1" t="str">
        <f>IF(TRIM(CLEAN(A66))="","",_xlfn.TEXTAFTER(A66,"-",-1))</f>
        <v>0146</v>
      </c>
    </row>
    <row r="67" spans="1:25" x14ac:dyDescent="0.4">
      <c r="A67" s="74" t="s">
        <v>128</v>
      </c>
      <c r="B67" s="1" t="s">
        <v>41</v>
      </c>
      <c r="C67" s="3">
        <v>46043</v>
      </c>
      <c r="D67" s="75">
        <v>46057</v>
      </c>
      <c r="E67" s="1">
        <f ca="1">IF(DMRB5[[#This Row],[Move_out ]]="","",TODAY()-DMRB5[[#This Row],[Move_out ]])</f>
        <v>27</v>
      </c>
      <c r="F67" s="2"/>
      <c r="G67" s="1" t="str">
        <f ca="1">IF(DMRB5[[#This Row],[Move_in]]="","",TODAY()-DMRB5[[#This Row],[Move_in]])</f>
        <v/>
      </c>
      <c r="H6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7" s="3">
        <f>IF(DMRB5[[#This Row],[Move_out ]]="","",
IF(OR(DMRB5[[#This Row],[Insp_status ]]="In Progress",DMRB5[[#This Row],[Insp_status ]]="Done",
DMRB5[[#This Row],[Insp_status ]]="Scheduled"),
WORKDAY(DMRB5[[#This Row],[Move_out ]],1),
""))</f>
        <v>46044</v>
      </c>
      <c r="J67" s="1" t="s">
        <v>0</v>
      </c>
      <c r="K67" s="3">
        <f>IF(DMRB5[[#This Row],[Move_out ]]="","",
IF(OR(DMRB5[[#This Row],[Paint_status]]="In Progress",DMRB5[[#This Row],[Paint_status]]="Done",
DMRB5[[#This Row],[Paint_status]]="Scheduled"),
WORKDAY(DMRB5[[#This Row],[Move_out ]],2),
""))</f>
        <v>46045</v>
      </c>
      <c r="L67" s="1" t="s">
        <v>0</v>
      </c>
      <c r="M67" s="3">
        <f>IF(DMRB5[[#This Row],[Move_out ]]="","",
IF(OR(DMRB5[[#This Row],[MR_Status]]="In Progress",DMRB5[[#This Row],[MR_Status]]="Done",
DMRB5[[#This Row],[MR_Status]]="Scheduled"),
WORKDAY(DMRB5[[#This Row],[Move_out ]],3),
""))</f>
        <v>46048</v>
      </c>
      <c r="N67" s="1" t="s">
        <v>0</v>
      </c>
      <c r="O67" s="3">
        <f>IF(DMRB5[[#This Row],[Move_out ]]="","",
IF(OR(DMRB5[[#This Row],[HK_Status]]="In Progress",DMRB5[[#This Row],[HK_Status]]="Done",
DMRB5[[#This Row],[HK_Status]]="Scheduled"),
WORKDAY(DMRB5[[#This Row],[Move_out ]],6),
""))</f>
        <v>46051</v>
      </c>
      <c r="P67" s="1" t="s">
        <v>0</v>
      </c>
      <c r="Q67" s="3">
        <f>IF(DMRB5[[#This Row],[Move_out ]]="","",
IF(OR(DMRB5[[#This Row],[CC_status]]="In Progress",DMRB5[[#This Row],[CC_status]]="Done",
DMRB5[[#This Row],[CC_status]]="Scheduled"),
WORKDAY(DMRB5[[#This Row],[Move_out ]],7),
""))</f>
        <v>46052</v>
      </c>
      <c r="R67" s="1" t="s">
        <v>0</v>
      </c>
      <c r="S67" s="2" t="s">
        <v>39</v>
      </c>
      <c r="T67" s="1" t="s">
        <v>43</v>
      </c>
      <c r="U67" s="1" t="s">
        <v>36</v>
      </c>
      <c r="V67" s="1" t="str">
        <f>IF(TRIM(CLEAN(A67))="","",_xlfn.TEXTBEFORE(_xlfn.TEXTAFTER(A67,"Unit "),"-"))</f>
        <v>8</v>
      </c>
      <c r="W67" s="1" t="str">
        <f>IF(TRIM(CLEAN(A67))="","",_xlfn.TEXTBEFORE(_xlfn.TEXTAFTER(A67,"-"),"-"))</f>
        <v>01</v>
      </c>
      <c r="X67" s="1" t="str">
        <f>IF(TRIM(CLEAN(A67))="","",_xlfn.TEXTAFTER(A67,"-",-1))</f>
        <v>2083</v>
      </c>
    </row>
    <row r="68" spans="1:25" x14ac:dyDescent="0.4">
      <c r="A68" s="4" t="s">
        <v>94</v>
      </c>
      <c r="B68" s="1" t="s">
        <v>41</v>
      </c>
      <c r="C68" s="3">
        <v>46044</v>
      </c>
      <c r="D68" s="3">
        <v>46055</v>
      </c>
      <c r="E68" s="1">
        <f ca="1">IF(DMRB5[[#This Row],[Move_out ]]="","",TODAY()-DMRB5[[#This Row],[Move_out ]])</f>
        <v>26</v>
      </c>
      <c r="F68" s="2"/>
      <c r="G68" s="1" t="str">
        <f ca="1">IF(DMRB5[[#This Row],[Move_in]]="","",TODAY()-DMRB5[[#This Row],[Move_in]])</f>
        <v/>
      </c>
      <c r="H6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8" s="3">
        <f>IF(DMRB5[[#This Row],[Move_out ]]="","",
IF(OR(DMRB5[[#This Row],[Insp_status ]]="In Progress",DMRB5[[#This Row],[Insp_status ]]="Done",
DMRB5[[#This Row],[Insp_status ]]="Scheduled"),
WORKDAY(DMRB5[[#This Row],[Move_out ]],1),
""))</f>
        <v>46045</v>
      </c>
      <c r="J68" s="1" t="s">
        <v>0</v>
      </c>
      <c r="K68" s="3">
        <f>IF(DMRB5[[#This Row],[Move_out ]]="","",
IF(OR(DMRB5[[#This Row],[Paint_status]]="In Progress",DMRB5[[#This Row],[Paint_status]]="Done",
DMRB5[[#This Row],[Paint_status]]="Scheduled"),
WORKDAY(DMRB5[[#This Row],[Move_out ]],2),
""))</f>
        <v>46048</v>
      </c>
      <c r="L68" s="1" t="s">
        <v>0</v>
      </c>
      <c r="M68" s="3">
        <f>IF(DMRB5[[#This Row],[Move_out ]]="","",
IF(OR(DMRB5[[#This Row],[MR_Status]]="In Progress",DMRB5[[#This Row],[MR_Status]]="Done",
DMRB5[[#This Row],[MR_Status]]="Scheduled"),
WORKDAY(DMRB5[[#This Row],[Move_out ]],3),
""))</f>
        <v>46049</v>
      </c>
      <c r="N68" s="1" t="s">
        <v>0</v>
      </c>
      <c r="O68" s="3">
        <f>IF(DMRB5[[#This Row],[Move_out ]]="","",
IF(OR(DMRB5[[#This Row],[HK_Status]]="In Progress",DMRB5[[#This Row],[HK_Status]]="Done",
DMRB5[[#This Row],[HK_Status]]="Scheduled"),
WORKDAY(DMRB5[[#This Row],[Move_out ]],6),
""))</f>
        <v>46052</v>
      </c>
      <c r="P68" s="1" t="s">
        <v>0</v>
      </c>
      <c r="Q68" s="3">
        <f>IF(DMRB5[[#This Row],[Move_out ]]="","",
IF(OR(DMRB5[[#This Row],[CC_status]]="In Progress",DMRB5[[#This Row],[CC_status]]="Done",
DMRB5[[#This Row],[CC_status]]="Scheduled"),
WORKDAY(DMRB5[[#This Row],[Move_out ]],7),
""))</f>
        <v>46055</v>
      </c>
      <c r="R68" s="1" t="s">
        <v>0</v>
      </c>
      <c r="S68" s="2" t="s">
        <v>2</v>
      </c>
      <c r="T68" s="1" t="s">
        <v>43</v>
      </c>
      <c r="U68" s="1" t="s">
        <v>36</v>
      </c>
      <c r="V68" s="1" t="str">
        <f>IF(TRIM(CLEAN(A68))="","",_xlfn.TEXTBEFORE(_xlfn.TEXTAFTER(A68,"Unit "),"-"))</f>
        <v>5</v>
      </c>
      <c r="W68" s="1" t="str">
        <f>IF(TRIM(CLEAN(A68))="","",_xlfn.TEXTBEFORE(_xlfn.TEXTAFTER(A68,"-"),"-"))</f>
        <v>17</v>
      </c>
      <c r="X68" s="1" t="str">
        <f>IF(TRIM(CLEAN(A68))="","",_xlfn.TEXTAFTER(A68,"-",-1))</f>
        <v>0310</v>
      </c>
      <c r="Y68" s="52" t="s">
        <v>152</v>
      </c>
    </row>
    <row r="69" spans="1:25" x14ac:dyDescent="0.4">
      <c r="A69" s="4" t="s">
        <v>95</v>
      </c>
      <c r="B69" s="1" t="s">
        <v>41</v>
      </c>
      <c r="C69" s="3">
        <v>46046</v>
      </c>
      <c r="D69" s="3">
        <v>46057</v>
      </c>
      <c r="E69" s="1">
        <f ca="1">IF(DMRB5[[#This Row],[Move_out ]]="","",TODAY()-DMRB5[[#This Row],[Move_out ]])</f>
        <v>24</v>
      </c>
      <c r="F69" s="2"/>
      <c r="G69" s="1" t="str">
        <f ca="1">IF(DMRB5[[#This Row],[Move_in]]="","",TODAY()-DMRB5[[#This Row],[Move_in]])</f>
        <v/>
      </c>
      <c r="H6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69" s="3">
        <f>IF(DMRB5[[#This Row],[Move_out ]]="","",
IF(OR(DMRB5[[#This Row],[Insp_status ]]="In Progress",DMRB5[[#This Row],[Insp_status ]]="Done",
DMRB5[[#This Row],[Insp_status ]]="Scheduled"),
WORKDAY(DMRB5[[#This Row],[Move_out ]],1),
""))</f>
        <v>46048</v>
      </c>
      <c r="J69" s="1" t="s">
        <v>0</v>
      </c>
      <c r="K69" s="3">
        <f>IF(DMRB5[[#This Row],[Move_out ]]="","",
IF(OR(DMRB5[[#This Row],[Paint_status]]="In Progress",DMRB5[[#This Row],[Paint_status]]="Done",
DMRB5[[#This Row],[Paint_status]]="Scheduled"),
WORKDAY(DMRB5[[#This Row],[Move_out ]],2),
""))</f>
        <v>46049</v>
      </c>
      <c r="L69" s="1" t="s">
        <v>0</v>
      </c>
      <c r="M69" s="3">
        <f>IF(DMRB5[[#This Row],[Move_out ]]="","",
IF(OR(DMRB5[[#This Row],[MR_Status]]="In Progress",DMRB5[[#This Row],[MR_Status]]="Done",
DMRB5[[#This Row],[MR_Status]]="Scheduled"),
WORKDAY(DMRB5[[#This Row],[Move_out ]],3),
""))</f>
        <v>46050</v>
      </c>
      <c r="N69" s="1" t="s">
        <v>0</v>
      </c>
      <c r="O69" s="3">
        <f>IF(DMRB5[[#This Row],[Move_out ]]="","",
IF(OR(DMRB5[[#This Row],[HK_Status]]="In Progress",DMRB5[[#This Row],[HK_Status]]="Done",
DMRB5[[#This Row],[HK_Status]]="Scheduled"),
WORKDAY(DMRB5[[#This Row],[Move_out ]],6),
""))</f>
        <v>46055</v>
      </c>
      <c r="P69" s="1" t="s">
        <v>0</v>
      </c>
      <c r="Q69" s="3">
        <f>IF(DMRB5[[#This Row],[Move_out ]]="","",
IF(OR(DMRB5[[#This Row],[CC_status]]="In Progress",DMRB5[[#This Row],[CC_status]]="Done",
DMRB5[[#This Row],[CC_status]]="Scheduled"),
WORKDAY(DMRB5[[#This Row],[Move_out ]],7),
""))</f>
        <v>46056</v>
      </c>
      <c r="R69" s="1" t="s">
        <v>0</v>
      </c>
      <c r="S69" s="2" t="s">
        <v>39</v>
      </c>
      <c r="T69" s="1" t="s">
        <v>43</v>
      </c>
      <c r="U69" s="1" t="s">
        <v>36</v>
      </c>
      <c r="V69" s="1" t="str">
        <f>IF(TRIM(CLEAN(A69))="","",_xlfn.TEXTBEFORE(_xlfn.TEXTAFTER(A69,"Unit "),"-"))</f>
        <v>7</v>
      </c>
      <c r="W69" s="1" t="str">
        <f>IF(TRIM(CLEAN(A69))="","",_xlfn.TEXTBEFORE(_xlfn.TEXTAFTER(A69,"-"),"-"))</f>
        <v>02</v>
      </c>
      <c r="X69" s="1" t="str">
        <f>IF(TRIM(CLEAN(A69))="","",_xlfn.TEXTAFTER(A69,"-",-1))</f>
        <v>0116</v>
      </c>
    </row>
    <row r="70" spans="1:25" x14ac:dyDescent="0.4">
      <c r="A70" s="4" t="s">
        <v>96</v>
      </c>
      <c r="B70" s="1" t="s">
        <v>41</v>
      </c>
      <c r="C70" s="3">
        <v>46048</v>
      </c>
      <c r="D70" s="3">
        <v>46059</v>
      </c>
      <c r="E70" s="1">
        <f ca="1">IF(DMRB5[[#This Row],[Move_out ]]="","",TODAY()-DMRB5[[#This Row],[Move_out ]])</f>
        <v>22</v>
      </c>
      <c r="F70" s="2"/>
      <c r="G70" s="1" t="str">
        <f ca="1">IF(DMRB5[[#This Row],[Move_in]]="","",TODAY()-DMRB5[[#This Row],[Move_in]])</f>
        <v/>
      </c>
      <c r="H7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0" s="3">
        <f>IF(DMRB5[[#This Row],[Move_out ]]="","",
IF(OR(DMRB5[[#This Row],[Insp_status ]]="In Progress",DMRB5[[#This Row],[Insp_status ]]="Done",
DMRB5[[#This Row],[Insp_status ]]="Scheduled"),
WORKDAY(DMRB5[[#This Row],[Move_out ]],1),
""))</f>
        <v>46049</v>
      </c>
      <c r="J70" s="1" t="s">
        <v>0</v>
      </c>
      <c r="K70" s="3">
        <f>IF(DMRB5[[#This Row],[Move_out ]]="","",
IF(OR(DMRB5[[#This Row],[Paint_status]]="In Progress",DMRB5[[#This Row],[Paint_status]]="Done",
DMRB5[[#This Row],[Paint_status]]="Scheduled"),
WORKDAY(DMRB5[[#This Row],[Move_out ]],2),
""))</f>
        <v>46050</v>
      </c>
      <c r="L70" s="1" t="s">
        <v>0</v>
      </c>
      <c r="M70" s="3">
        <f>IF(DMRB5[[#This Row],[Move_out ]]="","",
IF(OR(DMRB5[[#This Row],[MR_Status]]="In Progress",DMRB5[[#This Row],[MR_Status]]="Done",
DMRB5[[#This Row],[MR_Status]]="Scheduled"),
WORKDAY(DMRB5[[#This Row],[Move_out ]],3),
""))</f>
        <v>46051</v>
      </c>
      <c r="N70" s="1" t="s">
        <v>0</v>
      </c>
      <c r="O70" s="3">
        <f>IF(DMRB5[[#This Row],[Move_out ]]="","",
IF(OR(DMRB5[[#This Row],[HK_Status]]="In Progress",DMRB5[[#This Row],[HK_Status]]="Done",
DMRB5[[#This Row],[HK_Status]]="Scheduled"),
WORKDAY(DMRB5[[#This Row],[Move_out ]],6),
""))</f>
        <v>46056</v>
      </c>
      <c r="P70" s="1" t="s">
        <v>0</v>
      </c>
      <c r="Q70" s="3">
        <f>IF(DMRB5[[#This Row],[Move_out ]]="","",
IF(OR(DMRB5[[#This Row],[CC_status]]="In Progress",DMRB5[[#This Row],[CC_status]]="Done",
DMRB5[[#This Row],[CC_status]]="Scheduled"),
WORKDAY(DMRB5[[#This Row],[Move_out ]],7),
""))</f>
        <v>46057</v>
      </c>
      <c r="R70" s="1" t="s">
        <v>0</v>
      </c>
      <c r="S70" s="2" t="s">
        <v>39</v>
      </c>
      <c r="T70" s="1" t="s">
        <v>1</v>
      </c>
      <c r="U70" s="1" t="s">
        <v>36</v>
      </c>
      <c r="V70" s="1" t="str">
        <f>IF(TRIM(CLEAN(A70))="","",_xlfn.TEXTBEFORE(_xlfn.TEXTAFTER(A70,"Unit "),"-"))</f>
        <v>7</v>
      </c>
      <c r="W70" s="1" t="str">
        <f>IF(TRIM(CLEAN(A70))="","",_xlfn.TEXTBEFORE(_xlfn.TEXTAFTER(A70,"-"),"-"))</f>
        <v>TH1</v>
      </c>
      <c r="X70" s="1" t="str">
        <f>IF(TRIM(CLEAN(A70))="","",_xlfn.TEXTAFTER(A70,"-",-1))</f>
        <v>0104</v>
      </c>
    </row>
    <row r="71" spans="1:25" x14ac:dyDescent="0.4">
      <c r="A71" s="4" t="s">
        <v>97</v>
      </c>
      <c r="B71" s="1" t="s">
        <v>41</v>
      </c>
      <c r="C71" s="3">
        <v>46048</v>
      </c>
      <c r="D71" s="3">
        <v>46059</v>
      </c>
      <c r="E71" s="1">
        <f ca="1">IF(DMRB5[[#This Row],[Move_out ]]="","",TODAY()-DMRB5[[#This Row],[Move_out ]])</f>
        <v>22</v>
      </c>
      <c r="F71" s="2"/>
      <c r="G71" s="1" t="str">
        <f ca="1">IF(DMRB5[[#This Row],[Move_in]]="","",TODAY()-DMRB5[[#This Row],[Move_in]])</f>
        <v/>
      </c>
      <c r="H7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1" s="3">
        <f>IF(DMRB5[[#This Row],[Move_out ]]="","",
IF(OR(DMRB5[[#This Row],[Insp_status ]]="In Progress",DMRB5[[#This Row],[Insp_status ]]="Done",
DMRB5[[#This Row],[Insp_status ]]="Scheduled"),
WORKDAY(DMRB5[[#This Row],[Move_out ]],1),
""))</f>
        <v>46049</v>
      </c>
      <c r="J71" s="1" t="s">
        <v>0</v>
      </c>
      <c r="K71" s="3">
        <f>IF(DMRB5[[#This Row],[Move_out ]]="","",
IF(OR(DMRB5[[#This Row],[Paint_status]]="In Progress",DMRB5[[#This Row],[Paint_status]]="Done",
DMRB5[[#This Row],[Paint_status]]="Scheduled"),
WORKDAY(DMRB5[[#This Row],[Move_out ]],2),
""))</f>
        <v>46050</v>
      </c>
      <c r="L71" s="1" t="s">
        <v>0</v>
      </c>
      <c r="M71" s="3">
        <f>IF(DMRB5[[#This Row],[Move_out ]]="","",
IF(OR(DMRB5[[#This Row],[MR_Status]]="In Progress",DMRB5[[#This Row],[MR_Status]]="Done",
DMRB5[[#This Row],[MR_Status]]="Scheduled"),
WORKDAY(DMRB5[[#This Row],[Move_out ]],3),
""))</f>
        <v>46051</v>
      </c>
      <c r="N71" s="1" t="s">
        <v>0</v>
      </c>
      <c r="O71" s="3">
        <f>IF(DMRB5[[#This Row],[Move_out ]]="","",
IF(OR(DMRB5[[#This Row],[HK_Status]]="In Progress",DMRB5[[#This Row],[HK_Status]]="Done",
DMRB5[[#This Row],[HK_Status]]="Scheduled"),
WORKDAY(DMRB5[[#This Row],[Move_out ]],6),
""))</f>
        <v>46056</v>
      </c>
      <c r="P71" s="1" t="s">
        <v>0</v>
      </c>
      <c r="Q71" s="3">
        <f>IF(DMRB5[[#This Row],[Move_out ]]="","",
IF(OR(DMRB5[[#This Row],[CC_status]]="In Progress",DMRB5[[#This Row],[CC_status]]="Done",
DMRB5[[#This Row],[CC_status]]="Scheduled"),
WORKDAY(DMRB5[[#This Row],[Move_out ]],7),
""))</f>
        <v>46057</v>
      </c>
      <c r="R71" s="1" t="s">
        <v>0</v>
      </c>
      <c r="S71" s="2" t="s">
        <v>42</v>
      </c>
      <c r="T71" s="1" t="s">
        <v>43</v>
      </c>
      <c r="U71" s="1" t="s">
        <v>36</v>
      </c>
      <c r="V71" s="1" t="str">
        <f>IF(TRIM(CLEAN(A71))="","",_xlfn.TEXTBEFORE(_xlfn.TEXTAFTER(A71,"Unit "),"-"))</f>
        <v>8</v>
      </c>
      <c r="W71" s="1" t="str">
        <f>IF(TRIM(CLEAN(A71))="","",_xlfn.TEXTBEFORE(_xlfn.TEXTAFTER(A71,"-"),"-"))</f>
        <v>01</v>
      </c>
      <c r="X71" s="1" t="str">
        <f>IF(TRIM(CLEAN(A71))="","",_xlfn.TEXTAFTER(A71,"-",-1))</f>
        <v>2034</v>
      </c>
    </row>
    <row r="72" spans="1:25" x14ac:dyDescent="0.4">
      <c r="A72" s="4" t="s">
        <v>98</v>
      </c>
      <c r="B72" s="1" t="s">
        <v>41</v>
      </c>
      <c r="C72" s="3">
        <v>46051</v>
      </c>
      <c r="D72" s="3">
        <v>46062</v>
      </c>
      <c r="E72" s="1">
        <f ca="1">IF(DMRB5[[#This Row],[Move_out ]]="","",TODAY()-DMRB5[[#This Row],[Move_out ]])</f>
        <v>19</v>
      </c>
      <c r="F72" s="2"/>
      <c r="G72" s="1" t="str">
        <f ca="1">IF(DMRB5[[#This Row],[Move_in]]="","",TODAY()-DMRB5[[#This Row],[Move_in]])</f>
        <v/>
      </c>
      <c r="H7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2" s="3">
        <f>IF(DMRB5[[#This Row],[Move_out ]]="","",
IF(OR(DMRB5[[#This Row],[Insp_status ]]="In Progress",DMRB5[[#This Row],[Insp_status ]]="Done",
DMRB5[[#This Row],[Insp_status ]]="Scheduled"),
WORKDAY(DMRB5[[#This Row],[Move_out ]],1),
""))</f>
        <v>46052</v>
      </c>
      <c r="J72" s="1" t="s">
        <v>0</v>
      </c>
      <c r="K72" s="3">
        <f>IF(DMRB5[[#This Row],[Move_out ]]="","",
IF(OR(DMRB5[[#This Row],[Paint_status]]="In Progress",DMRB5[[#This Row],[Paint_status]]="Done",
DMRB5[[#This Row],[Paint_status]]="Scheduled"),
WORKDAY(DMRB5[[#This Row],[Move_out ]],2),
""))</f>
        <v>46055</v>
      </c>
      <c r="L72" s="1" t="s">
        <v>0</v>
      </c>
      <c r="M72" s="3">
        <f>IF(DMRB5[[#This Row],[Move_out ]]="","",
IF(OR(DMRB5[[#This Row],[MR_Status]]="In Progress",DMRB5[[#This Row],[MR_Status]]="Done",
DMRB5[[#This Row],[MR_Status]]="Scheduled"),
WORKDAY(DMRB5[[#This Row],[Move_out ]],3),
""))</f>
        <v>46056</v>
      </c>
      <c r="N72" s="1" t="s">
        <v>0</v>
      </c>
      <c r="O72" s="3">
        <f>IF(DMRB5[[#This Row],[Move_out ]]="","",
IF(OR(DMRB5[[#This Row],[HK_Status]]="In Progress",DMRB5[[#This Row],[HK_Status]]="Done",
DMRB5[[#This Row],[HK_Status]]="Scheduled"),
WORKDAY(DMRB5[[#This Row],[Move_out ]],6),
""))</f>
        <v>46059</v>
      </c>
      <c r="P72" s="1" t="s">
        <v>0</v>
      </c>
      <c r="Q72" s="3">
        <f>IF(DMRB5[[#This Row],[Move_out ]]="","",
IF(OR(DMRB5[[#This Row],[CC_status]]="In Progress",DMRB5[[#This Row],[CC_status]]="Done",
DMRB5[[#This Row],[CC_status]]="Scheduled"),
WORKDAY(DMRB5[[#This Row],[Move_out ]],7),
""))</f>
        <v>46062</v>
      </c>
      <c r="R72" s="1" t="s">
        <v>0</v>
      </c>
      <c r="S72" s="2" t="s">
        <v>42</v>
      </c>
      <c r="T72" s="1" t="s">
        <v>43</v>
      </c>
      <c r="U72" s="1" t="s">
        <v>36</v>
      </c>
      <c r="V72" s="1" t="str">
        <f>IF(TRIM(CLEAN(A72))="","",_xlfn.TEXTBEFORE(_xlfn.TEXTAFTER(A72,"Unit "),"-"))</f>
        <v>8</v>
      </c>
      <c r="W72" s="1" t="str">
        <f>IF(TRIM(CLEAN(A72))="","",_xlfn.TEXTBEFORE(_xlfn.TEXTAFTER(A72,"-"),"-"))</f>
        <v>01</v>
      </c>
      <c r="X72" s="1" t="str">
        <f>IF(TRIM(CLEAN(A72))="","",_xlfn.TEXTAFTER(A72,"-",-1))</f>
        <v>1048</v>
      </c>
    </row>
    <row r="73" spans="1:25" x14ac:dyDescent="0.4">
      <c r="A73" s="74" t="s">
        <v>109</v>
      </c>
      <c r="B73" s="1" t="s">
        <v>41</v>
      </c>
      <c r="C73" s="3">
        <v>46055</v>
      </c>
      <c r="D73" s="3">
        <v>46065</v>
      </c>
      <c r="E73" s="1">
        <f ca="1">IF(DMRB5[[#This Row],[Move_out ]]="","",TODAY()-DMRB5[[#This Row],[Move_out ]])</f>
        <v>15</v>
      </c>
      <c r="F73" s="2"/>
      <c r="G73" s="1" t="str">
        <f ca="1">IF(DMRB5[[#This Row],[Move_in]]="","",TODAY()-DMRB5[[#This Row],[Move_in]])</f>
        <v/>
      </c>
      <c r="H7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3" s="3">
        <f>IF(DMRB5[[#This Row],[Move_out ]]="","",
IF(OR(DMRB5[[#This Row],[Insp_status ]]="In Progress",DMRB5[[#This Row],[Insp_status ]]="Done",
DMRB5[[#This Row],[Insp_status ]]="Scheduled"),
WORKDAY(DMRB5[[#This Row],[Move_out ]],1),
""))</f>
        <v>46056</v>
      </c>
      <c r="J73" s="1" t="s">
        <v>0</v>
      </c>
      <c r="K73" s="3">
        <f>IF(DMRB5[[#This Row],[Move_out ]]="","",
IF(OR(DMRB5[[#This Row],[Paint_status]]="In Progress",DMRB5[[#This Row],[Paint_status]]="Done",
DMRB5[[#This Row],[Paint_status]]="Scheduled"),
WORKDAY(DMRB5[[#This Row],[Move_out ]],2),
""))</f>
        <v>46057</v>
      </c>
      <c r="L73" s="1" t="s">
        <v>0</v>
      </c>
      <c r="M73" s="3">
        <f>IF(DMRB5[[#This Row],[Move_out ]]="","",
IF(OR(DMRB5[[#This Row],[MR_Status]]="In Progress",DMRB5[[#This Row],[MR_Status]]="Done",
DMRB5[[#This Row],[MR_Status]]="Scheduled"),
WORKDAY(DMRB5[[#This Row],[Move_out ]],3),
""))</f>
        <v>46058</v>
      </c>
      <c r="N73" s="1" t="s">
        <v>0</v>
      </c>
      <c r="O73" s="3">
        <f>IF(DMRB5[[#This Row],[Move_out ]]="","",
IF(OR(DMRB5[[#This Row],[HK_Status]]="In Progress",DMRB5[[#This Row],[HK_Status]]="Done",
DMRB5[[#This Row],[HK_Status]]="Scheduled"),
WORKDAY(DMRB5[[#This Row],[Move_out ]],6),
""))</f>
        <v>46063</v>
      </c>
      <c r="P73" s="1" t="s">
        <v>0</v>
      </c>
      <c r="Q73" s="3">
        <f>IF(DMRB5[[#This Row],[Move_out ]]="","",
IF(OR(DMRB5[[#This Row],[CC_status]]="In Progress",DMRB5[[#This Row],[CC_status]]="Done",
DMRB5[[#This Row],[CC_status]]="Scheduled"),
WORKDAY(DMRB5[[#This Row],[Move_out ]],7),
""))</f>
        <v>46064</v>
      </c>
      <c r="R73" s="1" t="s">
        <v>0</v>
      </c>
      <c r="S73" s="2" t="s">
        <v>2</v>
      </c>
      <c r="T73" s="1" t="s">
        <v>43</v>
      </c>
      <c r="U73" s="1" t="s">
        <v>36</v>
      </c>
      <c r="V73" s="1" t="str">
        <f>IF(TRIM(CLEAN(A73))="","",_xlfn.TEXTBEFORE(_xlfn.TEXTAFTER(A73,"Unit "),"-"))</f>
        <v>5</v>
      </c>
      <c r="W73" s="1" t="str">
        <f>IF(TRIM(CLEAN(A73))="","",_xlfn.TEXTBEFORE(_xlfn.TEXTAFTER(A73,"-"),"-"))</f>
        <v>18</v>
      </c>
      <c r="X73" s="1" t="str">
        <f>IF(TRIM(CLEAN(A73))="","",_xlfn.TEXTAFTER(A73,"-",-1))</f>
        <v>0346</v>
      </c>
    </row>
    <row r="74" spans="1:25" x14ac:dyDescent="0.4">
      <c r="A74" s="88" t="s">
        <v>151</v>
      </c>
      <c r="B74" s="1" t="s">
        <v>5</v>
      </c>
      <c r="C74" s="3">
        <v>46060</v>
      </c>
      <c r="D74" s="75">
        <v>46070</v>
      </c>
      <c r="E74" s="1">
        <f ca="1">IF(DMRB5[[#This Row],[Move_out ]]="","",TODAY()-DMRB5[[#This Row],[Move_out ]])</f>
        <v>10</v>
      </c>
      <c r="F74" s="2"/>
      <c r="G74" s="1" t="str">
        <f ca="1">IF(DMRB5[[#This Row],[Move_in]]="","",TODAY()-DMRB5[[#This Row],[Move_in]])</f>
        <v/>
      </c>
      <c r="H7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4" s="3">
        <f>IF(DMRB5[[#This Row],[Move_out ]]="","",
IF(OR(DMRB5[[#This Row],[Insp_status ]]="In Progress",DMRB5[[#This Row],[Insp_status ]]="Done",
DMRB5[[#This Row],[Insp_status ]]="Scheduled"),
WORKDAY(DMRB5[[#This Row],[Move_out ]],1),
""))</f>
        <v>46062</v>
      </c>
      <c r="J74" s="1" t="s">
        <v>0</v>
      </c>
      <c r="K74" s="3">
        <f>IF(DMRB5[[#This Row],[Move_out ]]="","",
IF(OR(DMRB5[[#This Row],[Paint_status]]="In Progress",DMRB5[[#This Row],[Paint_status]]="Done",
DMRB5[[#This Row],[Paint_status]]="Scheduled"),
WORKDAY(DMRB5[[#This Row],[Move_out ]],2),
""))</f>
        <v>46063</v>
      </c>
      <c r="L74" s="1" t="s">
        <v>4</v>
      </c>
      <c r="M74" s="3">
        <f>IF(DMRB5[[#This Row],[Move_out ]]="","",
IF(OR(DMRB5[[#This Row],[MR_Status]]="In Progress",DMRB5[[#This Row],[MR_Status]]="Done",
DMRB5[[#This Row],[MR_Status]]="Scheduled"),
WORKDAY(DMRB5[[#This Row],[Move_out ]],3),
""))</f>
        <v>46064</v>
      </c>
      <c r="N74" s="1" t="s">
        <v>3</v>
      </c>
      <c r="O74" s="3">
        <f>IF(DMRB5[[#This Row],[Move_out ]]="","",
IF(OR(DMRB5[[#This Row],[HK_Status]]="In Progress",DMRB5[[#This Row],[HK_Status]]="Done",
DMRB5[[#This Row],[HK_Status]]="Scheduled"),
WORKDAY(DMRB5[[#This Row],[Move_out ]],6),
""))</f>
        <v>46069</v>
      </c>
      <c r="P74" s="1" t="s">
        <v>4</v>
      </c>
      <c r="Q74" s="3">
        <f>IF(DMRB5[[#This Row],[Move_out ]]="","",
IF(OR(DMRB5[[#This Row],[CC_status]]="In Progress",DMRB5[[#This Row],[CC_status]]="Done",
DMRB5[[#This Row],[CC_status]]="Scheduled"),
WORKDAY(DMRB5[[#This Row],[Move_out ]],7),
""))</f>
        <v>46070</v>
      </c>
      <c r="R74" s="1" t="s">
        <v>3</v>
      </c>
      <c r="S74" s="2" t="s">
        <v>126</v>
      </c>
      <c r="T74" s="3" t="s">
        <v>43</v>
      </c>
      <c r="U74" s="1" t="s">
        <v>36</v>
      </c>
      <c r="V74" s="1" t="str">
        <f>IF(TRIM(CLEAN(A74))="","",_xlfn.TEXTBEFORE(_xlfn.TEXTAFTER(A74,"Unit "),"-"))</f>
        <v>7</v>
      </c>
      <c r="W74" s="1" t="str">
        <f>IF(TRIM(CLEAN(A74))="","",_xlfn.TEXTBEFORE(_xlfn.TEXTAFTER(A74,"-"),"-"))</f>
        <v>02</v>
      </c>
      <c r="X74" s="1" t="str">
        <f>IF(TRIM(CLEAN(A74))="","",_xlfn.TEXTAFTER(A74,"-",-1))</f>
        <v>0201</v>
      </c>
    </row>
    <row r="75" spans="1:25" x14ac:dyDescent="0.4">
      <c r="A75" s="4" t="s">
        <v>102</v>
      </c>
      <c r="B75" s="1" t="s">
        <v>5</v>
      </c>
      <c r="C75" s="3">
        <v>46060</v>
      </c>
      <c r="D75" s="3">
        <v>46070</v>
      </c>
      <c r="E75" s="1">
        <f ca="1">IF(DMRB5[[#This Row],[Move_out ]]="","",TODAY()-DMRB5[[#This Row],[Move_out ]])</f>
        <v>10</v>
      </c>
      <c r="F75" s="2"/>
      <c r="G75" s="1" t="str">
        <f ca="1">IF(DMRB5[[#This Row],[Move_in]]="","",TODAY()-DMRB5[[#This Row],[Move_in]])</f>
        <v/>
      </c>
      <c r="H7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5" s="3">
        <f>IF(DMRB5[[#This Row],[Move_out ]]="","",
IF(OR(DMRB5[[#This Row],[Insp_status ]]="In Progress",DMRB5[[#This Row],[Insp_status ]]="Done",
DMRB5[[#This Row],[Insp_status ]]="Scheduled"),
WORKDAY(DMRB5[[#This Row],[Move_out ]],1),
""))</f>
        <v>46062</v>
      </c>
      <c r="J75" s="1" t="s">
        <v>0</v>
      </c>
      <c r="K75" s="3">
        <f>IF(DMRB5[[#This Row],[Move_out ]]="","",
IF(OR(DMRB5[[#This Row],[Paint_status]]="In Progress",DMRB5[[#This Row],[Paint_status]]="Done",
DMRB5[[#This Row],[Paint_status]]="Scheduled"),
WORKDAY(DMRB5[[#This Row],[Move_out ]],2),
""))</f>
        <v>46063</v>
      </c>
      <c r="L75" s="1" t="s">
        <v>4</v>
      </c>
      <c r="M75" s="3">
        <f>IF(DMRB5[[#This Row],[Move_out ]]="","",
IF(OR(DMRB5[[#This Row],[MR_Status]]="In Progress",DMRB5[[#This Row],[MR_Status]]="Done",
DMRB5[[#This Row],[MR_Status]]="Scheduled"),
WORKDAY(DMRB5[[#This Row],[Move_out ]],3),
""))</f>
        <v>46064</v>
      </c>
      <c r="N75" s="1" t="s">
        <v>4</v>
      </c>
      <c r="O75" s="3">
        <f>IF(DMRB5[[#This Row],[Move_out ]]="","",
IF(OR(DMRB5[[#This Row],[HK_Status]]="In Progress",DMRB5[[#This Row],[HK_Status]]="Done",
DMRB5[[#This Row],[HK_Status]]="Scheduled"),
WORKDAY(DMRB5[[#This Row],[Move_out ]],6),
""))</f>
        <v>46069</v>
      </c>
      <c r="P75" s="1" t="s">
        <v>4</v>
      </c>
      <c r="Q75" s="3">
        <f>IF(DMRB5[[#This Row],[Move_out ]]="","",
IF(OR(DMRB5[[#This Row],[CC_status]]="In Progress",DMRB5[[#This Row],[CC_status]]="Done",
DMRB5[[#This Row],[CC_status]]="Scheduled"),
WORKDAY(DMRB5[[#This Row],[Move_out ]],7),
""))</f>
        <v>46070</v>
      </c>
      <c r="R75" s="1" t="s">
        <v>3</v>
      </c>
      <c r="S75" s="2" t="s">
        <v>2</v>
      </c>
      <c r="T75" s="1" t="s">
        <v>36</v>
      </c>
      <c r="U75" s="1" t="s">
        <v>36</v>
      </c>
      <c r="V75" s="1" t="str">
        <f>IF(TRIM(CLEAN(A75))="","",_xlfn.TEXTBEFORE(_xlfn.TEXTAFTER(A75,"Unit "),"-"))</f>
        <v>5</v>
      </c>
      <c r="W75" s="1" t="str">
        <f>IF(TRIM(CLEAN(A75))="","",_xlfn.TEXTBEFORE(_xlfn.TEXTAFTER(A75,"-"),"-"))</f>
        <v>18</v>
      </c>
      <c r="X75" s="1" t="str">
        <f>IF(TRIM(CLEAN(A75))="","",_xlfn.TEXTAFTER(A75,"-",-1))</f>
        <v>0310</v>
      </c>
    </row>
    <row r="76" spans="1:25" x14ac:dyDescent="0.4">
      <c r="A76" s="4" t="s">
        <v>103</v>
      </c>
      <c r="B76" s="1" t="s">
        <v>5</v>
      </c>
      <c r="C76" s="3">
        <v>46061</v>
      </c>
      <c r="D76" s="3">
        <v>46071</v>
      </c>
      <c r="E76" s="1">
        <f ca="1">IF(DMRB5[[#This Row],[Move_out ]]="","",TODAY()-DMRB5[[#This Row],[Move_out ]])</f>
        <v>9</v>
      </c>
      <c r="F76" s="2"/>
      <c r="G76" s="1" t="str">
        <f ca="1">IF(DMRB5[[#This Row],[Move_in]]="","",TODAY()-DMRB5[[#This Row],[Move_in]])</f>
        <v/>
      </c>
      <c r="H7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6" s="3">
        <f>IF(DMRB5[[#This Row],[Move_out ]]="","",
IF(OR(DMRB5[[#This Row],[Insp_status ]]="In Progress",DMRB5[[#This Row],[Insp_status ]]="Done",
DMRB5[[#This Row],[Insp_status ]]="Scheduled"),
WORKDAY(DMRB5[[#This Row],[Move_out ]],1),
""))</f>
        <v>46062</v>
      </c>
      <c r="J76" s="1" t="s">
        <v>0</v>
      </c>
      <c r="K76" s="3">
        <f>IF(DMRB5[[#This Row],[Move_out ]]="","",
IF(OR(DMRB5[[#This Row],[Paint_status]]="In Progress",DMRB5[[#This Row],[Paint_status]]="Done",
DMRB5[[#This Row],[Paint_status]]="Scheduled"),
WORKDAY(DMRB5[[#This Row],[Move_out ]],2),
""))</f>
        <v>46063</v>
      </c>
      <c r="L76" s="1" t="s">
        <v>4</v>
      </c>
      <c r="M76" s="3">
        <f>IF(DMRB5[[#This Row],[Move_out ]]="","",
IF(OR(DMRB5[[#This Row],[MR_Status]]="In Progress",DMRB5[[#This Row],[MR_Status]]="Done",
DMRB5[[#This Row],[MR_Status]]="Scheduled"),
WORKDAY(DMRB5[[#This Row],[Move_out ]],3),
""))</f>
        <v>46064</v>
      </c>
      <c r="N76" s="1" t="s">
        <v>3</v>
      </c>
      <c r="O76" s="3">
        <f>IF(DMRB5[[#This Row],[Move_out ]]="","",
IF(OR(DMRB5[[#This Row],[HK_Status]]="In Progress",DMRB5[[#This Row],[HK_Status]]="Done",
DMRB5[[#This Row],[HK_Status]]="Scheduled"),
WORKDAY(DMRB5[[#This Row],[Move_out ]],6),
""))</f>
        <v>46069</v>
      </c>
      <c r="P76" s="1" t="s">
        <v>4</v>
      </c>
      <c r="Q76" s="3">
        <f>IF(DMRB5[[#This Row],[Move_out ]]="","",
IF(OR(DMRB5[[#This Row],[CC_status]]="In Progress",DMRB5[[#This Row],[CC_status]]="Done",
DMRB5[[#This Row],[CC_status]]="Scheduled"),
WORKDAY(DMRB5[[#This Row],[Move_out ]],7),
""))</f>
        <v>46070</v>
      </c>
      <c r="R76" s="1" t="s">
        <v>3</v>
      </c>
      <c r="S76" s="2" t="s">
        <v>126</v>
      </c>
      <c r="T76" s="1" t="s">
        <v>43</v>
      </c>
      <c r="U76" s="1" t="s">
        <v>36</v>
      </c>
      <c r="V76" s="1" t="str">
        <f>IF(TRIM(CLEAN(A76))="","",_xlfn.TEXTBEFORE(_xlfn.TEXTAFTER(A76,"Unit "),"-"))</f>
        <v>8</v>
      </c>
      <c r="W76" s="1" t="str">
        <f>IF(TRIM(CLEAN(A76))="","",_xlfn.TEXTBEFORE(_xlfn.TEXTAFTER(A76,"-"),"-"))</f>
        <v>01</v>
      </c>
      <c r="X76" s="1" t="str">
        <f>IF(TRIM(CLEAN(A76))="","",_xlfn.TEXTAFTER(A76,"-",-1))</f>
        <v>3107</v>
      </c>
    </row>
    <row r="77" spans="1:25" x14ac:dyDescent="0.4">
      <c r="A77" s="4" t="s">
        <v>105</v>
      </c>
      <c r="B77" s="1" t="s">
        <v>5</v>
      </c>
      <c r="C77" s="3">
        <v>46062</v>
      </c>
      <c r="D77" s="3">
        <v>46072</v>
      </c>
      <c r="E77" s="1">
        <f ca="1">IF(DMRB5[[#This Row],[Move_out ]]="","",TODAY()-DMRB5[[#This Row],[Move_out ]])</f>
        <v>8</v>
      </c>
      <c r="F77" s="2"/>
      <c r="G77" s="1" t="str">
        <f ca="1">IF(DMRB5[[#This Row],[Move_in]]="","",TODAY()-DMRB5[[#This Row],[Move_in]])</f>
        <v/>
      </c>
      <c r="H7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7" s="3">
        <f>IF(DMRB5[[#This Row],[Move_out ]]="","",
IF(OR(DMRB5[[#This Row],[Insp_status ]]="In Progress",DMRB5[[#This Row],[Insp_status ]]="Done",
DMRB5[[#This Row],[Insp_status ]]="Scheduled"),
WORKDAY(DMRB5[[#This Row],[Move_out ]],1),
""))</f>
        <v>46063</v>
      </c>
      <c r="J77" s="1" t="s">
        <v>0</v>
      </c>
      <c r="K77" s="3">
        <f>IF(DMRB5[[#This Row],[Move_out ]]="","",
IF(OR(DMRB5[[#This Row],[Paint_status]]="In Progress",DMRB5[[#This Row],[Paint_status]]="Done",
DMRB5[[#This Row],[Paint_status]]="Scheduled"),
WORKDAY(DMRB5[[#This Row],[Move_out ]],2),
""))</f>
        <v>46064</v>
      </c>
      <c r="L77" s="1" t="s">
        <v>4</v>
      </c>
      <c r="M77" s="3">
        <f>IF(DMRB5[[#This Row],[Move_out ]]="","",
IF(OR(DMRB5[[#This Row],[MR_Status]]="In Progress",DMRB5[[#This Row],[MR_Status]]="Done",
DMRB5[[#This Row],[MR_Status]]="Scheduled"),
WORKDAY(DMRB5[[#This Row],[Move_out ]],3),
""))</f>
        <v>46065</v>
      </c>
      <c r="N77" s="1" t="s">
        <v>3</v>
      </c>
      <c r="O77" s="3">
        <f>IF(DMRB5[[#This Row],[Move_out ]]="","",
IF(OR(DMRB5[[#This Row],[HK_Status]]="In Progress",DMRB5[[#This Row],[HK_Status]]="Done",
DMRB5[[#This Row],[HK_Status]]="Scheduled"),
WORKDAY(DMRB5[[#This Row],[Move_out ]],6),
""))</f>
        <v>46070</v>
      </c>
      <c r="P77" s="3" t="s">
        <v>4</v>
      </c>
      <c r="Q77" s="3">
        <f>IF(DMRB5[[#This Row],[Move_out ]]="","",
IF(OR(DMRB5[[#This Row],[CC_status]]="In Progress",DMRB5[[#This Row],[CC_status]]="Done",
DMRB5[[#This Row],[CC_status]]="Scheduled"),
WORKDAY(DMRB5[[#This Row],[Move_out ]],7),
""))</f>
        <v>46071</v>
      </c>
      <c r="R77" s="3" t="s">
        <v>3</v>
      </c>
      <c r="S77" s="2" t="s">
        <v>126</v>
      </c>
      <c r="T77" s="1" t="s">
        <v>1</v>
      </c>
      <c r="U77" s="1" t="s">
        <v>36</v>
      </c>
      <c r="V77" s="1" t="str">
        <f>IF(TRIM(CLEAN(A77))="","",_xlfn.TEXTBEFORE(_xlfn.TEXTAFTER(A77,"Unit "),"-"))</f>
        <v>7</v>
      </c>
      <c r="W77" s="1" t="str">
        <f>IF(TRIM(CLEAN(A77))="","",_xlfn.TEXTBEFORE(_xlfn.TEXTAFTER(A77,"-"),"-"))</f>
        <v>10</v>
      </c>
      <c r="X77" s="1" t="str">
        <f>IF(TRIM(CLEAN(A77))="","",_xlfn.TEXTAFTER(A77,"-",-1))</f>
        <v>0306</v>
      </c>
    </row>
    <row r="78" spans="1:25" x14ac:dyDescent="0.4">
      <c r="A78" s="4" t="s">
        <v>106</v>
      </c>
      <c r="B78" s="1" t="s">
        <v>5</v>
      </c>
      <c r="C78" s="3">
        <v>46063</v>
      </c>
      <c r="D78" s="3">
        <v>46073</v>
      </c>
      <c r="E78" s="1">
        <f ca="1">IF(DMRB5[[#This Row],[Move_out ]]="","",TODAY()-DMRB5[[#This Row],[Move_out ]])</f>
        <v>7</v>
      </c>
      <c r="F78" s="2"/>
      <c r="G78" s="1" t="str">
        <f ca="1">IF(DMRB5[[#This Row],[Move_in]]="","",TODAY()-DMRB5[[#This Row],[Move_in]])</f>
        <v/>
      </c>
      <c r="H7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8" s="3">
        <f>IF(DMRB5[[#This Row],[Move_out ]]="","",
IF(OR(DMRB5[[#This Row],[Insp_status ]]="In Progress",DMRB5[[#This Row],[Insp_status ]]="Done",
DMRB5[[#This Row],[Insp_status ]]="Scheduled"),
WORKDAY(DMRB5[[#This Row],[Move_out ]],1),
""))</f>
        <v>46064</v>
      </c>
      <c r="J78" s="1" t="s">
        <v>0</v>
      </c>
      <c r="K78" s="3">
        <f>IF(DMRB5[[#This Row],[Move_out ]]="","",
IF(OR(DMRB5[[#This Row],[Paint_status]]="In Progress",DMRB5[[#This Row],[Paint_status]]="Done",
DMRB5[[#This Row],[Paint_status]]="Scheduled"),
WORKDAY(DMRB5[[#This Row],[Move_out ]],2),
""))</f>
        <v>46065</v>
      </c>
      <c r="L78" s="3" t="s">
        <v>4</v>
      </c>
      <c r="M78" s="3">
        <f>IF(DMRB5[[#This Row],[Move_out ]]="","",
IF(OR(DMRB5[[#This Row],[MR_Status]]="In Progress",DMRB5[[#This Row],[MR_Status]]="Done",
DMRB5[[#This Row],[MR_Status]]="Scheduled"),
WORKDAY(DMRB5[[#This Row],[Move_out ]],3),
""))</f>
        <v>46066</v>
      </c>
      <c r="N78" s="1" t="s">
        <v>4</v>
      </c>
      <c r="O78" s="3">
        <f>IF(DMRB5[[#This Row],[Move_out ]]="","",
IF(OR(DMRB5[[#This Row],[HK_Status]]="In Progress",DMRB5[[#This Row],[HK_Status]]="Done",
DMRB5[[#This Row],[HK_Status]]="Scheduled"),
WORKDAY(DMRB5[[#This Row],[Move_out ]],6),
""))</f>
        <v>46071</v>
      </c>
      <c r="P78" s="1" t="s">
        <v>4</v>
      </c>
      <c r="Q78" s="3">
        <f>IF(DMRB5[[#This Row],[Move_out ]]="","",
IF(OR(DMRB5[[#This Row],[CC_status]]="In Progress",DMRB5[[#This Row],[CC_status]]="Done",
DMRB5[[#This Row],[CC_status]]="Scheduled"),
WORKDAY(DMRB5[[#This Row],[Move_out ]],7),
""))</f>
        <v>46072</v>
      </c>
      <c r="R78" s="1" t="s">
        <v>3</v>
      </c>
      <c r="S78" s="2" t="s">
        <v>2</v>
      </c>
      <c r="T78" s="1" t="s">
        <v>43</v>
      </c>
      <c r="U78" s="1" t="s">
        <v>36</v>
      </c>
      <c r="V78" s="1" t="str">
        <f>IF(TRIM(CLEAN(A78))="","",_xlfn.TEXTBEFORE(_xlfn.TEXTAFTER(A78,"Unit "),"-"))</f>
        <v>5</v>
      </c>
      <c r="W78" s="1" t="str">
        <f>IF(TRIM(CLEAN(A78))="","",_xlfn.TEXTBEFORE(_xlfn.TEXTAFTER(A78,"-"),"-"))</f>
        <v>09</v>
      </c>
      <c r="X78" s="1" t="str">
        <f>IF(TRIM(CLEAN(A78))="","",_xlfn.TEXTAFTER(A78,"-",-1))</f>
        <v>0109</v>
      </c>
    </row>
    <row r="79" spans="1:25" hidden="1" x14ac:dyDescent="0.4">
      <c r="A79" s="88" t="s">
        <v>153</v>
      </c>
      <c r="B79" s="1" t="s">
        <v>34</v>
      </c>
      <c r="C79" s="3">
        <v>46064</v>
      </c>
      <c r="D79" s="3">
        <v>46144</v>
      </c>
      <c r="E79" s="1">
        <f ca="1">IF(DMRB5[[#This Row],[Move_out ]]="","",TODAY()-DMRB5[[#This Row],[Move_out ]])</f>
        <v>6</v>
      </c>
      <c r="F79" s="2"/>
      <c r="G79" s="1" t="str">
        <f ca="1">IF(DMRB5[[#This Row],[Move_in]]="","",TODAY()-DMRB5[[#This Row],[Move_in]])</f>
        <v/>
      </c>
      <c r="H7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79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79" s="1" t="s">
        <v>31</v>
      </c>
      <c r="K79" s="3">
        <f>IF(DMRB5[[#This Row],[Move_out ]]="","",
IF(OR(DMRB5[[#This Row],[Paint_status]]="In Progress",DMRB5[[#This Row],[Paint_status]]="Done",
DMRB5[[#This Row],[Paint_status]]="Scheduled"),
WORKDAY(DMRB5[[#This Row],[Move_out ]],2),
""))</f>
        <v>46066</v>
      </c>
      <c r="L79" s="1" t="s">
        <v>3</v>
      </c>
      <c r="M79" s="3">
        <f>IF(DMRB5[[#This Row],[Move_out ]]="","",
IF(OR(DMRB5[[#This Row],[MR_Status]]="In Progress",DMRB5[[#This Row],[MR_Status]]="Done",
DMRB5[[#This Row],[MR_Status]]="Scheduled"),
WORKDAY(DMRB5[[#This Row],[Move_out ]],3),
""))</f>
        <v>46069</v>
      </c>
      <c r="N79" s="1" t="s">
        <v>3</v>
      </c>
      <c r="O79" s="3">
        <f>IF(DMRB5[[#This Row],[Move_out ]]="","",
IF(OR(DMRB5[[#This Row],[HK_Status]]="In Progress",DMRB5[[#This Row],[HK_Status]]="Done",
DMRB5[[#This Row],[HK_Status]]="Scheduled"),
WORKDAY(DMRB5[[#This Row],[Move_out ]],6),
""))</f>
        <v>46072</v>
      </c>
      <c r="P79" s="1" t="s">
        <v>3</v>
      </c>
      <c r="Q79" s="3">
        <f>IF(DMRB5[[#This Row],[Move_out ]]="","",
IF(OR(DMRB5[[#This Row],[CC_status]]="In Progress",DMRB5[[#This Row],[CC_status]]="Done",
DMRB5[[#This Row],[CC_status]]="Scheduled"),
WORKDAY(DMRB5[[#This Row],[Move_out ]],7),
""))</f>
        <v>46073</v>
      </c>
      <c r="R79" s="1" t="s">
        <v>3</v>
      </c>
      <c r="S79" s="2" t="s">
        <v>126</v>
      </c>
      <c r="T79" s="1"/>
      <c r="U79" s="1" t="s">
        <v>36</v>
      </c>
      <c r="V79" s="1" t="str">
        <f>IF(TRIM(CLEAN(A79))="","",_xlfn.TEXTBEFORE(_xlfn.TEXTAFTER(A79,"Unit "),"-"))</f>
        <v>7</v>
      </c>
      <c r="W79" s="1" t="str">
        <f>IF(TRIM(CLEAN(A79))="","",_xlfn.TEXTBEFORE(_xlfn.TEXTAFTER(A79,"-"),"-"))</f>
        <v>04</v>
      </c>
      <c r="X79" s="1" t="str">
        <f>IF(TRIM(CLEAN(A79))="","",_xlfn.TEXTAFTER(A79,"-",-1))</f>
        <v>0308</v>
      </c>
    </row>
    <row r="80" spans="1:25" x14ac:dyDescent="0.4">
      <c r="A80" s="88" t="s">
        <v>150</v>
      </c>
      <c r="B80" s="1" t="s">
        <v>5</v>
      </c>
      <c r="C80" s="3">
        <v>46065</v>
      </c>
      <c r="D80" s="75">
        <v>46075</v>
      </c>
      <c r="E80" s="1">
        <f ca="1">IF(DMRB5[[#This Row],[Move_out ]]="","",TODAY()-DMRB5[[#This Row],[Move_out ]])</f>
        <v>5</v>
      </c>
      <c r="F80" s="2"/>
      <c r="G80" s="1" t="str">
        <f ca="1">IF(DMRB5[[#This Row],[Move_in]]="","",TODAY()-DMRB5[[#This Row],[Move_in]])</f>
        <v/>
      </c>
      <c r="H8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80" s="3">
        <f>IF(DMRB5[[#This Row],[Move_out ]]="","",
IF(OR(DMRB5[[#This Row],[Insp_status ]]="In Progress",DMRB5[[#This Row],[Insp_status ]]="Done",
DMRB5[[#This Row],[Insp_status ]]="Scheduled"),
WORKDAY(DMRB5[[#This Row],[Move_out ]],1),
""))</f>
        <v>46066</v>
      </c>
      <c r="J80" s="1" t="s">
        <v>0</v>
      </c>
      <c r="K80" s="3">
        <f>IF(DMRB5[[#This Row],[Move_out ]]="","",
IF(OR(DMRB5[[#This Row],[Paint_status]]="In Progress",DMRB5[[#This Row],[Paint_status]]="Done",
DMRB5[[#This Row],[Paint_status]]="Scheduled"),
WORKDAY(DMRB5[[#This Row],[Move_out ]],2),
""))</f>
        <v>46069</v>
      </c>
      <c r="L80" s="3" t="s">
        <v>4</v>
      </c>
      <c r="M80" s="3">
        <f>IF(DMRB5[[#This Row],[Move_out ]]="","",
IF(OR(DMRB5[[#This Row],[MR_Status]]="In Progress",DMRB5[[#This Row],[MR_Status]]="Done",
DMRB5[[#This Row],[MR_Status]]="Scheduled"),
WORKDAY(DMRB5[[#This Row],[Move_out ]],3),
""))</f>
        <v>46070</v>
      </c>
      <c r="N80" s="1" t="s">
        <v>4</v>
      </c>
      <c r="O80" s="3">
        <f>IF(DMRB5[[#This Row],[Move_out ]]="","",
IF(OR(DMRB5[[#This Row],[HK_Status]]="In Progress",DMRB5[[#This Row],[HK_Status]]="Done",
DMRB5[[#This Row],[HK_Status]]="Scheduled"),
WORKDAY(DMRB5[[#This Row],[Move_out ]],6),
""))</f>
        <v>46073</v>
      </c>
      <c r="P80" s="1" t="s">
        <v>4</v>
      </c>
      <c r="Q80" s="3">
        <f>IF(DMRB5[[#This Row],[Move_out ]]="","",
IF(OR(DMRB5[[#This Row],[CC_status]]="In Progress",DMRB5[[#This Row],[CC_status]]="Done",
DMRB5[[#This Row],[CC_status]]="Scheduled"),
WORKDAY(DMRB5[[#This Row],[Move_out ]],7),
""))</f>
        <v>46076</v>
      </c>
      <c r="R80" s="1" t="s">
        <v>3</v>
      </c>
      <c r="S80" s="2" t="s">
        <v>2</v>
      </c>
      <c r="T80" s="3" t="s">
        <v>43</v>
      </c>
      <c r="U80" s="1" t="s">
        <v>36</v>
      </c>
      <c r="V80" s="1" t="str">
        <f>IF(TRIM(CLEAN(A80))="","",_xlfn.TEXTBEFORE(_xlfn.TEXTAFTER(A80,"Unit "),"-"))</f>
        <v>5</v>
      </c>
      <c r="W80" s="1" t="str">
        <f>IF(TRIM(CLEAN(A80))="","",_xlfn.TEXTBEFORE(_xlfn.TEXTAFTER(A80,"-"),"-"))</f>
        <v>11</v>
      </c>
      <c r="X80" s="1" t="str">
        <f>IF(TRIM(CLEAN(A80))="","",_xlfn.TEXTAFTER(A80,"-",-1))</f>
        <v>0303</v>
      </c>
    </row>
    <row r="81" spans="1:25" x14ac:dyDescent="0.4">
      <c r="A81" s="74" t="s">
        <v>116</v>
      </c>
      <c r="B81" s="1" t="s">
        <v>5</v>
      </c>
      <c r="C81" s="3">
        <v>46065</v>
      </c>
      <c r="D81" s="75">
        <v>46070</v>
      </c>
      <c r="E81" s="1">
        <f ca="1">IF(DMRB5[[#This Row],[Move_out ]]="","",TODAY()-DMRB5[[#This Row],[Move_out ]])</f>
        <v>5</v>
      </c>
      <c r="F81" s="2"/>
      <c r="G81" s="1" t="str">
        <f ca="1">IF(DMRB5[[#This Row],[Move_in]]="","",TODAY()-DMRB5[[#This Row],[Move_in]])</f>
        <v/>
      </c>
      <c r="H8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81" s="3">
        <f>IF(DMRB5[[#This Row],[Move_out ]]="","",
IF(OR(DMRB5[[#This Row],[Insp_status ]]="In Progress",DMRB5[[#This Row],[Insp_status ]]="Done",
DMRB5[[#This Row],[Insp_status ]]="Scheduled"),
WORKDAY(DMRB5[[#This Row],[Move_out ]],1),
""))</f>
        <v>46066</v>
      </c>
      <c r="J81" s="1" t="s">
        <v>0</v>
      </c>
      <c r="K81" s="3">
        <f>IF(DMRB5[[#This Row],[Move_out ]]="","",
IF(OR(DMRB5[[#This Row],[Paint_status]]="In Progress",DMRB5[[#This Row],[Paint_status]]="Done",
DMRB5[[#This Row],[Paint_status]]="Scheduled"),
WORKDAY(DMRB5[[#This Row],[Move_out ]],2),
""))</f>
        <v>46069</v>
      </c>
      <c r="L81" s="1" t="s">
        <v>4</v>
      </c>
      <c r="M81" s="3">
        <f>IF(DMRB5[[#This Row],[Move_out ]]="","",
IF(OR(DMRB5[[#This Row],[MR_Status]]="In Progress",DMRB5[[#This Row],[MR_Status]]="Done",
DMRB5[[#This Row],[MR_Status]]="Scheduled"),
WORKDAY(DMRB5[[#This Row],[Move_out ]],3),
""))</f>
        <v>46070</v>
      </c>
      <c r="N81" s="1" t="s">
        <v>3</v>
      </c>
      <c r="O81" s="3">
        <f>IF(DMRB5[[#This Row],[Move_out ]]="","",
IF(OR(DMRB5[[#This Row],[HK_Status]]="In Progress",DMRB5[[#This Row],[HK_Status]]="Done",
DMRB5[[#This Row],[HK_Status]]="Scheduled"),
WORKDAY(DMRB5[[#This Row],[Move_out ]],6),
""))</f>
        <v>46073</v>
      </c>
      <c r="P81" s="1" t="s">
        <v>4</v>
      </c>
      <c r="Q81" s="3">
        <f>IF(DMRB5[[#This Row],[Move_out ]]="","",
IF(OR(DMRB5[[#This Row],[CC_status]]="In Progress",DMRB5[[#This Row],[CC_status]]="Done",
DMRB5[[#This Row],[CC_status]]="Scheduled"),
WORKDAY(DMRB5[[#This Row],[Move_out ]],7),
""))</f>
        <v>46076</v>
      </c>
      <c r="R81" s="1" t="s">
        <v>3</v>
      </c>
      <c r="S81" s="2" t="s">
        <v>126</v>
      </c>
      <c r="T81" s="1" t="s">
        <v>43</v>
      </c>
      <c r="U81" s="1" t="s">
        <v>36</v>
      </c>
      <c r="V81" s="1" t="str">
        <f>IF(TRIM(CLEAN(A81))="","",_xlfn.TEXTBEFORE(_xlfn.TEXTAFTER(A81,"Unit "),"-"))</f>
        <v>8</v>
      </c>
      <c r="W81" s="1" t="str">
        <f>IF(TRIM(CLEAN(A81))="","",_xlfn.TEXTBEFORE(_xlfn.TEXTAFTER(A81,"-"),"-"))</f>
        <v>01</v>
      </c>
      <c r="X81" s="1" t="str">
        <f>IF(TRIM(CLEAN(A81))="","",_xlfn.TEXTAFTER(A81,"-",-1))</f>
        <v>2041</v>
      </c>
    </row>
    <row r="82" spans="1:25" x14ac:dyDescent="0.4">
      <c r="A82" s="89" t="s">
        <v>112</v>
      </c>
      <c r="B82" s="1" t="s">
        <v>5</v>
      </c>
      <c r="C82" s="3">
        <v>46068</v>
      </c>
      <c r="D82" s="3">
        <v>46078</v>
      </c>
      <c r="E82" s="1">
        <f ca="1">IF(DMRB5[[#This Row],[Move_out ]]="","",TODAY()-DMRB5[[#This Row],[Move_out ]])</f>
        <v>2</v>
      </c>
      <c r="F82" s="90"/>
      <c r="G82" s="1" t="str">
        <f ca="1">IF(DMRB5[[#This Row],[Move_in]]="","",TODAY()-DMRB5[[#This Row],[Move_in]])</f>
        <v/>
      </c>
      <c r="H8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82" s="3">
        <f>IF(DMRB5[[#This Row],[Move_out ]]="","",
IF(OR(DMRB5[[#This Row],[Insp_status ]]="In Progress",DMRB5[[#This Row],[Insp_status ]]="Done",
DMRB5[[#This Row],[Insp_status ]]="Scheduled"),
WORKDAY(DMRB5[[#This Row],[Move_out ]],1),
""))</f>
        <v>46069</v>
      </c>
      <c r="J82" s="1" t="s">
        <v>0</v>
      </c>
      <c r="K82" s="3">
        <f>IF(DMRB5[[#This Row],[Move_out ]]="","",
IF(OR(DMRB5[[#This Row],[Paint_status]]="In Progress",DMRB5[[#This Row],[Paint_status]]="Done",
DMRB5[[#This Row],[Paint_status]]="Scheduled"),
WORKDAY(DMRB5[[#This Row],[Move_out ]],2),
""))</f>
        <v>46070</v>
      </c>
      <c r="L82" s="3" t="s">
        <v>4</v>
      </c>
      <c r="M82" s="3">
        <f>IF(DMRB5[[#This Row],[Move_out ]]="","",
IF(OR(DMRB5[[#This Row],[MR_Status]]="In Progress",DMRB5[[#This Row],[MR_Status]]="Done",
DMRB5[[#This Row],[MR_Status]]="Scheduled"),
WORKDAY(DMRB5[[#This Row],[Move_out ]],3),
""))</f>
        <v>46071</v>
      </c>
      <c r="N82" s="3" t="s">
        <v>3</v>
      </c>
      <c r="O82" s="3">
        <f>IF(DMRB5[[#This Row],[Move_out ]]="","",
IF(OR(DMRB5[[#This Row],[HK_Status]]="In Progress",DMRB5[[#This Row],[HK_Status]]="Done",
DMRB5[[#This Row],[HK_Status]]="Scheduled"),
WORKDAY(DMRB5[[#This Row],[Move_out ]],6),
""))</f>
        <v>46076</v>
      </c>
      <c r="P82" s="3" t="s">
        <v>4</v>
      </c>
      <c r="Q82" s="3">
        <f>IF(DMRB5[[#This Row],[Move_out ]]="","",
IF(OR(DMRB5[[#This Row],[CC_status]]="In Progress",DMRB5[[#This Row],[CC_status]]="Done",
DMRB5[[#This Row],[CC_status]]="Scheduled"),
WORKDAY(DMRB5[[#This Row],[Move_out ]],7),
""))</f>
        <v>46077</v>
      </c>
      <c r="R82" s="3" t="s">
        <v>0</v>
      </c>
      <c r="S82" s="90" t="s">
        <v>126</v>
      </c>
      <c r="T82" s="1" t="s">
        <v>1</v>
      </c>
      <c r="U82" s="1" t="s">
        <v>36</v>
      </c>
      <c r="V82" s="1" t="str">
        <f>IF(TRIM(CLEAN(A82))="","",_xlfn.TEXTBEFORE(_xlfn.TEXTAFTER(A82,"Unit "),"-"))</f>
        <v>7</v>
      </c>
      <c r="W82" s="1" t="str">
        <f>IF(TRIM(CLEAN(A82))="","",_xlfn.TEXTBEFORE(_xlfn.TEXTAFTER(A82,"-"),"-"))</f>
        <v>10</v>
      </c>
      <c r="X82" s="1" t="str">
        <f>IF(TRIM(CLEAN(A82))="","",_xlfn.TEXTAFTER(A82,"-",-1))</f>
        <v>0107</v>
      </c>
    </row>
    <row r="83" spans="1:25" x14ac:dyDescent="0.4">
      <c r="A83" s="88" t="s">
        <v>154</v>
      </c>
      <c r="B83" s="1" t="s">
        <v>5</v>
      </c>
      <c r="C83" s="3">
        <v>46068</v>
      </c>
      <c r="D83" s="3">
        <v>46081</v>
      </c>
      <c r="E83" s="1">
        <f ca="1">IF(DMRB5[[#This Row],[Move_out ]]="","",TODAY()-DMRB5[[#This Row],[Move_out ]])</f>
        <v>2</v>
      </c>
      <c r="F83" s="2"/>
      <c r="G83" s="1" t="str">
        <f ca="1">IF(DMRB5[[#This Row],[Move_in]]="","",TODAY()-DMRB5[[#This Row],[Move_in]])</f>
        <v/>
      </c>
      <c r="H8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83" s="3">
        <f>IF(DMRB5[[#This Row],[Move_out ]]="","",
IF(OR(DMRB5[[#This Row],[Insp_status ]]="In Progress",DMRB5[[#This Row],[Insp_status ]]="Done",
DMRB5[[#This Row],[Insp_status ]]="Scheduled"),
WORKDAY(DMRB5[[#This Row],[Move_out ]],1),
""))</f>
        <v>46069</v>
      </c>
      <c r="J83" s="1" t="s">
        <v>3</v>
      </c>
      <c r="K83" s="3">
        <f>IF(DMRB5[[#This Row],[Move_out ]]="","",
IF(OR(DMRB5[[#This Row],[Paint_status]]="In Progress",DMRB5[[#This Row],[Paint_status]]="Done",
DMRB5[[#This Row],[Paint_status]]="Scheduled"),
WORKDAY(DMRB5[[#This Row],[Move_out ]],2),
""))</f>
        <v>46070</v>
      </c>
      <c r="L83" s="1" t="s">
        <v>3</v>
      </c>
      <c r="M83" s="3">
        <f>IF(DMRB5[[#This Row],[Move_out ]]="","",
IF(OR(DMRB5[[#This Row],[MR_Status]]="In Progress",DMRB5[[#This Row],[MR_Status]]="Done",
DMRB5[[#This Row],[MR_Status]]="Scheduled"),
WORKDAY(DMRB5[[#This Row],[Move_out ]],3),
""))</f>
        <v>46071</v>
      </c>
      <c r="N83" s="1" t="s">
        <v>3</v>
      </c>
      <c r="O83" s="3">
        <f>IF(DMRB5[[#This Row],[Move_out ]]="","",
IF(OR(DMRB5[[#This Row],[HK_Status]]="In Progress",DMRB5[[#This Row],[HK_Status]]="Done",
DMRB5[[#This Row],[HK_Status]]="Scheduled"),
WORKDAY(DMRB5[[#This Row],[Move_out ]],6),
""))</f>
        <v>46076</v>
      </c>
      <c r="P83" s="3" t="s">
        <v>3</v>
      </c>
      <c r="Q83" s="3">
        <f>IF(DMRB5[[#This Row],[Move_out ]]="","",
IF(OR(DMRB5[[#This Row],[CC_status]]="In Progress",DMRB5[[#This Row],[CC_status]]="Done",
DMRB5[[#This Row],[CC_status]]="Scheduled"),
WORKDAY(DMRB5[[#This Row],[Move_out ]],7),
""))</f>
        <v>46077</v>
      </c>
      <c r="R83" s="1" t="s">
        <v>3</v>
      </c>
      <c r="S83" s="2" t="s">
        <v>2</v>
      </c>
      <c r="U83" s="1" t="s">
        <v>36</v>
      </c>
      <c r="V83" s="1" t="str">
        <f>IF(TRIM(CLEAN(A83))="","",_xlfn.TEXTBEFORE(_xlfn.TEXTAFTER(A83,"Unit "),"-"))</f>
        <v>5</v>
      </c>
      <c r="W83" s="1" t="str">
        <f>IF(TRIM(CLEAN(A83))="","",_xlfn.TEXTBEFORE(_xlfn.TEXTAFTER(A83,"-"),"-"))</f>
        <v>18</v>
      </c>
      <c r="X83" s="1" t="str">
        <f>IF(TRIM(CLEAN(A83))="","",_xlfn.TEXTAFTER(A83,"-",-1))</f>
        <v>0125</v>
      </c>
    </row>
    <row r="84" spans="1:25" x14ac:dyDescent="0.4">
      <c r="A84" s="89" t="s">
        <v>202</v>
      </c>
      <c r="B84" s="1" t="s">
        <v>5</v>
      </c>
      <c r="C84" s="3">
        <v>46068</v>
      </c>
      <c r="D84" s="3">
        <v>46078</v>
      </c>
      <c r="E84" s="1">
        <f ca="1">IF(DMRB5[[#This Row],[Move_out ]]="","",TODAY()-DMRB5[[#This Row],[Move_out ]])</f>
        <v>2</v>
      </c>
      <c r="F84" s="90"/>
      <c r="G84" s="1" t="str">
        <f ca="1">IF(DMRB5[[#This Row],[Move_in]]="","",TODAY()-DMRB5[[#This Row],[Move_in]])</f>
        <v/>
      </c>
      <c r="H8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84" s="3">
        <f>IF(DMRB5[[#This Row],[Move_out ]]="","",
IF(OR(DMRB5[[#This Row],[Insp_status ]]="In Progress",DMRB5[[#This Row],[Insp_status ]]="Done",
DMRB5[[#This Row],[Insp_status ]]="Scheduled"),
WORKDAY(DMRB5[[#This Row],[Move_out ]],1),
""))</f>
        <v>46069</v>
      </c>
      <c r="J84" s="1" t="s">
        <v>0</v>
      </c>
      <c r="K84" s="3">
        <f>IF(DMRB5[[#This Row],[Move_out ]]="","",
IF(OR(DMRB5[[#This Row],[Paint_status]]="In Progress",DMRB5[[#This Row],[Paint_status]]="Done",
DMRB5[[#This Row],[Paint_status]]="Scheduled"),
WORKDAY(DMRB5[[#This Row],[Move_out ]],2),
""))</f>
        <v>46070</v>
      </c>
      <c r="L84" s="3" t="s">
        <v>4</v>
      </c>
      <c r="M84" s="3">
        <f>IF(DMRB5[[#This Row],[Move_out ]]="","",
IF(OR(DMRB5[[#This Row],[MR_Status]]="In Progress",DMRB5[[#This Row],[MR_Status]]="Done",
DMRB5[[#This Row],[MR_Status]]="Scheduled"),
WORKDAY(DMRB5[[#This Row],[Move_out ]],3),
""))</f>
        <v>46071</v>
      </c>
      <c r="N84" s="3" t="s">
        <v>3</v>
      </c>
      <c r="O84" s="3">
        <f>IF(DMRB5[[#This Row],[Move_out ]]="","",
IF(OR(DMRB5[[#This Row],[HK_Status]]="In Progress",DMRB5[[#This Row],[HK_Status]]="Done",
DMRB5[[#This Row],[HK_Status]]="Scheduled"),
WORKDAY(DMRB5[[#This Row],[Move_out ]],6),
""))</f>
        <v>46076</v>
      </c>
      <c r="P84" s="3" t="s">
        <v>4</v>
      </c>
      <c r="Q84" s="3">
        <f>IF(DMRB5[[#This Row],[Move_out ]]="","",
IF(OR(DMRB5[[#This Row],[CC_status]]="In Progress",DMRB5[[#This Row],[CC_status]]="Done",
DMRB5[[#This Row],[CC_status]]="Scheduled"),
WORKDAY(DMRB5[[#This Row],[Move_out ]],7),
""))</f>
        <v>46077</v>
      </c>
      <c r="R84" s="3" t="s">
        <v>3</v>
      </c>
      <c r="S84" s="90" t="s">
        <v>126</v>
      </c>
      <c r="T84" s="1" t="s">
        <v>43</v>
      </c>
      <c r="U84" s="1" t="s">
        <v>36</v>
      </c>
      <c r="V84" s="1" t="str">
        <f>IF(TRIM(CLEAN(A84))="","",_xlfn.TEXTBEFORE(_xlfn.TEXTAFTER(A84,"Unit "),"-"))</f>
        <v>7</v>
      </c>
      <c r="W84" s="1" t="str">
        <f>IF(TRIM(CLEAN(A84))="","",_xlfn.TEXTBEFORE(_xlfn.TEXTAFTER(A84,"-"),"-"))</f>
        <v>06</v>
      </c>
      <c r="X84" s="1" t="str">
        <f>IF(TRIM(CLEAN(A84))="","",_xlfn.TEXTAFTER(A84,"-",-1))</f>
        <v>0209</v>
      </c>
    </row>
    <row r="85" spans="1:25" x14ac:dyDescent="0.4">
      <c r="A85" s="4" t="s">
        <v>114</v>
      </c>
      <c r="B85" s="1" t="s">
        <v>5</v>
      </c>
      <c r="C85" s="3">
        <v>46068</v>
      </c>
      <c r="D85" s="3">
        <v>46081</v>
      </c>
      <c r="E85" s="1">
        <f ca="1">IF(DMRB5[[#This Row],[Move_out ]]="","",TODAY()-DMRB5[[#This Row],[Move_out ]])</f>
        <v>2</v>
      </c>
      <c r="F85" s="2"/>
      <c r="G85" s="1" t="str">
        <f ca="1">IF(DMRB5[[#This Row],[Move_in]]="","",TODAY()-DMRB5[[#This Row],[Move_in]])</f>
        <v/>
      </c>
      <c r="H8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85" s="3">
        <f>IF(DMRB5[[#This Row],[Move_out ]]="","",
IF(OR(DMRB5[[#This Row],[Insp_status ]]="In Progress",DMRB5[[#This Row],[Insp_status ]]="Done",
DMRB5[[#This Row],[Insp_status ]]="Scheduled"),
WORKDAY(DMRB5[[#This Row],[Move_out ]],1),
""))</f>
        <v>46069</v>
      </c>
      <c r="J85" s="1" t="s">
        <v>0</v>
      </c>
      <c r="K85" s="3">
        <f>IF(DMRB5[[#This Row],[Move_out ]]="","",
IF(OR(DMRB5[[#This Row],[Paint_status]]="In Progress",DMRB5[[#This Row],[Paint_status]]="Done",
DMRB5[[#This Row],[Paint_status]]="Scheduled"),
WORKDAY(DMRB5[[#This Row],[Move_out ]],2),
""))</f>
        <v>46070</v>
      </c>
      <c r="L85" s="3" t="s">
        <v>4</v>
      </c>
      <c r="M85" s="3">
        <f>IF(DMRB5[[#This Row],[Move_out ]]="","",
IF(OR(DMRB5[[#This Row],[MR_Status]]="In Progress",DMRB5[[#This Row],[MR_Status]]="Done",
DMRB5[[#This Row],[MR_Status]]="Scheduled"),
WORKDAY(DMRB5[[#This Row],[Move_out ]],3),
""))</f>
        <v>46071</v>
      </c>
      <c r="N85" s="1" t="s">
        <v>4</v>
      </c>
      <c r="O85" s="3">
        <f>IF(DMRB5[[#This Row],[Move_out ]]="","",
IF(OR(DMRB5[[#This Row],[HK_Status]]="In Progress",DMRB5[[#This Row],[HK_Status]]="Done",
DMRB5[[#This Row],[HK_Status]]="Scheduled"),
WORKDAY(DMRB5[[#This Row],[Move_out ]],6),
""))</f>
        <v>46076</v>
      </c>
      <c r="P85" s="1" t="s">
        <v>4</v>
      </c>
      <c r="Q85" s="3">
        <f>IF(DMRB5[[#This Row],[Move_out ]]="","",
IF(OR(DMRB5[[#This Row],[CC_status]]="In Progress",DMRB5[[#This Row],[CC_status]]="Done",
DMRB5[[#This Row],[CC_status]]="Scheduled"),
WORKDAY(DMRB5[[#This Row],[Move_out ]],7),
""))</f>
        <v>46077</v>
      </c>
      <c r="R85" s="1" t="s">
        <v>3</v>
      </c>
      <c r="S85" s="2" t="s">
        <v>2</v>
      </c>
      <c r="T85" s="1" t="s">
        <v>43</v>
      </c>
      <c r="U85" s="1" t="s">
        <v>36</v>
      </c>
      <c r="V85" s="1" t="str">
        <f>IF(TRIM(CLEAN(A85))="","",_xlfn.TEXTBEFORE(_xlfn.TEXTAFTER(A85,"Unit "),"-"))</f>
        <v>5</v>
      </c>
      <c r="W85" s="1" t="str">
        <f>IF(TRIM(CLEAN(A85))="","",_xlfn.TEXTBEFORE(_xlfn.TEXTAFTER(A85,"-"),"-"))</f>
        <v>03</v>
      </c>
      <c r="X85" s="1" t="str">
        <f>IF(TRIM(CLEAN(A85))="","",_xlfn.TEXTAFTER(A85,"-",-1))</f>
        <v>0227</v>
      </c>
      <c r="Y85" s="52" t="s">
        <v>124</v>
      </c>
    </row>
    <row r="86" spans="1:25" x14ac:dyDescent="0.4">
      <c r="A86" s="4" t="s">
        <v>112</v>
      </c>
      <c r="B86" s="1" t="s">
        <v>5</v>
      </c>
      <c r="C86" s="3">
        <v>46068</v>
      </c>
      <c r="D86" s="3">
        <v>46078</v>
      </c>
      <c r="E86" s="1">
        <f ca="1">IF(DMRB5[[#This Row],[Move_out ]]="","",TODAY()-DMRB5[[#This Row],[Move_out ]])</f>
        <v>2</v>
      </c>
      <c r="F86" s="2"/>
      <c r="G86" s="1" t="str">
        <f ca="1">IF(DMRB5[[#This Row],[Move_in]]="","",TODAY()-DMRB5[[#This Row],[Move_in]])</f>
        <v/>
      </c>
      <c r="H8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VACANT</v>
      </c>
      <c r="I86" s="3">
        <f>IF(DMRB5[[#This Row],[Move_out ]]="","",
IF(OR(DMRB5[[#This Row],[Insp_status ]]="In Progress",DMRB5[[#This Row],[Insp_status ]]="Done",
DMRB5[[#This Row],[Insp_status ]]="Scheduled"),
WORKDAY(DMRB5[[#This Row],[Move_out ]],1),
""))</f>
        <v>46069</v>
      </c>
      <c r="J86" s="1" t="s">
        <v>3</v>
      </c>
      <c r="K86" s="3">
        <f>IF(DMRB5[[#This Row],[Move_out ]]="","",
IF(OR(DMRB5[[#This Row],[Paint_status]]="In Progress",DMRB5[[#This Row],[Paint_status]]="Done",
DMRB5[[#This Row],[Paint_status]]="Scheduled"),
WORKDAY(DMRB5[[#This Row],[Move_out ]],2),
""))</f>
        <v>46070</v>
      </c>
      <c r="L86" s="1" t="s">
        <v>3</v>
      </c>
      <c r="M86" s="3">
        <f>IF(DMRB5[[#This Row],[Move_out ]]="","",
IF(OR(DMRB5[[#This Row],[MR_Status]]="In Progress",DMRB5[[#This Row],[MR_Status]]="Done",
DMRB5[[#This Row],[MR_Status]]="Scheduled"),
WORKDAY(DMRB5[[#This Row],[Move_out ]],3),
""))</f>
        <v>46071</v>
      </c>
      <c r="N86" s="1" t="s">
        <v>3</v>
      </c>
      <c r="O86" s="3">
        <f>IF(DMRB5[[#This Row],[Move_out ]]="","",
IF(OR(DMRB5[[#This Row],[HK_Status]]="In Progress",DMRB5[[#This Row],[HK_Status]]="Done",
DMRB5[[#This Row],[HK_Status]]="Scheduled"),
WORKDAY(DMRB5[[#This Row],[Move_out ]],6),
""))</f>
        <v>46076</v>
      </c>
      <c r="P86" s="1" t="s">
        <v>3</v>
      </c>
      <c r="Q86" s="3">
        <f>IF(DMRB5[[#This Row],[Move_out ]]="","",
IF(OR(DMRB5[[#This Row],[CC_status]]="In Progress",DMRB5[[#This Row],[CC_status]]="Done",
DMRB5[[#This Row],[CC_status]]="Scheduled"),
WORKDAY(DMRB5[[#This Row],[Move_out ]],7),
""))</f>
        <v>46077</v>
      </c>
      <c r="R86" s="1" t="s">
        <v>3</v>
      </c>
      <c r="S86" s="2" t="s">
        <v>39</v>
      </c>
      <c r="T86" s="1"/>
      <c r="U86" s="1" t="s">
        <v>36</v>
      </c>
      <c r="V86" s="1" t="str">
        <f>IF(TRIM(CLEAN(A86))="","",_xlfn.TEXTBEFORE(_xlfn.TEXTAFTER(A86,"Unit "),"-"))</f>
        <v>7</v>
      </c>
      <c r="W86" s="1" t="str">
        <f>IF(TRIM(CLEAN(A86))="","",_xlfn.TEXTBEFORE(_xlfn.TEXTAFTER(A86,"-"),"-"))</f>
        <v>10</v>
      </c>
      <c r="X86" s="1" t="str">
        <f>IF(TRIM(CLEAN(A86))="","",_xlfn.TEXTAFTER(A86,"-",-1))</f>
        <v>0107</v>
      </c>
    </row>
    <row r="87" spans="1:25" hidden="1" x14ac:dyDescent="0.4">
      <c r="A87" s="4" t="s">
        <v>115</v>
      </c>
      <c r="B87" s="1" t="s">
        <v>34</v>
      </c>
      <c r="C87" s="3">
        <v>46071</v>
      </c>
      <c r="D87" s="3">
        <v>46081</v>
      </c>
      <c r="E87" s="1">
        <f ca="1">IF(DMRB5[[#This Row],[Move_out ]]="","",TODAY()-DMRB5[[#This Row],[Move_out ]])</f>
        <v>-1</v>
      </c>
      <c r="F87" s="2"/>
      <c r="G87" s="1" t="str">
        <f ca="1">IF(DMRB5[[#This Row],[Move_in]]="","",TODAY()-DMRB5[[#This Row],[Move_in]])</f>
        <v/>
      </c>
      <c r="H8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87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87" s="1" t="s">
        <v>38</v>
      </c>
      <c r="K87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87" s="1" t="s">
        <v>38</v>
      </c>
      <c r="M87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87" s="1" t="s">
        <v>38</v>
      </c>
      <c r="O87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87" s="1" t="s">
        <v>38</v>
      </c>
      <c r="Q87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87" s="1" t="s">
        <v>38</v>
      </c>
      <c r="S87" s="2" t="s">
        <v>2</v>
      </c>
      <c r="T87" s="1"/>
      <c r="U87" s="1" t="s">
        <v>36</v>
      </c>
      <c r="V87" s="1" t="str">
        <f>IF(TRIM(CLEAN(A87))="","",_xlfn.TEXTBEFORE(_xlfn.TEXTAFTER(A87,"Unit "),"-"))</f>
        <v>5</v>
      </c>
      <c r="W87" s="1" t="str">
        <f>IF(TRIM(CLEAN(A87))="","",_xlfn.TEXTBEFORE(_xlfn.TEXTAFTER(A87,"-"),"-"))</f>
        <v>10</v>
      </c>
      <c r="X87" s="1" t="str">
        <f>IF(TRIM(CLEAN(A87))="","",_xlfn.TEXTAFTER(A87,"-",-1))</f>
        <v>0203</v>
      </c>
    </row>
    <row r="88" spans="1:25" hidden="1" x14ac:dyDescent="0.4">
      <c r="A88" s="88" t="s">
        <v>155</v>
      </c>
      <c r="B88" s="1" t="s">
        <v>34</v>
      </c>
      <c r="C88" s="3">
        <v>46076</v>
      </c>
      <c r="D88" s="3">
        <v>46088</v>
      </c>
      <c r="E88" s="1">
        <f ca="1">IF(DMRB5[[#This Row],[Move_out ]]="","",TODAY()-DMRB5[[#This Row],[Move_out ]])</f>
        <v>-6</v>
      </c>
      <c r="F88" s="2"/>
      <c r="G88" s="1" t="str">
        <f ca="1">IF(DMRB5[[#This Row],[Move_in]]="","",TODAY()-DMRB5[[#This Row],[Move_in]])</f>
        <v/>
      </c>
      <c r="H8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88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88" s="1" t="s">
        <v>38</v>
      </c>
      <c r="K88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88" s="1" t="s">
        <v>38</v>
      </c>
      <c r="M88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88" s="1" t="s">
        <v>38</v>
      </c>
      <c r="O88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88" s="1" t="s">
        <v>38</v>
      </c>
      <c r="Q88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88" s="1" t="s">
        <v>38</v>
      </c>
      <c r="S88" s="2" t="s">
        <v>2</v>
      </c>
      <c r="U88" s="1" t="s">
        <v>36</v>
      </c>
      <c r="V88" s="1" t="str">
        <f>IF(TRIM(CLEAN(A88))="","",_xlfn.TEXTBEFORE(_xlfn.TEXTAFTER(A88,"Unit "),"-"))</f>
        <v>5</v>
      </c>
      <c r="W88" s="1" t="str">
        <f>IF(TRIM(CLEAN(A88))="","",_xlfn.TEXTBEFORE(_xlfn.TEXTAFTER(A88,"-"),"-"))</f>
        <v>17</v>
      </c>
      <c r="X88" s="1" t="str">
        <f>IF(TRIM(CLEAN(A88))="","",_xlfn.TEXTAFTER(A88,"-",-1))</f>
        <v>0204</v>
      </c>
    </row>
    <row r="89" spans="1:25" hidden="1" x14ac:dyDescent="0.4">
      <c r="A89" s="4" t="s">
        <v>119</v>
      </c>
      <c r="B89" s="1" t="s">
        <v>34</v>
      </c>
      <c r="C89" s="3">
        <v>46078</v>
      </c>
      <c r="D89" s="3">
        <v>46086</v>
      </c>
      <c r="E89" s="1">
        <f ca="1">IF(DMRB5[[#This Row],[Move_out ]]="","",TODAY()-DMRB5[[#This Row],[Move_out ]])</f>
        <v>-8</v>
      </c>
      <c r="F89" s="2"/>
      <c r="G89" s="1" t="str">
        <f ca="1">IF(DMRB5[[#This Row],[Move_in]]="","",TODAY()-DMRB5[[#This Row],[Move_in]])</f>
        <v/>
      </c>
      <c r="H8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89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89" s="1" t="s">
        <v>38</v>
      </c>
      <c r="K89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89" s="1" t="s">
        <v>38</v>
      </c>
      <c r="M89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89" s="1" t="s">
        <v>38</v>
      </c>
      <c r="O89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89" s="1" t="s">
        <v>38</v>
      </c>
      <c r="Q89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89" s="1" t="s">
        <v>38</v>
      </c>
      <c r="S89" s="2" t="s">
        <v>39</v>
      </c>
      <c r="T89" s="1"/>
      <c r="U89" s="1" t="s">
        <v>36</v>
      </c>
      <c r="V89" s="1" t="str">
        <f>IF(TRIM(CLEAN(A89))="","",_xlfn.TEXTBEFORE(_xlfn.TEXTAFTER(A89,"Unit "),"-"))</f>
        <v>7</v>
      </c>
      <c r="W89" s="1" t="str">
        <f>IF(TRIM(CLEAN(A89))="","",_xlfn.TEXTBEFORE(_xlfn.TEXTAFTER(A89,"-"),"-"))</f>
        <v>07</v>
      </c>
      <c r="X89" s="1" t="str">
        <f>IF(TRIM(CLEAN(A89))="","",_xlfn.TEXTAFTER(A89,"-",-1))</f>
        <v>0107</v>
      </c>
    </row>
    <row r="90" spans="1:25" hidden="1" x14ac:dyDescent="0.4">
      <c r="A90" s="4" t="s">
        <v>120</v>
      </c>
      <c r="B90" s="1" t="s">
        <v>34</v>
      </c>
      <c r="C90" s="3">
        <v>46081</v>
      </c>
      <c r="D90" s="3">
        <v>46089</v>
      </c>
      <c r="E90" s="1">
        <f ca="1">IF(DMRB5[[#This Row],[Move_out ]]="","",TODAY()-DMRB5[[#This Row],[Move_out ]])</f>
        <v>-11</v>
      </c>
      <c r="F90" s="2"/>
      <c r="G90" s="1" t="str">
        <f ca="1">IF(DMRB5[[#This Row],[Move_in]]="","",TODAY()-DMRB5[[#This Row],[Move_in]])</f>
        <v/>
      </c>
      <c r="H9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90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90" s="1" t="s">
        <v>38</v>
      </c>
      <c r="K90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90" s="1" t="s">
        <v>38</v>
      </c>
      <c r="M90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90" s="1" t="s">
        <v>38</v>
      </c>
      <c r="O90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90" s="1" t="s">
        <v>38</v>
      </c>
      <c r="Q90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90" s="1" t="s">
        <v>38</v>
      </c>
      <c r="S90" s="2" t="s">
        <v>39</v>
      </c>
      <c r="T90" s="1"/>
      <c r="U90" s="1" t="s">
        <v>36</v>
      </c>
      <c r="V90" s="1" t="str">
        <f>IF(TRIM(CLEAN(A90))="","",_xlfn.TEXTBEFORE(_xlfn.TEXTAFTER(A90,"Unit "),"-"))</f>
        <v>7</v>
      </c>
      <c r="W90" s="1" t="str">
        <f>IF(TRIM(CLEAN(A90))="","",_xlfn.TEXTBEFORE(_xlfn.TEXTAFTER(A90,"-"),"-"))</f>
        <v>10</v>
      </c>
      <c r="X90" s="1" t="str">
        <f>IF(TRIM(CLEAN(A90))="","",_xlfn.TEXTAFTER(A90,"-",-1))</f>
        <v>0203</v>
      </c>
    </row>
    <row r="91" spans="1:25" hidden="1" x14ac:dyDescent="0.4">
      <c r="A91" s="88" t="s">
        <v>156</v>
      </c>
      <c r="B91" s="1" t="s">
        <v>34</v>
      </c>
      <c r="C91" s="3">
        <v>46082</v>
      </c>
      <c r="D91" s="3">
        <v>46095</v>
      </c>
      <c r="E91" s="1">
        <f ca="1">IF(DMRB5[[#This Row],[Move_out ]]="","",TODAY()-DMRB5[[#This Row],[Move_out ]])</f>
        <v>-12</v>
      </c>
      <c r="F91" s="2"/>
      <c r="G91" s="1" t="str">
        <f ca="1">IF(DMRB5[[#This Row],[Move_in]]="","",TODAY()-DMRB5[[#This Row],[Move_in]])</f>
        <v/>
      </c>
      <c r="H9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91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91" s="1" t="s">
        <v>38</v>
      </c>
      <c r="K91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91" s="1" t="s">
        <v>38</v>
      </c>
      <c r="M91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91" s="1" t="s">
        <v>38</v>
      </c>
      <c r="O91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91" s="1" t="s">
        <v>38</v>
      </c>
      <c r="Q91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91" s="1" t="s">
        <v>38</v>
      </c>
      <c r="S91" s="2" t="s">
        <v>42</v>
      </c>
      <c r="U91" s="1" t="s">
        <v>36</v>
      </c>
      <c r="V91" s="1" t="str">
        <f>IF(TRIM(CLEAN(A91))="","",_xlfn.TEXTBEFORE(_xlfn.TEXTAFTER(A91,"Unit "),"-"))</f>
        <v>8</v>
      </c>
      <c r="W91" s="1" t="str">
        <f>IF(TRIM(CLEAN(A91))="","",_xlfn.TEXTBEFORE(_xlfn.TEXTAFTER(A91,"-"),"-"))</f>
        <v>01</v>
      </c>
      <c r="X91" s="1" t="str">
        <f>IF(TRIM(CLEAN(A91))="","",_xlfn.TEXTAFTER(A91,"-",-1))</f>
        <v>1001</v>
      </c>
    </row>
    <row r="92" spans="1:25" hidden="1" x14ac:dyDescent="0.4">
      <c r="A92" s="88" t="s">
        <v>157</v>
      </c>
      <c r="B92" s="1" t="s">
        <v>34</v>
      </c>
      <c r="C92" s="3">
        <v>46082</v>
      </c>
      <c r="D92" s="3">
        <v>46095</v>
      </c>
      <c r="E92" s="1">
        <f ca="1">IF(DMRB5[[#This Row],[Move_out ]]="","",TODAY()-DMRB5[[#This Row],[Move_out ]])</f>
        <v>-12</v>
      </c>
      <c r="F92" s="2"/>
      <c r="G92" s="1" t="str">
        <f ca="1">IF(DMRB5[[#This Row],[Move_in]]="","",TODAY()-DMRB5[[#This Row],[Move_in]])</f>
        <v/>
      </c>
      <c r="H9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92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92" s="1" t="s">
        <v>38</v>
      </c>
      <c r="K92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92" s="1" t="s">
        <v>38</v>
      </c>
      <c r="M92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92" s="1" t="s">
        <v>38</v>
      </c>
      <c r="O92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92" s="1" t="s">
        <v>38</v>
      </c>
      <c r="Q92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92" s="1" t="s">
        <v>38</v>
      </c>
      <c r="S92" s="2" t="s">
        <v>42</v>
      </c>
      <c r="U92" s="1" t="s">
        <v>36</v>
      </c>
      <c r="V92" s="1" t="str">
        <f>IF(TRIM(CLEAN(A92))="","",_xlfn.TEXTBEFORE(_xlfn.TEXTAFTER(A92,"Unit "),"-"))</f>
        <v>8</v>
      </c>
      <c r="W92" s="1" t="str">
        <f>IF(TRIM(CLEAN(A92))="","",_xlfn.TEXTBEFORE(_xlfn.TEXTAFTER(A92,"-"),"-"))</f>
        <v>01</v>
      </c>
      <c r="X92" s="1" t="str">
        <f>IF(TRIM(CLEAN(A92))="","",_xlfn.TEXTAFTER(A92,"-",-1))</f>
        <v>2011</v>
      </c>
    </row>
    <row r="93" spans="1:25" hidden="1" x14ac:dyDescent="0.4">
      <c r="A93" s="88" t="s">
        <v>158</v>
      </c>
      <c r="B93" s="1" t="s">
        <v>34</v>
      </c>
      <c r="C93" s="3">
        <v>46083</v>
      </c>
      <c r="D93" s="3">
        <v>46095</v>
      </c>
      <c r="E93" s="1">
        <f ca="1">IF(DMRB5[[#This Row],[Move_out ]]="","",TODAY()-DMRB5[[#This Row],[Move_out ]])</f>
        <v>-13</v>
      </c>
      <c r="F93" s="2"/>
      <c r="G93" s="1" t="str">
        <f ca="1">IF(DMRB5[[#This Row],[Move_in]]="","",TODAY()-DMRB5[[#This Row],[Move_in]])</f>
        <v/>
      </c>
      <c r="H9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93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93" s="1" t="s">
        <v>38</v>
      </c>
      <c r="K93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93" s="1" t="s">
        <v>38</v>
      </c>
      <c r="M93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93" s="1" t="s">
        <v>38</v>
      </c>
      <c r="O93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93" s="1" t="s">
        <v>38</v>
      </c>
      <c r="Q93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93" s="1" t="s">
        <v>38</v>
      </c>
      <c r="S93" s="2" t="s">
        <v>2</v>
      </c>
      <c r="U93" s="1" t="s">
        <v>36</v>
      </c>
      <c r="V93" s="1" t="str">
        <f>IF(TRIM(CLEAN(A93))="","",_xlfn.TEXTBEFORE(_xlfn.TEXTAFTER(A93,"Unit "),"-"))</f>
        <v>5</v>
      </c>
      <c r="W93" s="1" t="str">
        <f>IF(TRIM(CLEAN(A93))="","",_xlfn.TEXTBEFORE(_xlfn.TEXTAFTER(A93,"-"),"-"))</f>
        <v>18</v>
      </c>
      <c r="X93" s="1" t="str">
        <f>IF(TRIM(CLEAN(A93))="","",_xlfn.TEXTAFTER(A93,"-",-1))</f>
        <v>0439</v>
      </c>
    </row>
    <row r="94" spans="1:25" hidden="1" x14ac:dyDescent="0.4">
      <c r="A94" s="4" t="s">
        <v>121</v>
      </c>
      <c r="B94" s="1" t="s">
        <v>34</v>
      </c>
      <c r="C94" s="3">
        <v>46085</v>
      </c>
      <c r="D94" s="3">
        <v>46095</v>
      </c>
      <c r="E94" s="1">
        <f ca="1">IF(DMRB5[[#This Row],[Move_out ]]="","",TODAY()-DMRB5[[#This Row],[Move_out ]])</f>
        <v>-15</v>
      </c>
      <c r="F94" s="2"/>
      <c r="G94" s="1" t="str">
        <f ca="1">IF(DMRB5[[#This Row],[Move_in]]="","",TODAY()-DMRB5[[#This Row],[Move_in]])</f>
        <v/>
      </c>
      <c r="H9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94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94" s="1" t="s">
        <v>38</v>
      </c>
      <c r="K94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94" s="1" t="s">
        <v>38</v>
      </c>
      <c r="M94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94" s="1" t="s">
        <v>38</v>
      </c>
      <c r="O94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94" s="1" t="s">
        <v>38</v>
      </c>
      <c r="Q94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94" s="1" t="s">
        <v>38</v>
      </c>
      <c r="S94" s="2" t="s">
        <v>39</v>
      </c>
      <c r="T94" s="1"/>
      <c r="U94" s="1" t="s">
        <v>36</v>
      </c>
      <c r="V94" s="1" t="str">
        <f>IF(TRIM(CLEAN(A94))="","",_xlfn.TEXTBEFORE(_xlfn.TEXTAFTER(A94,"Unit "),"-"))</f>
        <v>7</v>
      </c>
      <c r="W94" s="1" t="str">
        <f>IF(TRIM(CLEAN(A94))="","",_xlfn.TEXTBEFORE(_xlfn.TEXTAFTER(A94,"-"),"-"))</f>
        <v>04</v>
      </c>
      <c r="X94" s="1" t="str">
        <f>IF(TRIM(CLEAN(A94))="","",_xlfn.TEXTAFTER(A94,"-",-1))</f>
        <v>0305</v>
      </c>
    </row>
    <row r="95" spans="1:25" hidden="1" x14ac:dyDescent="0.4">
      <c r="A95" s="4" t="s">
        <v>122</v>
      </c>
      <c r="B95" s="1" t="s">
        <v>34</v>
      </c>
      <c r="C95" s="3">
        <v>46087</v>
      </c>
      <c r="D95" s="3">
        <v>46097</v>
      </c>
      <c r="E95" s="1">
        <f ca="1">IF(DMRB5[[#This Row],[Move_out ]]="","",TODAY()-DMRB5[[#This Row],[Move_out ]])</f>
        <v>-17</v>
      </c>
      <c r="F95" s="2"/>
      <c r="G95" s="1" t="str">
        <f ca="1">IF(DMRB5[[#This Row],[Move_in]]="","",TODAY()-DMRB5[[#This Row],[Move_in]])</f>
        <v/>
      </c>
      <c r="H9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95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95" s="1" t="s">
        <v>38</v>
      </c>
      <c r="K95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95" s="1" t="s">
        <v>38</v>
      </c>
      <c r="M95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95" s="1" t="s">
        <v>38</v>
      </c>
      <c r="O95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95" s="1" t="s">
        <v>38</v>
      </c>
      <c r="Q95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95" s="1" t="s">
        <v>38</v>
      </c>
      <c r="S95" s="2" t="s">
        <v>39</v>
      </c>
      <c r="T95" s="1"/>
      <c r="U95" s="1" t="s">
        <v>36</v>
      </c>
      <c r="V95" s="1" t="str">
        <f>IF(TRIM(CLEAN(A95))="","",_xlfn.TEXTBEFORE(_xlfn.TEXTAFTER(A95,"Unit "),"-"))</f>
        <v>7</v>
      </c>
      <c r="W95" s="1" t="str">
        <f>IF(TRIM(CLEAN(A95))="","",_xlfn.TEXTBEFORE(_xlfn.TEXTAFTER(A95,"-"),"-"))</f>
        <v>04</v>
      </c>
      <c r="X95" s="1" t="str">
        <f>IF(TRIM(CLEAN(A95))="","",_xlfn.TEXTAFTER(A95,"-",-1))</f>
        <v>0311</v>
      </c>
    </row>
    <row r="96" spans="1:25" hidden="1" x14ac:dyDescent="0.4">
      <c r="A96" s="88" t="s">
        <v>159</v>
      </c>
      <c r="B96" s="1" t="s">
        <v>34</v>
      </c>
      <c r="C96" s="3">
        <v>46090</v>
      </c>
      <c r="D96" s="3">
        <v>46102</v>
      </c>
      <c r="E96" s="1">
        <f ca="1">IF(DMRB5[[#This Row],[Move_out ]]="","",TODAY()-DMRB5[[#This Row],[Move_out ]])</f>
        <v>-20</v>
      </c>
      <c r="F96" s="2"/>
      <c r="G96" s="1" t="str">
        <f ca="1">IF(DMRB5[[#This Row],[Move_in]]="","",TODAY()-DMRB5[[#This Row],[Move_in]])</f>
        <v/>
      </c>
      <c r="H9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96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96" s="1" t="s">
        <v>38</v>
      </c>
      <c r="K96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96" s="1" t="s">
        <v>38</v>
      </c>
      <c r="M96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96" s="1" t="s">
        <v>38</v>
      </c>
      <c r="O96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96" s="1" t="s">
        <v>38</v>
      </c>
      <c r="Q96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96" s="1" t="s">
        <v>38</v>
      </c>
      <c r="S96" s="2" t="s">
        <v>39</v>
      </c>
      <c r="U96" s="1" t="s">
        <v>36</v>
      </c>
      <c r="V96" s="1" t="str">
        <f>IF(TRIM(CLEAN(A96))="","",_xlfn.TEXTBEFORE(_xlfn.TEXTAFTER(A96,"Unit "),"-"))</f>
        <v>7</v>
      </c>
      <c r="W96" s="1" t="str">
        <f>IF(TRIM(CLEAN(A96))="","",_xlfn.TEXTBEFORE(_xlfn.TEXTAFTER(A96,"-"),"-"))</f>
        <v>10</v>
      </c>
      <c r="X96" s="1" t="str">
        <f>IF(TRIM(CLEAN(A96))="","",_xlfn.TEXTAFTER(A96,"-",-1))</f>
        <v>0101</v>
      </c>
    </row>
    <row r="97" spans="1:24" hidden="1" x14ac:dyDescent="0.4">
      <c r="A97" s="88" t="s">
        <v>160</v>
      </c>
      <c r="B97" s="1" t="s">
        <v>34</v>
      </c>
      <c r="C97" s="3">
        <v>46090</v>
      </c>
      <c r="D97" s="3">
        <v>46102</v>
      </c>
      <c r="E97" s="1">
        <f ca="1">IF(DMRB5[[#This Row],[Move_out ]]="","",TODAY()-DMRB5[[#This Row],[Move_out ]])</f>
        <v>-20</v>
      </c>
      <c r="F97" s="2"/>
      <c r="G97" s="1" t="str">
        <f ca="1">IF(DMRB5[[#This Row],[Move_in]]="","",TODAY()-DMRB5[[#This Row],[Move_in]])</f>
        <v/>
      </c>
      <c r="H9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97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97" s="1" t="s">
        <v>38</v>
      </c>
      <c r="K97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97" s="1" t="s">
        <v>38</v>
      </c>
      <c r="M97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97" s="1" t="s">
        <v>38</v>
      </c>
      <c r="O97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97" s="1" t="s">
        <v>38</v>
      </c>
      <c r="Q97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97" s="1" t="s">
        <v>38</v>
      </c>
      <c r="S97" s="2" t="s">
        <v>39</v>
      </c>
      <c r="U97" s="1" t="s">
        <v>36</v>
      </c>
      <c r="V97" s="1" t="str">
        <f>IF(TRIM(CLEAN(A97))="","",_xlfn.TEXTBEFORE(_xlfn.TEXTAFTER(A97,"Unit "),"-"))</f>
        <v>7</v>
      </c>
      <c r="W97" s="1" t="str">
        <f>IF(TRIM(CLEAN(A97))="","",_xlfn.TEXTBEFORE(_xlfn.TEXTAFTER(A97,"-"),"-"))</f>
        <v>TH1</v>
      </c>
      <c r="X97" s="1" t="str">
        <f>IF(TRIM(CLEAN(A97))="","",_xlfn.TEXTAFTER(A97,"-",-1))</f>
        <v>0102</v>
      </c>
    </row>
    <row r="98" spans="1:24" hidden="1" x14ac:dyDescent="0.4">
      <c r="A98" s="88" t="s">
        <v>161</v>
      </c>
      <c r="B98" s="1" t="s">
        <v>34</v>
      </c>
      <c r="C98" s="3">
        <v>46091</v>
      </c>
      <c r="D98" s="3">
        <v>46105</v>
      </c>
      <c r="E98" s="1">
        <f ca="1">IF(DMRB5[[#This Row],[Move_out ]]="","",TODAY()-DMRB5[[#This Row],[Move_out ]])</f>
        <v>-21</v>
      </c>
      <c r="F98" s="2"/>
      <c r="G98" s="1" t="str">
        <f ca="1">IF(DMRB5[[#This Row],[Move_in]]="","",TODAY()-DMRB5[[#This Row],[Move_in]])</f>
        <v/>
      </c>
      <c r="H9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98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98" s="1" t="s">
        <v>38</v>
      </c>
      <c r="K98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98" s="1" t="s">
        <v>38</v>
      </c>
      <c r="M98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98" s="1" t="s">
        <v>38</v>
      </c>
      <c r="O98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98" s="1" t="s">
        <v>38</v>
      </c>
      <c r="Q98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98" s="1" t="s">
        <v>38</v>
      </c>
      <c r="S98" s="2" t="s">
        <v>39</v>
      </c>
      <c r="U98" s="1" t="s">
        <v>36</v>
      </c>
      <c r="V98" s="1" t="str">
        <f>IF(TRIM(CLEAN(A98))="","",_xlfn.TEXTBEFORE(_xlfn.TEXTAFTER(A98,"Unit "),"-"))</f>
        <v>7</v>
      </c>
      <c r="W98" s="1" t="str">
        <f>IF(TRIM(CLEAN(A98))="","",_xlfn.TEXTBEFORE(_xlfn.TEXTAFTER(A98,"-"),"-"))</f>
        <v>03</v>
      </c>
      <c r="X98" s="1" t="str">
        <f>IF(TRIM(CLEAN(A98))="","",_xlfn.TEXTAFTER(A98,"-",-1))</f>
        <v>0304</v>
      </c>
    </row>
    <row r="99" spans="1:24" hidden="1" x14ac:dyDescent="0.4">
      <c r="A99" s="88" t="s">
        <v>162</v>
      </c>
      <c r="B99" s="1" t="s">
        <v>34</v>
      </c>
      <c r="C99" s="3">
        <v>46092</v>
      </c>
      <c r="D99" s="3">
        <v>46106</v>
      </c>
      <c r="E99" s="1">
        <f ca="1">IF(DMRB5[[#This Row],[Move_out ]]="","",TODAY()-DMRB5[[#This Row],[Move_out ]])</f>
        <v>-22</v>
      </c>
      <c r="F99" s="2"/>
      <c r="G99" s="1" t="str">
        <f ca="1">IF(DMRB5[[#This Row],[Move_in]]="","",TODAY()-DMRB5[[#This Row],[Move_in]])</f>
        <v/>
      </c>
      <c r="H9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99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99" s="1" t="s">
        <v>38</v>
      </c>
      <c r="K99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99" s="1" t="s">
        <v>38</v>
      </c>
      <c r="M99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99" s="1" t="s">
        <v>38</v>
      </c>
      <c r="O99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99" s="1" t="s">
        <v>38</v>
      </c>
      <c r="Q99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99" s="1" t="s">
        <v>38</v>
      </c>
      <c r="S99" s="2" t="s">
        <v>42</v>
      </c>
      <c r="U99" s="1" t="s">
        <v>36</v>
      </c>
      <c r="V99" s="1" t="str">
        <f>IF(TRIM(CLEAN(A99))="","",_xlfn.TEXTBEFORE(_xlfn.TEXTAFTER(A99,"Unit "),"-"))</f>
        <v>8</v>
      </c>
      <c r="W99" s="1" t="str">
        <f>IF(TRIM(CLEAN(A99))="","",_xlfn.TEXTBEFORE(_xlfn.TEXTAFTER(A99,"-"),"-"))</f>
        <v>01</v>
      </c>
      <c r="X99" s="1" t="str">
        <f>IF(TRIM(CLEAN(A99))="","",_xlfn.TEXTAFTER(A99,"-",-1))</f>
        <v>3030</v>
      </c>
    </row>
    <row r="100" spans="1:24" hidden="1" x14ac:dyDescent="0.4">
      <c r="A100" s="88" t="s">
        <v>163</v>
      </c>
      <c r="B100" s="1" t="s">
        <v>34</v>
      </c>
      <c r="C100" s="3">
        <v>46093</v>
      </c>
      <c r="D100" s="3">
        <v>46107</v>
      </c>
      <c r="E100" s="1">
        <f ca="1">IF(DMRB5[[#This Row],[Move_out ]]="","",TODAY()-DMRB5[[#This Row],[Move_out ]])</f>
        <v>-23</v>
      </c>
      <c r="F100" s="2"/>
      <c r="G100" s="1" t="str">
        <f ca="1">IF(DMRB5[[#This Row],[Move_in]]="","",TODAY()-DMRB5[[#This Row],[Move_in]])</f>
        <v/>
      </c>
      <c r="H10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0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0" s="1" t="s">
        <v>38</v>
      </c>
      <c r="K100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0" s="1" t="s">
        <v>38</v>
      </c>
      <c r="M100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0" s="1" t="s">
        <v>38</v>
      </c>
      <c r="O100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0" s="1" t="s">
        <v>38</v>
      </c>
      <c r="Q100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0" s="1" t="s">
        <v>38</v>
      </c>
      <c r="S100" s="2" t="s">
        <v>42</v>
      </c>
      <c r="U100" s="1" t="s">
        <v>36</v>
      </c>
      <c r="V100" s="1" t="str">
        <f>IF(TRIM(CLEAN(A100))="","",_xlfn.TEXTBEFORE(_xlfn.TEXTAFTER(A100,"Unit "),"-"))</f>
        <v>8</v>
      </c>
      <c r="W100" s="1" t="str">
        <f>IF(TRIM(CLEAN(A100))="","",_xlfn.TEXTBEFORE(_xlfn.TEXTAFTER(A100,"-"),"-"))</f>
        <v>01</v>
      </c>
      <c r="X100" s="1" t="str">
        <f>IF(TRIM(CLEAN(A100))="","",_xlfn.TEXTAFTER(A100,"-",-1))</f>
        <v>2007</v>
      </c>
    </row>
    <row r="101" spans="1:24" hidden="1" x14ac:dyDescent="0.4">
      <c r="A101" s="88" t="s">
        <v>164</v>
      </c>
      <c r="B101" s="1" t="s">
        <v>34</v>
      </c>
      <c r="C101" s="3">
        <v>46098</v>
      </c>
      <c r="D101" s="3">
        <v>46112</v>
      </c>
      <c r="E101" s="1">
        <f ca="1">IF(DMRB5[[#This Row],[Move_out ]]="","",TODAY()-DMRB5[[#This Row],[Move_out ]])</f>
        <v>-28</v>
      </c>
      <c r="F101" s="2"/>
      <c r="G101" s="1" t="str">
        <f ca="1">IF(DMRB5[[#This Row],[Move_in]]="","",TODAY()-DMRB5[[#This Row],[Move_in]])</f>
        <v/>
      </c>
      <c r="H10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1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1" s="1" t="s">
        <v>38</v>
      </c>
      <c r="K101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1" s="1" t="s">
        <v>38</v>
      </c>
      <c r="M101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1" s="1" t="s">
        <v>38</v>
      </c>
      <c r="O101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1" s="1" t="s">
        <v>38</v>
      </c>
      <c r="Q101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1" s="1" t="s">
        <v>38</v>
      </c>
      <c r="S101" s="2" t="s">
        <v>2</v>
      </c>
      <c r="U101" s="1" t="s">
        <v>36</v>
      </c>
      <c r="V101" s="1" t="str">
        <f>IF(TRIM(CLEAN(A101))="","",_xlfn.TEXTBEFORE(_xlfn.TEXTAFTER(A101,"Unit "),"-"))</f>
        <v>5</v>
      </c>
      <c r="W101" s="1" t="str">
        <f>IF(TRIM(CLEAN(A101))="","",_xlfn.TEXTBEFORE(_xlfn.TEXTAFTER(A101,"-"),"-"))</f>
        <v>13</v>
      </c>
      <c r="X101" s="1" t="str">
        <f>IF(TRIM(CLEAN(A101))="","",_xlfn.TEXTAFTER(A101,"-",-1))</f>
        <v>0305</v>
      </c>
    </row>
    <row r="102" spans="1:24" hidden="1" x14ac:dyDescent="0.4">
      <c r="A102" s="88" t="s">
        <v>165</v>
      </c>
      <c r="B102" s="1" t="s">
        <v>34</v>
      </c>
      <c r="C102" s="3">
        <v>46099</v>
      </c>
      <c r="D102" s="3">
        <v>46113</v>
      </c>
      <c r="E102" s="1">
        <f ca="1">IF(DMRB5[[#This Row],[Move_out ]]="","",TODAY()-DMRB5[[#This Row],[Move_out ]])</f>
        <v>-29</v>
      </c>
      <c r="F102" s="2"/>
      <c r="G102" s="1" t="str">
        <f ca="1">IF(DMRB5[[#This Row],[Move_in]]="","",TODAY()-DMRB5[[#This Row],[Move_in]])</f>
        <v/>
      </c>
      <c r="H10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2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2" s="1" t="s">
        <v>38</v>
      </c>
      <c r="K102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2" s="1" t="s">
        <v>38</v>
      </c>
      <c r="M102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2" s="1" t="s">
        <v>38</v>
      </c>
      <c r="O102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2" s="1" t="s">
        <v>38</v>
      </c>
      <c r="Q102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2" s="1" t="s">
        <v>38</v>
      </c>
      <c r="S102" s="2" t="s">
        <v>2</v>
      </c>
      <c r="U102" s="1" t="s">
        <v>36</v>
      </c>
      <c r="V102" s="1" t="str">
        <f>IF(TRIM(CLEAN(A102))="","",_xlfn.TEXTBEFORE(_xlfn.TEXTAFTER(A102,"Unit "),"-"))</f>
        <v>5</v>
      </c>
      <c r="W102" s="1" t="str">
        <f>IF(TRIM(CLEAN(A102))="","",_xlfn.TEXTBEFORE(_xlfn.TEXTAFTER(A102,"-"),"-"))</f>
        <v>12</v>
      </c>
      <c r="X102" s="1" t="str">
        <f>IF(TRIM(CLEAN(A102))="","",_xlfn.TEXTAFTER(A102,"-",-1))</f>
        <v>0303</v>
      </c>
    </row>
    <row r="103" spans="1:24" hidden="1" x14ac:dyDescent="0.4">
      <c r="A103" s="88" t="s">
        <v>166</v>
      </c>
      <c r="B103" s="1" t="s">
        <v>34</v>
      </c>
      <c r="C103" s="3">
        <v>46099</v>
      </c>
      <c r="D103" s="3">
        <v>46113</v>
      </c>
      <c r="E103" s="1">
        <f ca="1">IF(DMRB5[[#This Row],[Move_out ]]="","",TODAY()-DMRB5[[#This Row],[Move_out ]])</f>
        <v>-29</v>
      </c>
      <c r="F103" s="2"/>
      <c r="G103" s="1" t="str">
        <f ca="1">IF(DMRB5[[#This Row],[Move_in]]="","",TODAY()-DMRB5[[#This Row],[Move_in]])</f>
        <v/>
      </c>
      <c r="H10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3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3" s="1" t="s">
        <v>38</v>
      </c>
      <c r="K103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3" s="1" t="s">
        <v>38</v>
      </c>
      <c r="M103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3" s="1" t="s">
        <v>38</v>
      </c>
      <c r="O103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3" s="1" t="s">
        <v>38</v>
      </c>
      <c r="Q103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3" s="1" t="s">
        <v>38</v>
      </c>
      <c r="S103" s="2" t="s">
        <v>2</v>
      </c>
      <c r="U103" s="1" t="s">
        <v>36</v>
      </c>
      <c r="V103" s="1" t="str">
        <f>IF(TRIM(CLEAN(A103))="","",_xlfn.TEXTBEFORE(_xlfn.TEXTAFTER(A103,"Unit "),"-"))</f>
        <v>5</v>
      </c>
      <c r="W103" s="1" t="str">
        <f>IF(TRIM(CLEAN(A103))="","",_xlfn.TEXTBEFORE(_xlfn.TEXTAFTER(A103,"-"),"-"))</f>
        <v>18</v>
      </c>
      <c r="X103" s="1" t="str">
        <f>IF(TRIM(CLEAN(A103))="","",_xlfn.TEXTAFTER(A103,"-",-1))</f>
        <v>0221</v>
      </c>
    </row>
    <row r="104" spans="1:24" hidden="1" x14ac:dyDescent="0.4">
      <c r="A104" s="88" t="s">
        <v>167</v>
      </c>
      <c r="B104" s="1" t="s">
        <v>34</v>
      </c>
      <c r="C104" s="3">
        <v>46102</v>
      </c>
      <c r="D104" s="3">
        <v>46116</v>
      </c>
      <c r="E104" s="1">
        <f ca="1">IF(DMRB5[[#This Row],[Move_out ]]="","",TODAY()-DMRB5[[#This Row],[Move_out ]])</f>
        <v>-32</v>
      </c>
      <c r="F104" s="2"/>
      <c r="G104" s="1" t="str">
        <f ca="1">IF(DMRB5[[#This Row],[Move_in]]="","",TODAY()-DMRB5[[#This Row],[Move_in]])</f>
        <v/>
      </c>
      <c r="H10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4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4" s="1" t="s">
        <v>38</v>
      </c>
      <c r="K104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4" s="1" t="s">
        <v>38</v>
      </c>
      <c r="M104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4" s="1" t="s">
        <v>38</v>
      </c>
      <c r="O104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4" s="1" t="s">
        <v>38</v>
      </c>
      <c r="Q104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4" s="1" t="s">
        <v>38</v>
      </c>
      <c r="S104" s="2" t="s">
        <v>42</v>
      </c>
      <c r="U104" s="1" t="s">
        <v>36</v>
      </c>
      <c r="V104" s="1" t="str">
        <f>IF(TRIM(CLEAN(A104))="","",_xlfn.TEXTBEFORE(_xlfn.TEXTAFTER(A104,"Unit "),"-"))</f>
        <v>8</v>
      </c>
      <c r="W104" s="1" t="str">
        <f>IF(TRIM(CLEAN(A104))="","",_xlfn.TEXTBEFORE(_xlfn.TEXTAFTER(A104,"-"),"-"))</f>
        <v>01</v>
      </c>
      <c r="X104" s="1" t="str">
        <f>IF(TRIM(CLEAN(A104))="","",_xlfn.TEXTAFTER(A104,"-",-1))</f>
        <v>3083</v>
      </c>
    </row>
    <row r="105" spans="1:24" hidden="1" x14ac:dyDescent="0.4">
      <c r="A105" s="88" t="s">
        <v>168</v>
      </c>
      <c r="B105" s="1" t="s">
        <v>34</v>
      </c>
      <c r="C105" s="3">
        <v>46103</v>
      </c>
      <c r="D105" s="3">
        <v>46116</v>
      </c>
      <c r="E105" s="1">
        <f ca="1">IF(DMRB5[[#This Row],[Move_out ]]="","",TODAY()-DMRB5[[#This Row],[Move_out ]])</f>
        <v>-33</v>
      </c>
      <c r="F105" s="2"/>
      <c r="G105" s="1" t="str">
        <f ca="1">IF(DMRB5[[#This Row],[Move_in]]="","",TODAY()-DMRB5[[#This Row],[Move_in]])</f>
        <v/>
      </c>
      <c r="H10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5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5" s="1" t="s">
        <v>38</v>
      </c>
      <c r="K105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5" s="1" t="s">
        <v>38</v>
      </c>
      <c r="M105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5" s="1" t="s">
        <v>38</v>
      </c>
      <c r="O105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5" s="1" t="s">
        <v>38</v>
      </c>
      <c r="Q105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5" s="1" t="s">
        <v>38</v>
      </c>
      <c r="S105" s="2" t="s">
        <v>2</v>
      </c>
      <c r="U105" s="1" t="s">
        <v>36</v>
      </c>
      <c r="V105" s="1" t="str">
        <f>IF(TRIM(CLEAN(A105))="","",_xlfn.TEXTBEFORE(_xlfn.TEXTAFTER(A105,"Unit "),"-"))</f>
        <v>5</v>
      </c>
      <c r="W105" s="1" t="str">
        <f>IF(TRIM(CLEAN(A105))="","",_xlfn.TEXTBEFORE(_xlfn.TEXTAFTER(A105,"-"),"-"))</f>
        <v>17</v>
      </c>
      <c r="X105" s="1" t="str">
        <f>IF(TRIM(CLEAN(A105))="","",_xlfn.TEXTAFTER(A105,"-",-1))</f>
        <v>0316</v>
      </c>
    </row>
    <row r="106" spans="1:24" hidden="1" x14ac:dyDescent="0.4">
      <c r="A106" s="88" t="s">
        <v>169</v>
      </c>
      <c r="B106" s="1" t="s">
        <v>34</v>
      </c>
      <c r="C106" s="3">
        <v>46104</v>
      </c>
      <c r="D106" s="3">
        <v>46116</v>
      </c>
      <c r="E106" s="1">
        <f ca="1">IF(DMRB5[[#This Row],[Move_out ]]="","",TODAY()-DMRB5[[#This Row],[Move_out ]])</f>
        <v>-34</v>
      </c>
      <c r="F106" s="2"/>
      <c r="G106" s="1" t="str">
        <f ca="1">IF(DMRB5[[#This Row],[Move_in]]="","",TODAY()-DMRB5[[#This Row],[Move_in]])</f>
        <v/>
      </c>
      <c r="H10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6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6" s="1" t="s">
        <v>38</v>
      </c>
      <c r="K106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6" s="1" t="s">
        <v>38</v>
      </c>
      <c r="M106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6" s="1" t="s">
        <v>38</v>
      </c>
      <c r="O106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6" s="1" t="s">
        <v>38</v>
      </c>
      <c r="Q106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6" s="1" t="s">
        <v>38</v>
      </c>
      <c r="S106" s="2" t="s">
        <v>42</v>
      </c>
      <c r="U106" s="1" t="s">
        <v>36</v>
      </c>
      <c r="V106" s="1" t="str">
        <f>IF(TRIM(CLEAN(A106))="","",_xlfn.TEXTBEFORE(_xlfn.TEXTAFTER(A106,"Unit "),"-"))</f>
        <v>8</v>
      </c>
      <c r="W106" s="1" t="str">
        <f>IF(TRIM(CLEAN(A106))="","",_xlfn.TEXTBEFORE(_xlfn.TEXTAFTER(A106,"-"),"-"))</f>
        <v>01</v>
      </c>
      <c r="X106" s="1" t="str">
        <f>IF(TRIM(CLEAN(A106))="","",_xlfn.TEXTAFTER(A106,"-",-1))</f>
        <v>1089</v>
      </c>
    </row>
    <row r="107" spans="1:24" hidden="1" x14ac:dyDescent="0.4">
      <c r="A107" s="88" t="s">
        <v>170</v>
      </c>
      <c r="B107" s="1" t="s">
        <v>34</v>
      </c>
      <c r="C107" s="3">
        <v>46107</v>
      </c>
      <c r="D107" s="3">
        <v>46121</v>
      </c>
      <c r="E107" s="1">
        <f ca="1">IF(DMRB5[[#This Row],[Move_out ]]="","",TODAY()-DMRB5[[#This Row],[Move_out ]])</f>
        <v>-37</v>
      </c>
      <c r="F107" s="2"/>
      <c r="G107" s="1" t="str">
        <f ca="1">IF(DMRB5[[#This Row],[Move_in]]="","",TODAY()-DMRB5[[#This Row],[Move_in]])</f>
        <v/>
      </c>
      <c r="H10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7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7" s="1" t="s">
        <v>38</v>
      </c>
      <c r="K107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7" s="1" t="s">
        <v>38</v>
      </c>
      <c r="M107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7" s="1" t="s">
        <v>38</v>
      </c>
      <c r="O107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7" s="1" t="s">
        <v>38</v>
      </c>
      <c r="Q107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7" s="1" t="s">
        <v>38</v>
      </c>
      <c r="S107" s="2" t="s">
        <v>2</v>
      </c>
      <c r="U107" s="1" t="s">
        <v>36</v>
      </c>
      <c r="V107" s="1" t="str">
        <f>IF(TRIM(CLEAN(A107))="","",_xlfn.TEXTBEFORE(_xlfn.TEXTAFTER(A107,"Unit "),"-"))</f>
        <v>5</v>
      </c>
      <c r="W107" s="1" t="str">
        <f>IF(TRIM(CLEAN(A107))="","",_xlfn.TEXTBEFORE(_xlfn.TEXTAFTER(A107,"-"),"-"))</f>
        <v>13</v>
      </c>
      <c r="X107" s="1" t="str">
        <f>IF(TRIM(CLEAN(A107))="","",_xlfn.TEXTAFTER(A107,"-",-1))</f>
        <v>0207</v>
      </c>
    </row>
    <row r="108" spans="1:24" hidden="1" x14ac:dyDescent="0.4">
      <c r="A108" s="88" t="s">
        <v>171</v>
      </c>
      <c r="B108" s="1" t="s">
        <v>34</v>
      </c>
      <c r="C108" s="3">
        <v>46108</v>
      </c>
      <c r="D108" s="3">
        <v>46122</v>
      </c>
      <c r="E108" s="1">
        <f ca="1">IF(DMRB5[[#This Row],[Move_out ]]="","",TODAY()-DMRB5[[#This Row],[Move_out ]])</f>
        <v>-38</v>
      </c>
      <c r="F108" s="2"/>
      <c r="G108" s="1" t="str">
        <f ca="1">IF(DMRB5[[#This Row],[Move_in]]="","",TODAY()-DMRB5[[#This Row],[Move_in]])</f>
        <v/>
      </c>
      <c r="H10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8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8" s="1" t="s">
        <v>38</v>
      </c>
      <c r="K108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8" s="1" t="s">
        <v>38</v>
      </c>
      <c r="M108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8" s="1" t="s">
        <v>38</v>
      </c>
      <c r="O108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8" s="1" t="s">
        <v>38</v>
      </c>
      <c r="Q108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8" s="1" t="s">
        <v>38</v>
      </c>
      <c r="S108" s="2" t="s">
        <v>2</v>
      </c>
      <c r="U108" s="1" t="s">
        <v>36</v>
      </c>
      <c r="V108" s="1" t="str">
        <f>IF(TRIM(CLEAN(A108))="","",_xlfn.TEXTBEFORE(_xlfn.TEXTAFTER(A108,"Unit "),"-"))</f>
        <v>5</v>
      </c>
      <c r="W108" s="1" t="str">
        <f>IF(TRIM(CLEAN(A108))="","",_xlfn.TEXTBEFORE(_xlfn.TEXTAFTER(A108,"-"),"-"))</f>
        <v>18</v>
      </c>
      <c r="X108" s="1" t="str">
        <f>IF(TRIM(CLEAN(A108))="","",_xlfn.TEXTAFTER(A108,"-",-1))</f>
        <v>0234</v>
      </c>
    </row>
    <row r="109" spans="1:24" hidden="1" x14ac:dyDescent="0.4">
      <c r="A109" s="88" t="s">
        <v>172</v>
      </c>
      <c r="B109" s="1" t="s">
        <v>34</v>
      </c>
      <c r="C109" s="3">
        <v>46111</v>
      </c>
      <c r="D109" s="3">
        <v>46123</v>
      </c>
      <c r="E109" s="1">
        <f ca="1">IF(DMRB5[[#This Row],[Move_out ]]="","",TODAY()-DMRB5[[#This Row],[Move_out ]])</f>
        <v>-41</v>
      </c>
      <c r="F109" s="2"/>
      <c r="G109" s="1" t="str">
        <f ca="1">IF(DMRB5[[#This Row],[Move_in]]="","",TODAY()-DMRB5[[#This Row],[Move_in]])</f>
        <v/>
      </c>
      <c r="H10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09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09" s="1" t="s">
        <v>38</v>
      </c>
      <c r="K109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09" s="1" t="s">
        <v>38</v>
      </c>
      <c r="M109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09" s="1" t="s">
        <v>38</v>
      </c>
      <c r="O109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09" s="1" t="s">
        <v>38</v>
      </c>
      <c r="Q109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09" s="1" t="s">
        <v>38</v>
      </c>
      <c r="S109" s="2" t="s">
        <v>42</v>
      </c>
      <c r="U109" s="1" t="s">
        <v>36</v>
      </c>
      <c r="V109" s="1" t="str">
        <f>IF(TRIM(CLEAN(A109))="","",_xlfn.TEXTBEFORE(_xlfn.TEXTAFTER(A109,"Unit "),"-"))</f>
        <v>8</v>
      </c>
      <c r="W109" s="1" t="str">
        <f>IF(TRIM(CLEAN(A109))="","",_xlfn.TEXTBEFORE(_xlfn.TEXTAFTER(A109,"-"),"-"))</f>
        <v>01</v>
      </c>
      <c r="X109" s="1" t="str">
        <f>IF(TRIM(CLEAN(A109))="","",_xlfn.TEXTAFTER(A109,"-",-1))</f>
        <v>4051</v>
      </c>
    </row>
    <row r="110" spans="1:24" hidden="1" x14ac:dyDescent="0.4">
      <c r="A110" s="88" t="s">
        <v>173</v>
      </c>
      <c r="B110" s="1" t="s">
        <v>34</v>
      </c>
      <c r="C110" s="3">
        <v>46112</v>
      </c>
      <c r="D110" s="3">
        <v>46126</v>
      </c>
      <c r="E110" s="1">
        <f ca="1">IF(DMRB5[[#This Row],[Move_out ]]="","",TODAY()-DMRB5[[#This Row],[Move_out ]])</f>
        <v>-42</v>
      </c>
      <c r="F110" s="2"/>
      <c r="G110" s="1" t="str">
        <f ca="1">IF(DMRB5[[#This Row],[Move_in]]="","",TODAY()-DMRB5[[#This Row],[Move_in]])</f>
        <v/>
      </c>
      <c r="H11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0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0" s="1" t="s">
        <v>38</v>
      </c>
      <c r="K110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0" s="1" t="s">
        <v>38</v>
      </c>
      <c r="M110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0" s="1" t="s">
        <v>38</v>
      </c>
      <c r="O110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0" s="1" t="s">
        <v>38</v>
      </c>
      <c r="Q110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0" s="1" t="s">
        <v>38</v>
      </c>
      <c r="S110" s="2" t="s">
        <v>42</v>
      </c>
      <c r="U110" s="1" t="s">
        <v>36</v>
      </c>
      <c r="V110" s="1" t="str">
        <f>IF(TRIM(CLEAN(A110))="","",_xlfn.TEXTBEFORE(_xlfn.TEXTAFTER(A110,"Unit "),"-"))</f>
        <v>8</v>
      </c>
      <c r="W110" s="1" t="str">
        <f>IF(TRIM(CLEAN(A110))="","",_xlfn.TEXTBEFORE(_xlfn.TEXTAFTER(A110,"-"),"-"))</f>
        <v>01</v>
      </c>
      <c r="X110" s="1" t="str">
        <f>IF(TRIM(CLEAN(A110))="","",_xlfn.TEXTAFTER(A110,"-",-1))</f>
        <v>4124</v>
      </c>
    </row>
    <row r="111" spans="1:24" hidden="1" x14ac:dyDescent="0.4">
      <c r="A111" s="88" t="s">
        <v>174</v>
      </c>
      <c r="B111" s="1" t="s">
        <v>34</v>
      </c>
      <c r="C111" s="3">
        <v>46113</v>
      </c>
      <c r="D111" s="3">
        <v>46127</v>
      </c>
      <c r="E111" s="1">
        <f ca="1">IF(DMRB5[[#This Row],[Move_out ]]="","",TODAY()-DMRB5[[#This Row],[Move_out ]])</f>
        <v>-43</v>
      </c>
      <c r="F111" s="2"/>
      <c r="G111" s="1" t="str">
        <f ca="1">IF(DMRB5[[#This Row],[Move_in]]="","",TODAY()-DMRB5[[#This Row],[Move_in]])</f>
        <v/>
      </c>
      <c r="H11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1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1" s="1" t="s">
        <v>38</v>
      </c>
      <c r="K111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1" s="1" t="s">
        <v>38</v>
      </c>
      <c r="M111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1" s="1" t="s">
        <v>38</v>
      </c>
      <c r="O111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1" s="1" t="s">
        <v>38</v>
      </c>
      <c r="Q111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1" s="1" t="s">
        <v>38</v>
      </c>
      <c r="S111" s="2" t="s">
        <v>2</v>
      </c>
      <c r="U111" s="1" t="s">
        <v>36</v>
      </c>
      <c r="V111" s="1" t="str">
        <f>IF(TRIM(CLEAN(A111))="","",_xlfn.TEXTBEFORE(_xlfn.TEXTAFTER(A111,"Unit "),"-"))</f>
        <v>5</v>
      </c>
      <c r="W111" s="1" t="str">
        <f>IF(TRIM(CLEAN(A111))="","",_xlfn.TEXTBEFORE(_xlfn.TEXTAFTER(A111,"-"),"-"))</f>
        <v>01</v>
      </c>
      <c r="X111" s="1" t="str">
        <f>IF(TRIM(CLEAN(A111))="","",_xlfn.TEXTAFTER(A111,"-",-1))</f>
        <v>0206</v>
      </c>
    </row>
    <row r="112" spans="1:24" hidden="1" x14ac:dyDescent="0.4">
      <c r="A112" s="88" t="s">
        <v>175</v>
      </c>
      <c r="B112" s="1" t="s">
        <v>34</v>
      </c>
      <c r="C112" s="3">
        <v>46114</v>
      </c>
      <c r="D112" s="3">
        <v>46128</v>
      </c>
      <c r="E112" s="1">
        <f ca="1">IF(DMRB5[[#This Row],[Move_out ]]="","",TODAY()-DMRB5[[#This Row],[Move_out ]])</f>
        <v>-44</v>
      </c>
      <c r="F112" s="2"/>
      <c r="G112" s="1" t="str">
        <f ca="1">IF(DMRB5[[#This Row],[Move_in]]="","",TODAY()-DMRB5[[#This Row],[Move_in]])</f>
        <v/>
      </c>
      <c r="H11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2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2" s="1" t="s">
        <v>38</v>
      </c>
      <c r="K112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2" s="1" t="s">
        <v>38</v>
      </c>
      <c r="M112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2" s="1" t="s">
        <v>38</v>
      </c>
      <c r="O112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2" s="1" t="s">
        <v>38</v>
      </c>
      <c r="Q112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2" s="1" t="s">
        <v>38</v>
      </c>
      <c r="S112" s="2" t="s">
        <v>39</v>
      </c>
      <c r="U112" s="1" t="s">
        <v>36</v>
      </c>
      <c r="V112" s="1" t="str">
        <f>IF(TRIM(CLEAN(A112))="","",_xlfn.TEXTBEFORE(_xlfn.TEXTAFTER(A112,"Unit "),"-"))</f>
        <v>7</v>
      </c>
      <c r="W112" s="1" t="str">
        <f>IF(TRIM(CLEAN(A112))="","",_xlfn.TEXTBEFORE(_xlfn.TEXTAFTER(A112,"-"),"-"))</f>
        <v>08</v>
      </c>
      <c r="X112" s="1" t="str">
        <f>IF(TRIM(CLEAN(A112))="","",_xlfn.TEXTAFTER(A112,"-",-1))</f>
        <v>0306</v>
      </c>
    </row>
    <row r="113" spans="1:24" hidden="1" x14ac:dyDescent="0.4">
      <c r="A113" s="88" t="s">
        <v>176</v>
      </c>
      <c r="B113" s="1" t="s">
        <v>34</v>
      </c>
      <c r="C113" s="3">
        <v>46118</v>
      </c>
      <c r="D113" s="3">
        <v>46130</v>
      </c>
      <c r="E113" s="1">
        <f ca="1">IF(DMRB5[[#This Row],[Move_out ]]="","",TODAY()-DMRB5[[#This Row],[Move_out ]])</f>
        <v>-48</v>
      </c>
      <c r="F113" s="2"/>
      <c r="G113" s="1" t="str">
        <f ca="1">IF(DMRB5[[#This Row],[Move_in]]="","",TODAY()-DMRB5[[#This Row],[Move_in]])</f>
        <v/>
      </c>
      <c r="H11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3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3" s="1" t="s">
        <v>38</v>
      </c>
      <c r="K113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3" s="1" t="s">
        <v>38</v>
      </c>
      <c r="M113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3" s="1" t="s">
        <v>38</v>
      </c>
      <c r="O113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3" s="1" t="s">
        <v>38</v>
      </c>
      <c r="Q113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3" s="1" t="s">
        <v>38</v>
      </c>
      <c r="S113" s="2" t="s">
        <v>2</v>
      </c>
      <c r="U113" s="1" t="s">
        <v>36</v>
      </c>
      <c r="V113" s="1" t="str">
        <f>IF(TRIM(CLEAN(A113))="","",_xlfn.TEXTBEFORE(_xlfn.TEXTAFTER(A113,"Unit "),"-"))</f>
        <v>5</v>
      </c>
      <c r="W113" s="1" t="str">
        <f>IF(TRIM(CLEAN(A113))="","",_xlfn.TEXTBEFORE(_xlfn.TEXTAFTER(A113,"-"),"-"))</f>
        <v>10</v>
      </c>
      <c r="X113" s="1" t="str">
        <f>IF(TRIM(CLEAN(A113))="","",_xlfn.TEXTAFTER(A113,"-",-1))</f>
        <v>0302</v>
      </c>
    </row>
    <row r="114" spans="1:24" hidden="1" x14ac:dyDescent="0.4">
      <c r="A114" s="88" t="s">
        <v>177</v>
      </c>
      <c r="B114" s="1" t="s">
        <v>34</v>
      </c>
      <c r="C114" s="3">
        <v>46119</v>
      </c>
      <c r="D114" s="3">
        <v>46133</v>
      </c>
      <c r="E114" s="1">
        <f ca="1">IF(DMRB5[[#This Row],[Move_out ]]="","",TODAY()-DMRB5[[#This Row],[Move_out ]])</f>
        <v>-49</v>
      </c>
      <c r="F114" s="2"/>
      <c r="G114" s="1" t="str">
        <f ca="1">IF(DMRB5[[#This Row],[Move_in]]="","",TODAY()-DMRB5[[#This Row],[Move_in]])</f>
        <v/>
      </c>
      <c r="H11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4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4" s="1" t="s">
        <v>38</v>
      </c>
      <c r="K114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4" s="1" t="s">
        <v>38</v>
      </c>
      <c r="M114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4" s="1" t="s">
        <v>38</v>
      </c>
      <c r="O114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4" s="1" t="s">
        <v>38</v>
      </c>
      <c r="Q114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4" s="1" t="s">
        <v>38</v>
      </c>
      <c r="S114" s="2" t="s">
        <v>42</v>
      </c>
      <c r="U114" s="1" t="s">
        <v>36</v>
      </c>
      <c r="V114" s="1" t="str">
        <f>IF(TRIM(CLEAN(A114))="","",_xlfn.TEXTBEFORE(_xlfn.TEXTAFTER(A114,"Unit "),"-"))</f>
        <v>8</v>
      </c>
      <c r="W114" s="1" t="str">
        <f>IF(TRIM(CLEAN(A114))="","",_xlfn.TEXTBEFORE(_xlfn.TEXTAFTER(A114,"-"),"-"))</f>
        <v>01</v>
      </c>
      <c r="X114" s="1" t="str">
        <f>IF(TRIM(CLEAN(A114))="","",_xlfn.TEXTAFTER(A114,"-",-1))</f>
        <v>1122</v>
      </c>
    </row>
    <row r="115" spans="1:24" hidden="1" x14ac:dyDescent="0.4">
      <c r="A115" s="88" t="s">
        <v>178</v>
      </c>
      <c r="B115" s="1" t="s">
        <v>34</v>
      </c>
      <c r="C115" s="3">
        <v>46119</v>
      </c>
      <c r="D115" s="3">
        <v>46133</v>
      </c>
      <c r="E115" s="1">
        <f ca="1">IF(DMRB5[[#This Row],[Move_out ]]="","",TODAY()-DMRB5[[#This Row],[Move_out ]])</f>
        <v>-49</v>
      </c>
      <c r="F115" s="2"/>
      <c r="G115" s="1" t="str">
        <f ca="1">IF(DMRB5[[#This Row],[Move_in]]="","",TODAY()-DMRB5[[#This Row],[Move_in]])</f>
        <v/>
      </c>
      <c r="H11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5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5" s="1" t="s">
        <v>38</v>
      </c>
      <c r="K115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5" s="1" t="s">
        <v>38</v>
      </c>
      <c r="M115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5" s="1" t="s">
        <v>38</v>
      </c>
      <c r="O115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5" s="1" t="s">
        <v>38</v>
      </c>
      <c r="Q115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5" s="1" t="s">
        <v>38</v>
      </c>
      <c r="S115" s="2" t="s">
        <v>42</v>
      </c>
      <c r="U115" s="1" t="s">
        <v>36</v>
      </c>
      <c r="V115" s="1" t="str">
        <f>IF(TRIM(CLEAN(A115))="","",_xlfn.TEXTBEFORE(_xlfn.TEXTAFTER(A115,"Unit "),"-"))</f>
        <v>8</v>
      </c>
      <c r="W115" s="1" t="str">
        <f>IF(TRIM(CLEAN(A115))="","",_xlfn.TEXTBEFORE(_xlfn.TEXTAFTER(A115,"-"),"-"))</f>
        <v>01</v>
      </c>
      <c r="X115" s="1" t="str">
        <f>IF(TRIM(CLEAN(A115))="","",_xlfn.TEXTAFTER(A115,"-",-1))</f>
        <v>2010</v>
      </c>
    </row>
    <row r="116" spans="1:24" hidden="1" x14ac:dyDescent="0.4">
      <c r="A116" s="88" t="s">
        <v>179</v>
      </c>
      <c r="B116" s="1" t="s">
        <v>34</v>
      </c>
      <c r="C116" s="3">
        <v>46119</v>
      </c>
      <c r="D116" s="3">
        <v>46133</v>
      </c>
      <c r="E116" s="1">
        <f ca="1">IF(DMRB5[[#This Row],[Move_out ]]="","",TODAY()-DMRB5[[#This Row],[Move_out ]])</f>
        <v>-49</v>
      </c>
      <c r="F116" s="2"/>
      <c r="G116" s="1" t="str">
        <f ca="1">IF(DMRB5[[#This Row],[Move_in]]="","",TODAY()-DMRB5[[#This Row],[Move_in]])</f>
        <v/>
      </c>
      <c r="H11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6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6" s="1" t="s">
        <v>38</v>
      </c>
      <c r="K116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6" s="1" t="s">
        <v>38</v>
      </c>
      <c r="M116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6" s="1" t="s">
        <v>38</v>
      </c>
      <c r="O116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6" s="1" t="s">
        <v>38</v>
      </c>
      <c r="Q116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6" s="1" t="s">
        <v>38</v>
      </c>
      <c r="S116" s="2" t="s">
        <v>42</v>
      </c>
      <c r="U116" s="1" t="s">
        <v>36</v>
      </c>
      <c r="V116" s="1" t="str">
        <f>IF(TRIM(CLEAN(A116))="","",_xlfn.TEXTBEFORE(_xlfn.TEXTAFTER(A116,"Unit "),"-"))</f>
        <v>8</v>
      </c>
      <c r="W116" s="1" t="str">
        <f>IF(TRIM(CLEAN(A116))="","",_xlfn.TEXTBEFORE(_xlfn.TEXTAFTER(A116,"-"),"-"))</f>
        <v>01</v>
      </c>
      <c r="X116" s="1" t="str">
        <f>IF(TRIM(CLEAN(A116))="","",_xlfn.TEXTAFTER(A116,"-",-1))</f>
        <v>2053</v>
      </c>
    </row>
    <row r="117" spans="1:24" hidden="1" x14ac:dyDescent="0.4">
      <c r="A117" s="88" t="s">
        <v>180</v>
      </c>
      <c r="B117" s="1" t="s">
        <v>34</v>
      </c>
      <c r="C117" s="3">
        <v>46122</v>
      </c>
      <c r="D117" s="3">
        <v>46136</v>
      </c>
      <c r="E117" s="1">
        <f ca="1">IF(DMRB5[[#This Row],[Move_out ]]="","",TODAY()-DMRB5[[#This Row],[Move_out ]])</f>
        <v>-52</v>
      </c>
      <c r="F117" s="2"/>
      <c r="G117" s="1" t="str">
        <f ca="1">IF(DMRB5[[#This Row],[Move_in]]="","",TODAY()-DMRB5[[#This Row],[Move_in]])</f>
        <v/>
      </c>
      <c r="H11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7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7" s="1" t="s">
        <v>38</v>
      </c>
      <c r="K117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7" s="1" t="s">
        <v>38</v>
      </c>
      <c r="M117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7" s="1" t="s">
        <v>38</v>
      </c>
      <c r="O117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7" s="1" t="s">
        <v>38</v>
      </c>
      <c r="Q117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7" s="1" t="s">
        <v>38</v>
      </c>
      <c r="S117" s="2" t="s">
        <v>2</v>
      </c>
      <c r="U117" s="1" t="s">
        <v>36</v>
      </c>
      <c r="V117" s="1" t="str">
        <f>IF(TRIM(CLEAN(A117))="","",_xlfn.TEXTBEFORE(_xlfn.TEXTAFTER(A117,"Unit "),"-"))</f>
        <v>5</v>
      </c>
      <c r="W117" s="1" t="str">
        <f>IF(TRIM(CLEAN(A117))="","",_xlfn.TEXTBEFORE(_xlfn.TEXTAFTER(A117,"-"),"-"))</f>
        <v>18</v>
      </c>
      <c r="X117" s="1" t="str">
        <f>IF(TRIM(CLEAN(A117))="","",_xlfn.TEXTAFTER(A117,"-",-1))</f>
        <v>0413</v>
      </c>
    </row>
    <row r="118" spans="1:24" hidden="1" x14ac:dyDescent="0.4">
      <c r="A118" s="88" t="s">
        <v>181</v>
      </c>
      <c r="B118" s="1" t="s">
        <v>34</v>
      </c>
      <c r="C118" s="3">
        <v>46122</v>
      </c>
      <c r="D118" s="3">
        <v>46136</v>
      </c>
      <c r="E118" s="1">
        <f ca="1">IF(DMRB5[[#This Row],[Move_out ]]="","",TODAY()-DMRB5[[#This Row],[Move_out ]])</f>
        <v>-52</v>
      </c>
      <c r="F118" s="2"/>
      <c r="G118" s="1" t="str">
        <f ca="1">IF(DMRB5[[#This Row],[Move_in]]="","",TODAY()-DMRB5[[#This Row],[Move_in]])</f>
        <v/>
      </c>
      <c r="H11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8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8" s="1" t="s">
        <v>38</v>
      </c>
      <c r="K118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8" s="1" t="s">
        <v>38</v>
      </c>
      <c r="M118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8" s="1" t="s">
        <v>38</v>
      </c>
      <c r="O118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8" s="1" t="s">
        <v>38</v>
      </c>
      <c r="Q118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8" s="1" t="s">
        <v>38</v>
      </c>
      <c r="S118" s="2" t="s">
        <v>39</v>
      </c>
      <c r="U118" s="1" t="s">
        <v>36</v>
      </c>
      <c r="V118" s="1" t="str">
        <f>IF(TRIM(CLEAN(A118))="","",_xlfn.TEXTBEFORE(_xlfn.TEXTAFTER(A118,"Unit "),"-"))</f>
        <v>7</v>
      </c>
      <c r="W118" s="1" t="str">
        <f>IF(TRIM(CLEAN(A118))="","",_xlfn.TEXTBEFORE(_xlfn.TEXTAFTER(A118,"-"),"-"))</f>
        <v>03</v>
      </c>
      <c r="X118" s="1" t="str">
        <f>IF(TRIM(CLEAN(A118))="","",_xlfn.TEXTAFTER(A118,"-",-1))</f>
        <v>0308</v>
      </c>
    </row>
    <row r="119" spans="1:24" hidden="1" x14ac:dyDescent="0.4">
      <c r="A119" s="88" t="s">
        <v>182</v>
      </c>
      <c r="B119" s="1" t="s">
        <v>34</v>
      </c>
      <c r="C119" s="3">
        <v>46123</v>
      </c>
      <c r="D119" s="3">
        <v>46137</v>
      </c>
      <c r="E119" s="1">
        <f ca="1">IF(DMRB5[[#This Row],[Move_out ]]="","",TODAY()-DMRB5[[#This Row],[Move_out ]])</f>
        <v>-53</v>
      </c>
      <c r="F119" s="2"/>
      <c r="G119" s="1" t="str">
        <f ca="1">IF(DMRB5[[#This Row],[Move_in]]="","",TODAY()-DMRB5[[#This Row],[Move_in]])</f>
        <v/>
      </c>
      <c r="H11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19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19" s="1" t="s">
        <v>38</v>
      </c>
      <c r="K119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19" s="1" t="s">
        <v>38</v>
      </c>
      <c r="M119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19" s="1" t="s">
        <v>38</v>
      </c>
      <c r="O119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19" s="1" t="s">
        <v>38</v>
      </c>
      <c r="Q119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19" s="1" t="s">
        <v>38</v>
      </c>
      <c r="S119" s="2" t="s">
        <v>42</v>
      </c>
      <c r="U119" s="1" t="s">
        <v>36</v>
      </c>
      <c r="V119" s="1" t="str">
        <f>IF(TRIM(CLEAN(A119))="","",_xlfn.TEXTBEFORE(_xlfn.TEXTAFTER(A119,"Unit "),"-"))</f>
        <v>8</v>
      </c>
      <c r="W119" s="1" t="str">
        <f>IF(TRIM(CLEAN(A119))="","",_xlfn.TEXTBEFORE(_xlfn.TEXTAFTER(A119,"-"),"-"))</f>
        <v>01</v>
      </c>
      <c r="X119" s="1" t="str">
        <f>IF(TRIM(CLEAN(A119))="","",_xlfn.TEXTAFTER(A119,"-",-1))</f>
        <v>1119</v>
      </c>
    </row>
    <row r="120" spans="1:24" hidden="1" x14ac:dyDescent="0.4">
      <c r="A120" s="88" t="s">
        <v>183</v>
      </c>
      <c r="B120" s="1" t="s">
        <v>34</v>
      </c>
      <c r="C120" s="3">
        <v>46126</v>
      </c>
      <c r="D120" s="3">
        <v>46140</v>
      </c>
      <c r="E120" s="1">
        <f ca="1">IF(DMRB5[[#This Row],[Move_out ]]="","",TODAY()-DMRB5[[#This Row],[Move_out ]])</f>
        <v>-56</v>
      </c>
      <c r="F120" s="2"/>
      <c r="G120" s="1" t="str">
        <f ca="1">IF(DMRB5[[#This Row],[Move_in]]="","",TODAY()-DMRB5[[#This Row],[Move_in]])</f>
        <v/>
      </c>
      <c r="H120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0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0" s="1" t="s">
        <v>38</v>
      </c>
      <c r="K120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0" s="1" t="s">
        <v>38</v>
      </c>
      <c r="M120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0" s="1" t="s">
        <v>38</v>
      </c>
      <c r="O120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0" s="1" t="s">
        <v>38</v>
      </c>
      <c r="Q120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0" s="1" t="s">
        <v>38</v>
      </c>
      <c r="S120" s="2" t="s">
        <v>2</v>
      </c>
      <c r="U120" s="1" t="s">
        <v>36</v>
      </c>
      <c r="V120" s="1" t="str">
        <f>IF(TRIM(CLEAN(A120))="","",_xlfn.TEXTBEFORE(_xlfn.TEXTAFTER(A120,"Unit "),"-"))</f>
        <v>5</v>
      </c>
      <c r="W120" s="1" t="str">
        <f>IF(TRIM(CLEAN(A120))="","",_xlfn.TEXTBEFORE(_xlfn.TEXTAFTER(A120,"-"),"-"))</f>
        <v>15</v>
      </c>
      <c r="X120" s="1" t="str">
        <f>IF(TRIM(CLEAN(A120))="","",_xlfn.TEXTAFTER(A120,"-",-1))</f>
        <v>0205</v>
      </c>
    </row>
    <row r="121" spans="1:24" hidden="1" x14ac:dyDescent="0.4">
      <c r="A121" s="88" t="s">
        <v>184</v>
      </c>
      <c r="B121" s="1" t="s">
        <v>34</v>
      </c>
      <c r="C121" s="3">
        <v>46126</v>
      </c>
      <c r="D121" s="3">
        <v>46140</v>
      </c>
      <c r="E121" s="1">
        <f ca="1">IF(DMRB5[[#This Row],[Move_out ]]="","",TODAY()-DMRB5[[#This Row],[Move_out ]])</f>
        <v>-56</v>
      </c>
      <c r="F121" s="2"/>
      <c r="G121" s="1" t="str">
        <f ca="1">IF(DMRB5[[#This Row],[Move_in]]="","",TODAY()-DMRB5[[#This Row],[Move_in]])</f>
        <v/>
      </c>
      <c r="H121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1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1" s="1" t="s">
        <v>38</v>
      </c>
      <c r="K121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1" s="1" t="s">
        <v>38</v>
      </c>
      <c r="M121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1" s="1" t="s">
        <v>38</v>
      </c>
      <c r="O121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1" s="1" t="s">
        <v>38</v>
      </c>
      <c r="Q121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1" s="1" t="s">
        <v>38</v>
      </c>
      <c r="S121" s="2" t="s">
        <v>2</v>
      </c>
      <c r="U121" s="1" t="s">
        <v>36</v>
      </c>
      <c r="V121" s="1" t="str">
        <f>IF(TRIM(CLEAN(A121))="","",_xlfn.TEXTBEFORE(_xlfn.TEXTAFTER(A121,"Unit "),"-"))</f>
        <v>5</v>
      </c>
      <c r="W121" s="1" t="str">
        <f>IF(TRIM(CLEAN(A121))="","",_xlfn.TEXTBEFORE(_xlfn.TEXTAFTER(A121,"-"),"-"))</f>
        <v>17</v>
      </c>
      <c r="X121" s="1" t="str">
        <f>IF(TRIM(CLEAN(A121))="","",_xlfn.TEXTAFTER(A121,"-",-1))</f>
        <v>0209</v>
      </c>
    </row>
    <row r="122" spans="1:24" hidden="1" x14ac:dyDescent="0.4">
      <c r="A122" s="88" t="s">
        <v>185</v>
      </c>
      <c r="B122" s="1" t="s">
        <v>34</v>
      </c>
      <c r="C122" s="3">
        <v>46126</v>
      </c>
      <c r="D122" s="3">
        <v>46140</v>
      </c>
      <c r="E122" s="1">
        <f ca="1">IF(DMRB5[[#This Row],[Move_out ]]="","",TODAY()-DMRB5[[#This Row],[Move_out ]])</f>
        <v>-56</v>
      </c>
      <c r="F122" s="2"/>
      <c r="G122" s="1" t="str">
        <f ca="1">IF(DMRB5[[#This Row],[Move_in]]="","",TODAY()-DMRB5[[#This Row],[Move_in]])</f>
        <v/>
      </c>
      <c r="H122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2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2" s="1" t="s">
        <v>38</v>
      </c>
      <c r="K122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2" s="1" t="s">
        <v>38</v>
      </c>
      <c r="M122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2" s="1" t="s">
        <v>38</v>
      </c>
      <c r="O122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2" s="1" t="s">
        <v>38</v>
      </c>
      <c r="Q122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2" s="1" t="s">
        <v>38</v>
      </c>
      <c r="S122" s="2" t="s">
        <v>42</v>
      </c>
      <c r="U122" s="1" t="s">
        <v>36</v>
      </c>
      <c r="V122" s="1" t="str">
        <f>IF(TRIM(CLEAN(A122))="","",_xlfn.TEXTBEFORE(_xlfn.TEXTAFTER(A122,"Unit "),"-"))</f>
        <v>8</v>
      </c>
      <c r="W122" s="1" t="str">
        <f>IF(TRIM(CLEAN(A122))="","",_xlfn.TEXTBEFORE(_xlfn.TEXTAFTER(A122,"-"),"-"))</f>
        <v>01</v>
      </c>
      <c r="X122" s="1" t="str">
        <f>IF(TRIM(CLEAN(A122))="","",_xlfn.TEXTAFTER(A122,"-",-1))</f>
        <v>4110</v>
      </c>
    </row>
    <row r="123" spans="1:24" hidden="1" x14ac:dyDescent="0.4">
      <c r="A123" s="88" t="s">
        <v>186</v>
      </c>
      <c r="B123" s="1" t="s">
        <v>34</v>
      </c>
      <c r="C123" s="3">
        <v>46131</v>
      </c>
      <c r="D123" s="3">
        <v>46144</v>
      </c>
      <c r="E123" s="1">
        <f ca="1">IF(DMRB5[[#This Row],[Move_out ]]="","",TODAY()-DMRB5[[#This Row],[Move_out ]])</f>
        <v>-61</v>
      </c>
      <c r="F123" s="2"/>
      <c r="G123" s="1" t="str">
        <f ca="1">IF(DMRB5[[#This Row],[Move_in]]="","",TODAY()-DMRB5[[#This Row],[Move_in]])</f>
        <v/>
      </c>
      <c r="H123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3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3" s="1" t="s">
        <v>38</v>
      </c>
      <c r="K123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3" s="1" t="s">
        <v>38</v>
      </c>
      <c r="M123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3" s="1" t="s">
        <v>38</v>
      </c>
      <c r="O123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3" s="1" t="s">
        <v>38</v>
      </c>
      <c r="Q123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3" s="1" t="s">
        <v>38</v>
      </c>
      <c r="S123" s="2" t="s">
        <v>42</v>
      </c>
      <c r="U123" s="1" t="s">
        <v>36</v>
      </c>
      <c r="V123" s="1" t="str">
        <f>IF(TRIM(CLEAN(A123))="","",_xlfn.TEXTBEFORE(_xlfn.TEXTAFTER(A123,"Unit "),"-"))</f>
        <v>8</v>
      </c>
      <c r="W123" s="1" t="str">
        <f>IF(TRIM(CLEAN(A123))="","",_xlfn.TEXTBEFORE(_xlfn.TEXTAFTER(A123,"-"),"-"))</f>
        <v>01</v>
      </c>
      <c r="X123" s="1" t="str">
        <f>IF(TRIM(CLEAN(A123))="","",_xlfn.TEXTAFTER(A123,"-",-1))</f>
        <v>4017</v>
      </c>
    </row>
    <row r="124" spans="1:24" hidden="1" x14ac:dyDescent="0.4">
      <c r="A124" s="88" t="s">
        <v>187</v>
      </c>
      <c r="B124" s="1" t="s">
        <v>34</v>
      </c>
      <c r="C124" s="3">
        <v>46135</v>
      </c>
      <c r="D124" s="3">
        <v>46149</v>
      </c>
      <c r="E124" s="1">
        <f ca="1">IF(DMRB5[[#This Row],[Move_out ]]="","",TODAY()-DMRB5[[#This Row],[Move_out ]])</f>
        <v>-65</v>
      </c>
      <c r="F124" s="2"/>
      <c r="G124" s="1" t="str">
        <f ca="1">IF(DMRB5[[#This Row],[Move_in]]="","",TODAY()-DMRB5[[#This Row],[Move_in]])</f>
        <v/>
      </c>
      <c r="H124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4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4" s="1" t="s">
        <v>38</v>
      </c>
      <c r="K124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4" s="1" t="s">
        <v>38</v>
      </c>
      <c r="M124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4" s="1" t="s">
        <v>38</v>
      </c>
      <c r="O124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4" s="1" t="s">
        <v>38</v>
      </c>
      <c r="Q124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4" s="1" t="s">
        <v>38</v>
      </c>
      <c r="S124" s="2" t="s">
        <v>2</v>
      </c>
      <c r="U124" s="1" t="s">
        <v>36</v>
      </c>
      <c r="V124" s="1" t="str">
        <f>IF(TRIM(CLEAN(A124))="","",_xlfn.TEXTBEFORE(_xlfn.TEXTAFTER(A124,"Unit "),"-"))</f>
        <v>5</v>
      </c>
      <c r="W124" s="1" t="str">
        <f>IF(TRIM(CLEAN(A124))="","",_xlfn.TEXTBEFORE(_xlfn.TEXTAFTER(A124,"-"),"-"))</f>
        <v>16</v>
      </c>
      <c r="X124" s="1" t="str">
        <f>IF(TRIM(CLEAN(A124))="","",_xlfn.TEXTAFTER(A124,"-",-1))</f>
        <v>0203</v>
      </c>
    </row>
    <row r="125" spans="1:24" hidden="1" x14ac:dyDescent="0.4">
      <c r="A125" s="88" t="s">
        <v>188</v>
      </c>
      <c r="B125" s="1" t="s">
        <v>34</v>
      </c>
      <c r="C125" s="3">
        <v>46139</v>
      </c>
      <c r="D125" s="3">
        <v>46151</v>
      </c>
      <c r="E125" s="1">
        <f ca="1">IF(DMRB5[[#This Row],[Move_out ]]="","",TODAY()-DMRB5[[#This Row],[Move_out ]])</f>
        <v>-69</v>
      </c>
      <c r="F125" s="2"/>
      <c r="G125" s="1" t="str">
        <f ca="1">IF(DMRB5[[#This Row],[Move_in]]="","",TODAY()-DMRB5[[#This Row],[Move_in]])</f>
        <v/>
      </c>
      <c r="H125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5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5" s="1" t="s">
        <v>38</v>
      </c>
      <c r="K125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5" s="1" t="s">
        <v>38</v>
      </c>
      <c r="M125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5" s="1" t="s">
        <v>38</v>
      </c>
      <c r="O125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5" s="1" t="s">
        <v>38</v>
      </c>
      <c r="Q125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5" s="1" t="s">
        <v>38</v>
      </c>
      <c r="S125" s="2" t="s">
        <v>39</v>
      </c>
      <c r="U125" s="1" t="s">
        <v>36</v>
      </c>
      <c r="V125" s="1" t="str">
        <f>IF(TRIM(CLEAN(A125))="","",_xlfn.TEXTBEFORE(_xlfn.TEXTAFTER(A125,"Unit "),"-"))</f>
        <v>7</v>
      </c>
      <c r="W125" s="1" t="str">
        <f>IF(TRIM(CLEAN(A125))="","",_xlfn.TEXTBEFORE(_xlfn.TEXTAFTER(A125,"-"),"-"))</f>
        <v>03</v>
      </c>
      <c r="X125" s="1" t="str">
        <f>IF(TRIM(CLEAN(A125))="","",_xlfn.TEXTAFTER(A125,"-",-1))</f>
        <v>0118</v>
      </c>
    </row>
    <row r="126" spans="1:24" hidden="1" x14ac:dyDescent="0.4">
      <c r="A126" s="88" t="s">
        <v>189</v>
      </c>
      <c r="B126" s="1" t="s">
        <v>34</v>
      </c>
      <c r="C126" s="3">
        <v>46140</v>
      </c>
      <c r="D126" s="3">
        <v>46154</v>
      </c>
      <c r="E126" s="1">
        <f ca="1">IF(DMRB5[[#This Row],[Move_out ]]="","",TODAY()-DMRB5[[#This Row],[Move_out ]])</f>
        <v>-70</v>
      </c>
      <c r="F126" s="2"/>
      <c r="G126" s="1" t="str">
        <f ca="1">IF(DMRB5[[#This Row],[Move_in]]="","",TODAY()-DMRB5[[#This Row],[Move_in]])</f>
        <v/>
      </c>
      <c r="H126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6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6" s="1" t="s">
        <v>38</v>
      </c>
      <c r="K126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6" s="1" t="s">
        <v>38</v>
      </c>
      <c r="M126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6" s="1" t="s">
        <v>38</v>
      </c>
      <c r="O126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6" s="1" t="s">
        <v>38</v>
      </c>
      <c r="Q126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6" s="1" t="s">
        <v>38</v>
      </c>
      <c r="S126" s="2" t="s">
        <v>42</v>
      </c>
      <c r="U126" s="1" t="s">
        <v>36</v>
      </c>
      <c r="V126" s="1" t="str">
        <f>IF(TRIM(CLEAN(A126))="","",_xlfn.TEXTBEFORE(_xlfn.TEXTAFTER(A126,"Unit "),"-"))</f>
        <v>8</v>
      </c>
      <c r="W126" s="1" t="str">
        <f>IF(TRIM(CLEAN(A126))="","",_xlfn.TEXTBEFORE(_xlfn.TEXTAFTER(A126,"-"),"-"))</f>
        <v>01</v>
      </c>
      <c r="X126" s="1" t="str">
        <f>IF(TRIM(CLEAN(A126))="","",_xlfn.TEXTAFTER(A126,"-",-1))</f>
        <v>2094</v>
      </c>
    </row>
    <row r="127" spans="1:24" hidden="1" x14ac:dyDescent="0.4">
      <c r="A127" s="88" t="s">
        <v>190</v>
      </c>
      <c r="B127" s="1" t="s">
        <v>34</v>
      </c>
      <c r="C127" s="3">
        <v>46153</v>
      </c>
      <c r="D127" s="3">
        <v>46165</v>
      </c>
      <c r="E127" s="1">
        <f ca="1">IF(DMRB5[[#This Row],[Move_out ]]="","",TODAY()-DMRB5[[#This Row],[Move_out ]])</f>
        <v>-83</v>
      </c>
      <c r="F127" s="2"/>
      <c r="G127" s="1" t="str">
        <f ca="1">IF(DMRB5[[#This Row],[Move_in]]="","",TODAY()-DMRB5[[#This Row],[Move_in]])</f>
        <v/>
      </c>
      <c r="H127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7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7" s="1" t="s">
        <v>38</v>
      </c>
      <c r="K127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7" s="1" t="s">
        <v>38</v>
      </c>
      <c r="M127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7" s="1" t="s">
        <v>38</v>
      </c>
      <c r="O127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7" s="1" t="s">
        <v>38</v>
      </c>
      <c r="Q127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7" s="1" t="s">
        <v>38</v>
      </c>
      <c r="S127" s="2" t="s">
        <v>39</v>
      </c>
      <c r="U127" s="1" t="s">
        <v>36</v>
      </c>
      <c r="V127" s="1" t="str">
        <f>IF(TRIM(CLEAN(A127))="","",_xlfn.TEXTBEFORE(_xlfn.TEXTAFTER(A127,"Unit "),"-"))</f>
        <v>7</v>
      </c>
      <c r="W127" s="1" t="str">
        <f>IF(TRIM(CLEAN(A127))="","",_xlfn.TEXTBEFORE(_xlfn.TEXTAFTER(A127,"-"),"-"))</f>
        <v>11</v>
      </c>
      <c r="X127" s="1" t="str">
        <f>IF(TRIM(CLEAN(A127))="","",_xlfn.TEXTAFTER(A127,"-",-1))</f>
        <v>0202</v>
      </c>
    </row>
    <row r="128" spans="1:24" hidden="1" x14ac:dyDescent="0.4">
      <c r="A128" s="88" t="s">
        <v>191</v>
      </c>
      <c r="B128" s="1" t="s">
        <v>34</v>
      </c>
      <c r="C128" s="3">
        <v>46174</v>
      </c>
      <c r="D128" s="3">
        <v>46186</v>
      </c>
      <c r="E128" s="1">
        <f ca="1">IF(DMRB5[[#This Row],[Move_out ]]="","",TODAY()-DMRB5[[#This Row],[Move_out ]])</f>
        <v>-104</v>
      </c>
      <c r="F128" s="2"/>
      <c r="G128" s="1" t="str">
        <f ca="1">IF(DMRB5[[#This Row],[Move_in]]="","",TODAY()-DMRB5[[#This Row],[Move_in]])</f>
        <v/>
      </c>
      <c r="H128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8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8" s="1" t="s">
        <v>38</v>
      </c>
      <c r="K128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8" s="1" t="s">
        <v>38</v>
      </c>
      <c r="M128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8" s="1" t="s">
        <v>38</v>
      </c>
      <c r="O128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8" s="1" t="s">
        <v>38</v>
      </c>
      <c r="Q128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8" s="1" t="s">
        <v>38</v>
      </c>
      <c r="S128" s="2" t="s">
        <v>2</v>
      </c>
      <c r="U128" s="1" t="s">
        <v>36</v>
      </c>
      <c r="V128" s="1" t="str">
        <f>IF(TRIM(CLEAN(A128))="","",_xlfn.TEXTBEFORE(_xlfn.TEXTAFTER(A128,"Unit "),"-"))</f>
        <v>5</v>
      </c>
      <c r="W128" s="1" t="str">
        <f>IF(TRIM(CLEAN(A128))="","",_xlfn.TEXTBEFORE(_xlfn.TEXTAFTER(A128,"-"),"-"))</f>
        <v>13</v>
      </c>
      <c r="X128" s="1" t="str">
        <f>IF(TRIM(CLEAN(A128))="","",_xlfn.TEXTAFTER(A128,"-",-1))</f>
        <v>0203</v>
      </c>
    </row>
    <row r="129" spans="1:24" hidden="1" x14ac:dyDescent="0.4">
      <c r="A129" s="88" t="s">
        <v>192</v>
      </c>
      <c r="B129" s="1" t="s">
        <v>34</v>
      </c>
      <c r="C129" s="3">
        <v>46174</v>
      </c>
      <c r="D129" s="3">
        <v>46186</v>
      </c>
      <c r="E129" s="1">
        <f ca="1">IF(DMRB5[[#This Row],[Move_out ]]="","",TODAY()-DMRB5[[#This Row],[Move_out ]])</f>
        <v>-104</v>
      </c>
      <c r="F129" s="2"/>
      <c r="G129" s="1" t="str">
        <f ca="1">IF(DMRB5[[#This Row],[Move_in]]="","",TODAY()-DMRB5[[#This Row],[Move_in]])</f>
        <v/>
      </c>
      <c r="H129" s="1" t="str">
        <f ca="1">IF(
  AND(DMRB5[[#This Row],[Move_in]]&lt;&gt;"", DMRB5[[#This Row],[Move_in]]&lt;=TODAY()),
  "MOVE IN",
  IF(
    AND(
      DMRB5[[#This Row],[Move_out ]]&lt;&gt;"", DMRB5[[#This Row],[Move_out ]]&lt;=TODAY(),
      DMRB5[[#This Row],[Move_in]]&lt;&gt;"", DMRB5[[#This Row],[Move_in]]&gt;TODAY()
    ),
    "SMI",
    IF(
      AND(
        DMRB5[[#This Row],[Move_out ]]&lt;&gt;"", DMRB5[[#This Row],[Move_out ]]&lt;=TODAY(),
        OR(DMRB5[[#This Row],[Move_in]]="", DMRB5[[#This Row],[Move_in]]&lt;DATE(1990,1,1))
      ),
      "VACANT",
      IF(
        AND(
          DMRB5[[#This Row],[Move_out ]]&lt;&gt;"", DMRB5[[#This Row],[Move_out ]]&gt;TODAY(),
          DMRB5[[#This Row],[Move_in]]&lt;&gt;"", DMRB5[[#This Row],[Move_in]]&gt;TODAY()
        ),
        "NOTICE + SMI",
        IF(
          AND(
            DMRB5[[#This Row],[Move_out ]]&lt;&gt;"", DMRB5[[#This Row],[Move_out ]]&gt;TODAY(),
            OR(DMRB5[[#This Row],[Move_in]]="", DMRB5[[#This Row],[Move_in]]&lt;DATE(1990,1,1))
          ),
          "NOTICE",
          ""
        )
      )
    )
  )
)</f>
        <v>NOTICE</v>
      </c>
      <c r="I129" s="3" t="str">
        <f>IF(DMRB5[[#This Row],[Move_out ]]="","",
IF(OR(DMRB5[[#This Row],[Insp_status ]]="In Progress",DMRB5[[#This Row],[Insp_status ]]="Done",
DMRB5[[#This Row],[Insp_status ]]="Scheduled"),
WORKDAY(DMRB5[[#This Row],[Move_out ]],1),
""))</f>
        <v/>
      </c>
      <c r="J129" s="1" t="s">
        <v>38</v>
      </c>
      <c r="K129" s="3" t="str">
        <f>IF(DMRB5[[#This Row],[Move_out ]]="","",
IF(OR(DMRB5[[#This Row],[Paint_status]]="In Progress",DMRB5[[#This Row],[Paint_status]]="Done",
DMRB5[[#This Row],[Paint_status]]="Scheduled"),
WORKDAY(DMRB5[[#This Row],[Move_out ]],2),
""))</f>
        <v/>
      </c>
      <c r="L129" s="1" t="s">
        <v>38</v>
      </c>
      <c r="M129" s="3" t="str">
        <f>IF(DMRB5[[#This Row],[Move_out ]]="","",
IF(OR(DMRB5[[#This Row],[MR_Status]]="In Progress",DMRB5[[#This Row],[MR_Status]]="Done",
DMRB5[[#This Row],[MR_Status]]="Scheduled"),
WORKDAY(DMRB5[[#This Row],[Move_out ]],3),
""))</f>
        <v/>
      </c>
      <c r="N129" s="1" t="s">
        <v>38</v>
      </c>
      <c r="O129" s="3" t="str">
        <f>IF(DMRB5[[#This Row],[Move_out ]]="","",
IF(OR(DMRB5[[#This Row],[HK_Status]]="In Progress",DMRB5[[#This Row],[HK_Status]]="Done",
DMRB5[[#This Row],[HK_Status]]="Scheduled"),
WORKDAY(DMRB5[[#This Row],[Move_out ]],6),
""))</f>
        <v/>
      </c>
      <c r="P129" s="1" t="s">
        <v>38</v>
      </c>
      <c r="Q129" s="3" t="str">
        <f>IF(DMRB5[[#This Row],[Move_out ]]="","",
IF(OR(DMRB5[[#This Row],[CC_status]]="In Progress",DMRB5[[#This Row],[CC_status]]="Done",
DMRB5[[#This Row],[CC_status]]="Scheduled"),
WORKDAY(DMRB5[[#This Row],[Move_out ]],7),
""))</f>
        <v/>
      </c>
      <c r="R129" s="1" t="s">
        <v>38</v>
      </c>
      <c r="S129" s="2" t="s">
        <v>39</v>
      </c>
      <c r="U129" s="1" t="s">
        <v>36</v>
      </c>
      <c r="V129" s="1" t="str">
        <f>IF(TRIM(CLEAN(A129))="","",_xlfn.TEXTBEFORE(_xlfn.TEXTAFTER(A129,"Unit "),"-"))</f>
        <v>7</v>
      </c>
      <c r="W129" s="1" t="str">
        <f>IF(TRIM(CLEAN(A129))="","",_xlfn.TEXTBEFORE(_xlfn.TEXTAFTER(A129,"-"),"-"))</f>
        <v>04</v>
      </c>
      <c r="X129" s="1" t="str">
        <f>IF(TRIM(CLEAN(A129))="","",_xlfn.TEXTAFTER(A129,"-",-1))</f>
        <v>0201</v>
      </c>
    </row>
  </sheetData>
  <phoneticPr fontId="16" type="noConversion"/>
  <dataValidations count="5">
    <dataValidation type="list" allowBlank="1" showInputMessage="1" showErrorMessage="1" sqref="B1 L2:L129 P2:P129 N2:N129 J2:J129 R2:R129" xr:uid="{5FDD7C31-C6D1-3E42-9F16-1EE2D9DA2334}">
      <formula1>TS</formula1>
    </dataValidation>
    <dataValidation type="list" allowBlank="1" showInputMessage="1" showErrorMessage="1" sqref="T2:T61 T63:T78 T128:T129 T80" xr:uid="{4669EDF1-171E-F441-8ADB-B1D6C390AB07}">
      <formula1>W_D</formula1>
    </dataValidation>
    <dataValidation type="list" allowBlank="1" showInputMessage="1" showErrorMessage="1" sqref="B2:B129" xr:uid="{5A41FC8D-2F04-AD43-8DC4-C383ACF876D8}">
      <formula1>Status</formula1>
    </dataValidation>
    <dataValidation type="list" allowBlank="1" showInputMessage="1" showErrorMessage="1" sqref="U2:U129" xr:uid="{FBC45699-2895-5242-866F-682F54A7B232}">
      <formula1>QC</formula1>
    </dataValidation>
    <dataValidation type="list" allowBlank="1" showInputMessage="1" showErrorMessage="1" sqref="S2:S129" xr:uid="{8EB731CD-1A3B-3D4F-A8B4-D77D9D619382}">
      <formula1>Assign</formula1>
    </dataValidation>
  </dataValidation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4935-E292-5944-8A73-0303E2A1390B}">
  <dimension ref="A1:BE129"/>
  <sheetViews>
    <sheetView topLeftCell="A184" workbookViewId="0">
      <selection activeCell="C1" sqref="C1:C1048576"/>
    </sheetView>
  </sheetViews>
  <sheetFormatPr defaultColWidth="10.6640625" defaultRowHeight="16" x14ac:dyDescent="0.4"/>
  <cols>
    <col min="1" max="1" width="18" style="1" customWidth="1"/>
    <col min="2" max="2" width="20.5" style="1" customWidth="1"/>
    <col min="3" max="3" width="28.1640625" style="1" customWidth="1"/>
    <col min="4" max="4" width="25.1640625" style="1" customWidth="1"/>
    <col min="5" max="5" width="16.6640625" style="1" customWidth="1"/>
    <col min="6" max="6" width="27.33203125" style="1" customWidth="1"/>
    <col min="7" max="7" width="18.6640625" style="1" customWidth="1"/>
    <col min="8" max="8" width="14.33203125" bestFit="1" customWidth="1"/>
    <col min="9" max="9" width="14.6640625" bestFit="1" customWidth="1"/>
    <col min="10" max="10" width="10.5" bestFit="1" customWidth="1"/>
    <col min="11" max="11" width="11" bestFit="1" customWidth="1"/>
    <col min="12" max="12" width="4.1640625" bestFit="1" customWidth="1"/>
    <col min="13" max="13" width="10.5" bestFit="1" customWidth="1"/>
    <col min="14" max="14" width="5.6640625" bestFit="1" customWidth="1"/>
    <col min="15" max="15" width="12.1640625" bestFit="1" customWidth="1"/>
    <col min="16" max="18" width="10.5" bestFit="1" customWidth="1"/>
    <col min="19" max="19" width="11.1640625" bestFit="1" customWidth="1"/>
    <col min="20" max="25" width="10.5" bestFit="1" customWidth="1"/>
    <col min="26" max="26" width="8.1640625" bestFit="1" customWidth="1"/>
    <col min="27" max="27" width="9" bestFit="1" customWidth="1"/>
    <col min="28" max="28" width="3.83203125" bestFit="1" customWidth="1"/>
    <col min="29" max="29" width="2.1640625" bestFit="1" customWidth="1"/>
    <col min="30" max="30" width="4.33203125" bestFit="1" customWidth="1"/>
    <col min="31" max="31" width="5.1640625" bestFit="1" customWidth="1"/>
    <col min="32" max="32" width="33.83203125" bestFit="1" customWidth="1"/>
    <col min="33" max="33" width="9" bestFit="1" customWidth="1"/>
    <col min="34" max="34" width="16.33203125" bestFit="1" customWidth="1"/>
    <col min="35" max="35" width="16.83203125" bestFit="1" customWidth="1"/>
    <col min="36" max="36" width="9" bestFit="1" customWidth="1"/>
    <col min="37" max="37" width="15.33203125" bestFit="1" customWidth="1"/>
    <col min="38" max="38" width="16.33203125" bestFit="1" customWidth="1"/>
    <col min="39" max="39" width="17.1640625" bestFit="1" customWidth="1"/>
    <col min="40" max="40" width="14.5" bestFit="1" customWidth="1"/>
    <col min="41" max="41" width="16.6640625" bestFit="1" customWidth="1"/>
    <col min="42" max="42" width="10.83203125" bestFit="1" customWidth="1"/>
    <col min="43" max="43" width="14.33203125" bestFit="1" customWidth="1"/>
    <col min="44" max="44" width="7" bestFit="1" customWidth="1"/>
    <col min="45" max="45" width="12.5" bestFit="1" customWidth="1"/>
    <col min="46" max="46" width="16.5" bestFit="1" customWidth="1"/>
    <col min="47" max="47" width="24.5" bestFit="1" customWidth="1"/>
    <col min="48" max="48" width="14.83203125" bestFit="1" customWidth="1"/>
    <col min="49" max="49" width="21.83203125" bestFit="1" customWidth="1"/>
    <col min="50" max="50" width="15.5" bestFit="1" customWidth="1"/>
    <col min="51" max="52" width="13.33203125" bestFit="1" customWidth="1"/>
    <col min="53" max="54" width="17.6640625" bestFit="1" customWidth="1"/>
    <col min="55" max="55" width="35.6640625" bestFit="1" customWidth="1"/>
    <col min="56" max="56" width="13.33203125" bestFit="1" customWidth="1"/>
    <col min="57" max="57" width="9.6640625" bestFit="1" customWidth="1"/>
    <col min="58" max="58" width="19.5" bestFit="1" customWidth="1"/>
    <col min="59" max="59" width="14.5" bestFit="1" customWidth="1"/>
    <col min="60" max="60" width="47.6640625" bestFit="1" customWidth="1"/>
    <col min="61" max="61" width="20.83203125" bestFit="1" customWidth="1"/>
    <col min="62" max="62" width="21.5" bestFit="1" customWidth="1"/>
    <col min="63" max="63" width="20.33203125" bestFit="1" customWidth="1"/>
    <col min="64" max="64" width="34.1640625" bestFit="1" customWidth="1"/>
    <col min="65" max="65" width="18" bestFit="1" customWidth="1"/>
    <col min="66" max="66" width="15.6640625" bestFit="1" customWidth="1"/>
    <col min="67" max="67" width="17" bestFit="1" customWidth="1"/>
    <col min="68" max="68" width="18.33203125" bestFit="1" customWidth="1"/>
    <col min="69" max="69" width="22.1640625" bestFit="1" customWidth="1"/>
    <col min="70" max="70" width="50.33203125" bestFit="1" customWidth="1"/>
  </cols>
  <sheetData>
    <row r="1" spans="1:57" x14ac:dyDescent="0.4">
      <c r="A1" s="34" t="e" cm="1" vm="1">
        <f t="array" aca="1" ref="A1" ca="1">_xlfn._xlws.PY(0,1,DMRB5[])</f>
        <v>#VALUE!</v>
      </c>
      <c r="B1" s="34" t="e" cm="1" vm="2">
        <f t="array" aca="1" ref="B1" ca="1">_xlfn._xlws.PY(1,1,Core_Facts)</f>
        <v>#VALUE!</v>
      </c>
      <c r="C1" s="34" t="str" cm="1">
        <f t="array" aca="1" ref="C1:BE129" ca="1">_xlfn._xlws.PY(2,0,Intelligence_Layer)</f>
        <v/>
      </c>
      <c r="D1" s="34" t="str">
        <f ca="1"/>
        <v>Unit</v>
      </c>
      <c r="E1" s="34" t="str">
        <f ca="1"/>
        <v>Status</v>
      </c>
      <c r="F1" s="34" t="str">
        <f ca="1"/>
        <v>Move_out</v>
      </c>
      <c r="G1" s="34" t="str">
        <f ca="1"/>
        <v>Ready_Date</v>
      </c>
      <c r="H1" s="34" t="str">
        <f ca="1"/>
        <v>DV</v>
      </c>
      <c r="I1" t="str">
        <f ca="1"/>
        <v>Move_in</v>
      </c>
      <c r="J1" t="str">
        <f ca="1"/>
        <v>DTBR</v>
      </c>
      <c r="K1" t="str">
        <f ca="1"/>
        <v>N/V/M</v>
      </c>
      <c r="L1" t="str">
        <f ca="1"/>
        <v>Insp</v>
      </c>
      <c r="M1" t="str">
        <f ca="1"/>
        <v>Insp_status</v>
      </c>
      <c r="N1" t="str">
        <f ca="1"/>
        <v>Paint</v>
      </c>
      <c r="O1" t="str">
        <f ca="1"/>
        <v>Paint_status</v>
      </c>
      <c r="P1" t="str">
        <f ca="1"/>
        <v>MR</v>
      </c>
      <c r="Q1" t="str">
        <f ca="1"/>
        <v>MR_Status</v>
      </c>
      <c r="R1" t="str">
        <f ca="1"/>
        <v>HK</v>
      </c>
      <c r="S1" t="str">
        <f ca="1"/>
        <v>HK_Status</v>
      </c>
      <c r="T1" t="str">
        <f ca="1"/>
        <v>CC</v>
      </c>
      <c r="U1" t="str">
        <f ca="1"/>
        <v>CC_status</v>
      </c>
      <c r="V1" t="str">
        <f ca="1"/>
        <v>Assign</v>
      </c>
      <c r="W1" t="str">
        <f ca="1"/>
        <v>W_D</v>
      </c>
      <c r="X1" t="str">
        <f ca="1"/>
        <v>QC</v>
      </c>
      <c r="Y1" t="str">
        <f ca="1"/>
        <v>P</v>
      </c>
      <c r="Z1" t="str">
        <f ca="1"/>
        <v>B</v>
      </c>
      <c r="AA1" t="str">
        <f ca="1"/>
        <v>U</v>
      </c>
      <c r="AB1" t="str">
        <f ca="1"/>
        <v>Notes</v>
      </c>
      <c r="AC1" t="str">
        <f ca="1"/>
        <v>Note_Text</v>
      </c>
      <c r="AD1" t="str">
        <f ca="1"/>
        <v>Has_Note_Context</v>
      </c>
      <c r="AE1" t="str">
        <f ca="1"/>
        <v>Note_Category</v>
      </c>
      <c r="AF1" t="str">
        <f ca="1"/>
        <v>Has_Assignment</v>
      </c>
      <c r="AG1" t="str">
        <f ca="1"/>
        <v>Is_MoveIn_Present</v>
      </c>
      <c r="AH1" t="str">
        <f ca="1"/>
        <v>Is_Ready_Declared</v>
      </c>
      <c r="AI1" t="str">
        <f ca="1"/>
        <v>Is_Vacant</v>
      </c>
      <c r="AJ1" t="str">
        <f ca="1"/>
        <v>Is_SMI</v>
      </c>
      <c r="AK1" t="str">
        <f ca="1"/>
        <v>Is_On_Notice</v>
      </c>
      <c r="AL1" t="str">
        <f ca="1"/>
        <v>Is_Allowed_Phase</v>
      </c>
      <c r="AM1" t="str">
        <f ca="1"/>
        <v>Is_QC_Done</v>
      </c>
      <c r="AN1" t="str">
        <f ca="1"/>
        <v>Aging_Business_Days</v>
      </c>
      <c r="AO1" t="str">
        <f ca="1"/>
        <v>Task_State</v>
      </c>
      <c r="AP1" t="str">
        <f ca="1"/>
        <v>Task_Completion_Ratio</v>
      </c>
      <c r="AQ1" t="str">
        <f ca="1"/>
        <v>Table_Current_Task</v>
      </c>
      <c r="AR1" t="str">
        <f ca="1"/>
        <v>Table_Next_Task</v>
      </c>
      <c r="AS1" t="str">
        <f ca="1"/>
        <v>Is_Task_Stalled</v>
      </c>
      <c r="AT1" t="str">
        <f ca="1"/>
        <v>Status_Norm</v>
      </c>
      <c r="AU1" t="str">
        <f ca="1"/>
        <v>Is_Unit_Ready</v>
      </c>
      <c r="AV1" t="str">
        <f ca="1"/>
        <v>Is_Unit_Ready_For_Moving</v>
      </c>
      <c r="AW1" t="str">
        <f ca="1"/>
        <v>In_Turn_Execution</v>
      </c>
      <c r="AX1" t="str">
        <f ca="1"/>
        <v>Operational_State</v>
      </c>
      <c r="AY1" t="str">
        <f ca="1"/>
        <v>Prevention_Risk_Flag</v>
      </c>
      <c r="AZ1" t="str">
        <f ca="1"/>
        <v>Attention_Badge</v>
      </c>
      <c r="BA1" t="str">
        <f ca="1"/>
        <v>Days_To_MoveIn</v>
      </c>
      <c r="BB1" t="str">
        <f ca="1"/>
        <v>Inspection_SLA_Breach</v>
      </c>
      <c r="BC1" t="str">
        <f ca="1"/>
        <v>SLA_Breach</v>
      </c>
      <c r="BD1" t="str">
        <f ca="1"/>
        <v>SLA_MoveIn_Breach</v>
      </c>
      <c r="BE1" t="str">
        <f ca="1"/>
        <v>Plan_Breach</v>
      </c>
    </row>
    <row r="2" spans="1:57" x14ac:dyDescent="0.4">
      <c r="C2" s="1">
        <f ca="1"/>
        <v>31</v>
      </c>
      <c r="D2" s="1" t="str">
        <f ca="1"/>
        <v>Unit 5-18-0116</v>
      </c>
      <c r="E2" s="1" t="str">
        <f ca="1"/>
        <v>Vacant not ready</v>
      </c>
      <c r="F2" s="1" vm="3">
        <f ca="1"/>
        <v>45748</v>
      </c>
      <c r="G2" s="1" vm="4">
        <f ca="1"/>
        <v>46081</v>
      </c>
      <c r="H2">
        <f ca="1"/>
        <v>322</v>
      </c>
      <c r="I2" t="e">
        <f ca="1"/>
        <v>#NUM!</v>
      </c>
      <c r="J2" t="str">
        <f ca="1"/>
        <v/>
      </c>
      <c r="K2" t="str">
        <f ca="1"/>
        <v>VACANT</v>
      </c>
      <c r="L2" vm="5">
        <f ca="1"/>
        <v>45749</v>
      </c>
      <c r="M2" t="str">
        <f ca="1"/>
        <v>Done</v>
      </c>
      <c r="N2" vm="6">
        <f ca="1"/>
        <v>45750</v>
      </c>
      <c r="O2" t="str">
        <f ca="1"/>
        <v>Done</v>
      </c>
      <c r="P2" vm="7">
        <f ca="1"/>
        <v>45751</v>
      </c>
      <c r="Q2" t="str">
        <f ca="1"/>
        <v>Done</v>
      </c>
      <c r="R2" vm="8">
        <f ca="1"/>
        <v>45756</v>
      </c>
      <c r="S2" t="str">
        <f ca="1"/>
        <v>Done</v>
      </c>
      <c r="T2" vm="9">
        <f ca="1"/>
        <v>45757</v>
      </c>
      <c r="U2" t="str">
        <f ca="1"/>
        <v>Done</v>
      </c>
      <c r="V2" t="str">
        <f ca="1"/>
        <v>Total</v>
      </c>
      <c r="W2" t="str">
        <f ca="1"/>
        <v>yes</v>
      </c>
      <c r="X2" t="str">
        <f ca="1"/>
        <v>No</v>
      </c>
      <c r="Y2" t="str">
        <f ca="1"/>
        <v>5</v>
      </c>
      <c r="Z2" t="str">
        <f ca="1"/>
        <v>18</v>
      </c>
      <c r="AA2" t="str">
        <f ca="1"/>
        <v>0116</v>
      </c>
      <c r="AB2" t="str">
        <f ca="1"/>
        <v>[ISSUE:Wether | weather storm  freezes]</v>
      </c>
      <c r="AC2" t="str">
        <f ca="1"/>
        <v>[ISSUE:Wether | weather storm  freezes]</v>
      </c>
      <c r="AD2" t="b">
        <f ca="1"/>
        <v>1</v>
      </c>
      <c r="AE2" t="str">
        <f ca="1"/>
        <v>ISSUE</v>
      </c>
      <c r="AF2" t="b">
        <f ca="1"/>
        <v>0</v>
      </c>
      <c r="AG2" t="b">
        <f ca="1"/>
        <v>0</v>
      </c>
      <c r="AH2" t="b">
        <f ca="1"/>
        <v>1</v>
      </c>
      <c r="AI2" t="b">
        <f ca="1"/>
        <v>1</v>
      </c>
      <c r="AJ2" t="b">
        <f ca="1"/>
        <v>0</v>
      </c>
      <c r="AK2" t="b">
        <f ca="1"/>
        <v>0</v>
      </c>
      <c r="AL2" t="b">
        <f ca="1"/>
        <v>1</v>
      </c>
      <c r="AM2" t="b">
        <f ca="1"/>
        <v>0</v>
      </c>
      <c r="AN2">
        <f ca="1"/>
        <v>230</v>
      </c>
      <c r="AO2" t="str">
        <f ca="1"/>
        <v>All Tasks Complete</v>
      </c>
      <c r="AP2">
        <f ca="1"/>
        <v>100</v>
      </c>
      <c r="AQ2" t="str">
        <f ca="1"/>
        <v>Inspection</v>
      </c>
      <c r="AR2" t="str">
        <f ca="1"/>
        <v>Paint</v>
      </c>
      <c r="AS2" t="b">
        <f ca="1"/>
        <v>0</v>
      </c>
      <c r="AT2" t="str">
        <f ca="1"/>
        <v>vacant not ready</v>
      </c>
      <c r="AU2" t="b">
        <f ca="1"/>
        <v>0</v>
      </c>
      <c r="AV2" t="b">
        <f ca="1"/>
        <v>0</v>
      </c>
      <c r="AW2" t="b">
        <f ca="1"/>
        <v>1</v>
      </c>
      <c r="AX2" t="str">
        <f ca="1"/>
        <v>Pending Start</v>
      </c>
      <c r="AY2" t="b">
        <f ca="1"/>
        <v>1</v>
      </c>
      <c r="AZ2" t="str">
        <f ca="1"/>
        <v>🟡 Needs Attention</v>
      </c>
      <c r="BA2" t="e">
        <f ca="1"/>
        <v>#NUM!</v>
      </c>
      <c r="BB2" t="b">
        <f ca="1"/>
        <v>0</v>
      </c>
      <c r="BC2" t="b">
        <f ca="1"/>
        <v>1</v>
      </c>
      <c r="BD2" t="b">
        <f ca="1"/>
        <v>0</v>
      </c>
      <c r="BE2" t="b">
        <f ca="1"/>
        <v>0</v>
      </c>
    </row>
    <row r="3" spans="1:57" x14ac:dyDescent="0.4">
      <c r="A3"/>
      <c r="B3"/>
      <c r="C3" s="1">
        <f ca="1"/>
        <v>30</v>
      </c>
      <c r="D3" s="1" t="str">
        <f ca="1"/>
        <v>Unit 5-12-0307</v>
      </c>
      <c r="E3" s="1" t="str">
        <f ca="1"/>
        <v>Vacant ready</v>
      </c>
      <c r="F3" s="1" vm="3">
        <f ca="1"/>
        <v>45748</v>
      </c>
      <c r="G3" s="1" vm="10">
        <f ca="1"/>
        <v>45744</v>
      </c>
      <c r="H3">
        <f ca="1"/>
        <v>322</v>
      </c>
      <c r="I3" t="e">
        <f ca="1"/>
        <v>#NUM!</v>
      </c>
      <c r="J3" t="str">
        <f ca="1"/>
        <v/>
      </c>
      <c r="K3" t="str">
        <f ca="1"/>
        <v>VACANT</v>
      </c>
      <c r="L3" vm="5">
        <f ca="1"/>
        <v>45749</v>
      </c>
      <c r="M3" t="str">
        <f ca="1"/>
        <v>Done</v>
      </c>
      <c r="N3" vm="6">
        <f ca="1"/>
        <v>45750</v>
      </c>
      <c r="O3" t="str">
        <f ca="1"/>
        <v>Done</v>
      </c>
      <c r="P3" vm="7">
        <f ca="1"/>
        <v>45751</v>
      </c>
      <c r="Q3" t="str">
        <f ca="1"/>
        <v>Done</v>
      </c>
      <c r="R3" vm="8">
        <f ca="1"/>
        <v>45756</v>
      </c>
      <c r="S3" t="str">
        <f ca="1"/>
        <v>Done</v>
      </c>
      <c r="T3" vm="9">
        <f ca="1"/>
        <v>45757</v>
      </c>
      <c r="U3" t="str">
        <f ca="1"/>
        <v>Done</v>
      </c>
      <c r="V3" t="str">
        <f ca="1"/>
        <v>Total</v>
      </c>
      <c r="W3" t="str">
        <f ca="1"/>
        <v>yes</v>
      </c>
      <c r="X3" t="str">
        <f ca="1"/>
        <v>No</v>
      </c>
      <c r="Y3" t="str">
        <f ca="1"/>
        <v>5</v>
      </c>
      <c r="Z3" t="str">
        <f ca="1"/>
        <v>12</v>
      </c>
      <c r="AA3" t="str">
        <f ca="1"/>
        <v>0307</v>
      </c>
      <c r="AB3" vm="11">
        <f ca="1"/>
        <v>0</v>
      </c>
      <c r="AC3" t="str">
        <f ca="1"/>
        <v/>
      </c>
      <c r="AD3" t="b">
        <f ca="1"/>
        <v>0</v>
      </c>
      <c r="AE3" t="str">
        <f ca="1"/>
        <v/>
      </c>
      <c r="AF3" t="b">
        <f ca="1"/>
        <v>0</v>
      </c>
      <c r="AG3" t="b">
        <f ca="1"/>
        <v>0</v>
      </c>
      <c r="AH3" t="b">
        <f ca="1"/>
        <v>1</v>
      </c>
      <c r="AI3" t="b">
        <f ca="1"/>
        <v>1</v>
      </c>
      <c r="AJ3" t="b">
        <f ca="1"/>
        <v>0</v>
      </c>
      <c r="AK3" t="b">
        <f ca="1"/>
        <v>0</v>
      </c>
      <c r="AL3" t="b">
        <f ca="1"/>
        <v>1</v>
      </c>
      <c r="AM3" t="b">
        <f ca="1"/>
        <v>0</v>
      </c>
      <c r="AN3">
        <f ca="1"/>
        <v>230</v>
      </c>
      <c r="AO3" t="str">
        <f ca="1"/>
        <v>All Tasks Complete</v>
      </c>
      <c r="AP3">
        <f ca="1"/>
        <v>100</v>
      </c>
      <c r="AQ3" t="str">
        <f ca="1"/>
        <v>Inspection</v>
      </c>
      <c r="AR3" t="str">
        <f ca="1"/>
        <v>Paint</v>
      </c>
      <c r="AS3" t="b">
        <f ca="1"/>
        <v>0</v>
      </c>
      <c r="AT3" t="str">
        <f ca="1"/>
        <v>vacant ready</v>
      </c>
      <c r="AU3" t="b">
        <f ca="1"/>
        <v>1</v>
      </c>
      <c r="AV3" t="b">
        <f ca="1"/>
        <v>0</v>
      </c>
      <c r="AW3" t="b">
        <f ca="1"/>
        <v>0</v>
      </c>
      <c r="AX3" t="str">
        <f ca="1"/>
        <v>Apartment Ready</v>
      </c>
      <c r="AY3" t="b">
        <f ca="1"/>
        <v>0</v>
      </c>
      <c r="AZ3" t="str">
        <f ca="1"/>
        <v>🟢 Apartment Ready</v>
      </c>
      <c r="BA3" t="e">
        <f ca="1"/>
        <v>#NUM!</v>
      </c>
      <c r="BB3" t="b">
        <f ca="1"/>
        <v>0</v>
      </c>
      <c r="BC3" t="b">
        <f ca="1"/>
        <v>0</v>
      </c>
      <c r="BD3" t="b">
        <f ca="1"/>
        <v>0</v>
      </c>
      <c r="BE3" t="b">
        <f ca="1"/>
        <v>0</v>
      </c>
    </row>
    <row r="4" spans="1:57" x14ac:dyDescent="0.4">
      <c r="C4" s="1">
        <f ca="1"/>
        <v>32</v>
      </c>
      <c r="D4" s="1" t="str">
        <f ca="1"/>
        <v>Unit 5-18-0238</v>
      </c>
      <c r="E4" s="1" t="str">
        <f ca="1"/>
        <v>Vacant ready</v>
      </c>
      <c r="F4" s="1" vm="12">
        <f ca="1"/>
        <v>45817</v>
      </c>
      <c r="G4" s="1" vm="13">
        <f ca="1"/>
        <v>45826</v>
      </c>
      <c r="H4">
        <f ca="1"/>
        <v>253</v>
      </c>
      <c r="I4" t="e">
        <f ca="1"/>
        <v>#NUM!</v>
      </c>
      <c r="J4" t="str">
        <f ca="1"/>
        <v/>
      </c>
      <c r="K4" t="str">
        <f ca="1"/>
        <v>VACANT</v>
      </c>
      <c r="L4" vm="14">
        <f ca="1"/>
        <v>45818</v>
      </c>
      <c r="M4" t="str">
        <f ca="1"/>
        <v>Done</v>
      </c>
      <c r="N4" vm="15">
        <f ca="1"/>
        <v>45819</v>
      </c>
      <c r="O4" t="str">
        <f ca="1"/>
        <v>Done</v>
      </c>
      <c r="P4" vm="16">
        <f ca="1"/>
        <v>45820</v>
      </c>
      <c r="Q4" t="str">
        <f ca="1"/>
        <v>Done</v>
      </c>
      <c r="R4" vm="17">
        <f ca="1"/>
        <v>45825</v>
      </c>
      <c r="S4" t="str">
        <f ca="1"/>
        <v>Done</v>
      </c>
      <c r="T4" vm="13">
        <f ca="1"/>
        <v>45826</v>
      </c>
      <c r="U4" t="str">
        <f ca="1"/>
        <v>Done</v>
      </c>
      <c r="V4" t="str">
        <f ca="1"/>
        <v>Total</v>
      </c>
      <c r="W4" t="str">
        <f ca="1"/>
        <v>yes</v>
      </c>
      <c r="X4" t="str">
        <f ca="1"/>
        <v>No</v>
      </c>
      <c r="Y4" t="str">
        <f ca="1"/>
        <v>5</v>
      </c>
      <c r="Z4" t="str">
        <f ca="1"/>
        <v>18</v>
      </c>
      <c r="AA4" t="str">
        <f ca="1"/>
        <v>0238</v>
      </c>
      <c r="AB4" vm="11">
        <f ca="1"/>
        <v>0</v>
      </c>
      <c r="AC4" t="str">
        <f ca="1"/>
        <v/>
      </c>
      <c r="AD4" t="b">
        <f ca="1"/>
        <v>0</v>
      </c>
      <c r="AE4" t="str">
        <f ca="1"/>
        <v/>
      </c>
      <c r="AF4" t="b">
        <f ca="1"/>
        <v>0</v>
      </c>
      <c r="AG4" t="b">
        <f ca="1"/>
        <v>0</v>
      </c>
      <c r="AH4" t="b">
        <f ca="1"/>
        <v>1</v>
      </c>
      <c r="AI4" t="b">
        <f ca="1"/>
        <v>1</v>
      </c>
      <c r="AJ4" t="b">
        <f ca="1"/>
        <v>0</v>
      </c>
      <c r="AK4" t="b">
        <f ca="1"/>
        <v>0</v>
      </c>
      <c r="AL4" t="b">
        <f ca="1"/>
        <v>1</v>
      </c>
      <c r="AM4" t="b">
        <f ca="1"/>
        <v>0</v>
      </c>
      <c r="AN4">
        <f ca="1"/>
        <v>181</v>
      </c>
      <c r="AO4" t="str">
        <f ca="1"/>
        <v>All Tasks Complete</v>
      </c>
      <c r="AP4">
        <f ca="1"/>
        <v>100</v>
      </c>
      <c r="AQ4" t="str">
        <f ca="1"/>
        <v>Inspection</v>
      </c>
      <c r="AR4" t="str">
        <f ca="1"/>
        <v>Paint</v>
      </c>
      <c r="AS4" t="b">
        <f ca="1"/>
        <v>0</v>
      </c>
      <c r="AT4" t="str">
        <f ca="1"/>
        <v>vacant ready</v>
      </c>
      <c r="AU4" t="b">
        <f ca="1"/>
        <v>1</v>
      </c>
      <c r="AV4" t="b">
        <f ca="1"/>
        <v>0</v>
      </c>
      <c r="AW4" t="b">
        <f ca="1"/>
        <v>0</v>
      </c>
      <c r="AX4" t="str">
        <f ca="1"/>
        <v>Apartment Ready</v>
      </c>
      <c r="AY4" t="b">
        <f ca="1"/>
        <v>0</v>
      </c>
      <c r="AZ4" t="str">
        <f ca="1"/>
        <v>🟢 Apartment Ready</v>
      </c>
      <c r="BA4" t="e">
        <f ca="1"/>
        <v>#NUM!</v>
      </c>
      <c r="BB4" t="b">
        <f ca="1"/>
        <v>0</v>
      </c>
      <c r="BC4" t="b">
        <f ca="1"/>
        <v>0</v>
      </c>
      <c r="BD4" t="b">
        <f ca="1"/>
        <v>0</v>
      </c>
      <c r="BE4" t="b">
        <f ca="1"/>
        <v>0</v>
      </c>
    </row>
    <row r="5" spans="1:57" x14ac:dyDescent="0.4">
      <c r="C5" s="1">
        <f ca="1"/>
        <v>33</v>
      </c>
      <c r="D5" s="1" t="str">
        <f ca="1"/>
        <v>Unit 8-01-3001</v>
      </c>
      <c r="E5" s="1" t="str">
        <f ca="1"/>
        <v>Vacant ready</v>
      </c>
      <c r="F5" s="1" vm="18">
        <f ca="1"/>
        <v>45846</v>
      </c>
      <c r="G5" s="1" vm="19">
        <f ca="1"/>
        <v>45860</v>
      </c>
      <c r="H5">
        <f ca="1"/>
        <v>224</v>
      </c>
      <c r="I5" t="e">
        <f ca="1"/>
        <v>#NUM!</v>
      </c>
      <c r="J5" t="str">
        <f ca="1"/>
        <v/>
      </c>
      <c r="K5" t="str">
        <f ca="1"/>
        <v>VACANT</v>
      </c>
      <c r="L5" vm="20">
        <f ca="1"/>
        <v>45847</v>
      </c>
      <c r="M5" t="str">
        <f ca="1"/>
        <v>Done</v>
      </c>
      <c r="N5" vm="21">
        <f ca="1"/>
        <v>45848</v>
      </c>
      <c r="O5" t="str">
        <f ca="1"/>
        <v>Done</v>
      </c>
      <c r="P5" vm="22">
        <f ca="1"/>
        <v>45849</v>
      </c>
      <c r="Q5" t="str">
        <f ca="1"/>
        <v>Done</v>
      </c>
      <c r="R5" vm="23">
        <f ca="1"/>
        <v>45854</v>
      </c>
      <c r="S5" t="str">
        <f ca="1"/>
        <v>Done</v>
      </c>
      <c r="T5" vm="24">
        <f ca="1"/>
        <v>45855</v>
      </c>
      <c r="U5" t="str">
        <f ca="1"/>
        <v>Done</v>
      </c>
      <c r="V5" t="str">
        <f ca="1"/>
        <v xml:space="preserve">Michael </v>
      </c>
      <c r="W5" t="str">
        <f ca="1"/>
        <v>yes</v>
      </c>
      <c r="X5" t="str">
        <f ca="1"/>
        <v>No</v>
      </c>
      <c r="Y5" t="str">
        <f ca="1"/>
        <v>8</v>
      </c>
      <c r="Z5" t="str">
        <f ca="1"/>
        <v>01</v>
      </c>
      <c r="AA5" t="str">
        <f ca="1"/>
        <v>3001</v>
      </c>
      <c r="AB5" vm="11">
        <f ca="1"/>
        <v>0</v>
      </c>
      <c r="AC5" t="str">
        <f ca="1"/>
        <v/>
      </c>
      <c r="AD5" t="b">
        <f ca="1"/>
        <v>0</v>
      </c>
      <c r="AE5" t="str">
        <f ca="1"/>
        <v/>
      </c>
      <c r="AF5" t="b">
        <f ca="1"/>
        <v>1</v>
      </c>
      <c r="AG5" t="b">
        <f ca="1"/>
        <v>0</v>
      </c>
      <c r="AH5" t="b">
        <f ca="1"/>
        <v>1</v>
      </c>
      <c r="AI5" t="b">
        <f ca="1"/>
        <v>1</v>
      </c>
      <c r="AJ5" t="b">
        <f ca="1"/>
        <v>0</v>
      </c>
      <c r="AK5" t="b">
        <f ca="1"/>
        <v>0</v>
      </c>
      <c r="AL5" t="b">
        <f ca="1"/>
        <v>1</v>
      </c>
      <c r="AM5" t="b">
        <f ca="1"/>
        <v>0</v>
      </c>
      <c r="AN5">
        <f ca="1"/>
        <v>160</v>
      </c>
      <c r="AO5" t="str">
        <f ca="1"/>
        <v>All Tasks Complete</v>
      </c>
      <c r="AP5">
        <f ca="1"/>
        <v>100</v>
      </c>
      <c r="AQ5" t="str">
        <f ca="1"/>
        <v>Inspection</v>
      </c>
      <c r="AR5" t="str">
        <f ca="1"/>
        <v>Paint</v>
      </c>
      <c r="AS5" t="b">
        <f ca="1"/>
        <v>0</v>
      </c>
      <c r="AT5" t="str">
        <f ca="1"/>
        <v>vacant ready</v>
      </c>
      <c r="AU5" t="b">
        <f ca="1"/>
        <v>1</v>
      </c>
      <c r="AV5" t="b">
        <f ca="1"/>
        <v>0</v>
      </c>
      <c r="AW5" t="b">
        <f ca="1"/>
        <v>0</v>
      </c>
      <c r="AX5" t="str">
        <f ca="1"/>
        <v>Apartment Ready</v>
      </c>
      <c r="AY5" t="b">
        <f ca="1"/>
        <v>0</v>
      </c>
      <c r="AZ5" t="str">
        <f ca="1"/>
        <v>🟢 Apartment Ready</v>
      </c>
      <c r="BA5" t="e">
        <f ca="1"/>
        <v>#NUM!</v>
      </c>
      <c r="BB5" t="b">
        <f ca="1"/>
        <v>0</v>
      </c>
      <c r="BC5" t="b">
        <f ca="1"/>
        <v>0</v>
      </c>
      <c r="BD5" t="b">
        <f ca="1"/>
        <v>0</v>
      </c>
      <c r="BE5" t="b">
        <f ca="1"/>
        <v>0</v>
      </c>
    </row>
    <row r="6" spans="1:57" x14ac:dyDescent="0.4">
      <c r="C6" s="34">
        <f ca="1"/>
        <v>34</v>
      </c>
      <c r="D6" s="1" t="str">
        <f ca="1"/>
        <v>Unit 5-18-0422</v>
      </c>
      <c r="E6" s="1" t="str">
        <f ca="1"/>
        <v>Vacant ready</v>
      </c>
      <c r="F6" s="1" vm="25">
        <f ca="1"/>
        <v>45869</v>
      </c>
      <c r="G6" s="1" vm="26">
        <f ca="1"/>
        <v>45985</v>
      </c>
      <c r="H6">
        <f ca="1"/>
        <v>201</v>
      </c>
      <c r="I6" t="e">
        <f ca="1"/>
        <v>#NUM!</v>
      </c>
      <c r="J6" t="str">
        <f ca="1"/>
        <v/>
      </c>
      <c r="K6" t="str">
        <f ca="1"/>
        <v>VACANT</v>
      </c>
      <c r="L6" vm="27">
        <f ca="1"/>
        <v>45870</v>
      </c>
      <c r="M6" t="str">
        <f ca="1"/>
        <v>Done</v>
      </c>
      <c r="N6" vm="28">
        <f ca="1"/>
        <v>45873</v>
      </c>
      <c r="O6" t="str">
        <f ca="1"/>
        <v>Done</v>
      </c>
      <c r="P6" vm="29">
        <f ca="1"/>
        <v>45874</v>
      </c>
      <c r="Q6" t="str">
        <f ca="1"/>
        <v>Done</v>
      </c>
      <c r="R6" vm="30">
        <f ca="1"/>
        <v>45877</v>
      </c>
      <c r="S6" t="str">
        <f ca="1"/>
        <v>Done</v>
      </c>
      <c r="T6" vm="31">
        <f ca="1"/>
        <v>45880</v>
      </c>
      <c r="U6" t="str">
        <f ca="1"/>
        <v>Done</v>
      </c>
      <c r="V6" t="str">
        <f ca="1"/>
        <v>Total</v>
      </c>
      <c r="W6" t="str">
        <f ca="1"/>
        <v>yes</v>
      </c>
      <c r="X6" t="str">
        <f ca="1"/>
        <v>No</v>
      </c>
      <c r="Y6" t="str">
        <f ca="1"/>
        <v>5</v>
      </c>
      <c r="Z6" t="str">
        <f ca="1"/>
        <v>18</v>
      </c>
      <c r="AA6" t="str">
        <f ca="1"/>
        <v>0422</v>
      </c>
      <c r="AB6" vm="11">
        <f ca="1"/>
        <v>0</v>
      </c>
      <c r="AC6" t="str">
        <f ca="1"/>
        <v/>
      </c>
      <c r="AD6" t="b">
        <f ca="1"/>
        <v>0</v>
      </c>
      <c r="AE6" t="str">
        <f ca="1"/>
        <v/>
      </c>
      <c r="AF6" t="b">
        <f ca="1"/>
        <v>0</v>
      </c>
      <c r="AG6" t="b">
        <f ca="1"/>
        <v>0</v>
      </c>
      <c r="AH6" t="b">
        <f ca="1"/>
        <v>1</v>
      </c>
      <c r="AI6" t="b">
        <f ca="1"/>
        <v>1</v>
      </c>
      <c r="AJ6" t="b">
        <f ca="1"/>
        <v>0</v>
      </c>
      <c r="AK6" t="b">
        <f ca="1"/>
        <v>0</v>
      </c>
      <c r="AL6" t="b">
        <f ca="1"/>
        <v>1</v>
      </c>
      <c r="AM6" t="b">
        <f ca="1"/>
        <v>0</v>
      </c>
      <c r="AN6">
        <f ca="1"/>
        <v>143</v>
      </c>
      <c r="AO6" t="str">
        <f ca="1"/>
        <v>All Tasks Complete</v>
      </c>
      <c r="AP6">
        <f ca="1"/>
        <v>100</v>
      </c>
      <c r="AQ6" t="str">
        <f ca="1"/>
        <v>Inspection</v>
      </c>
      <c r="AR6" t="str">
        <f ca="1"/>
        <v>Paint</v>
      </c>
      <c r="AS6" t="b">
        <f ca="1"/>
        <v>0</v>
      </c>
      <c r="AT6" t="str">
        <f ca="1"/>
        <v>vacant ready</v>
      </c>
      <c r="AU6" t="b">
        <f ca="1"/>
        <v>1</v>
      </c>
      <c r="AV6" t="b">
        <f ca="1"/>
        <v>0</v>
      </c>
      <c r="AW6" t="b">
        <f ca="1"/>
        <v>0</v>
      </c>
      <c r="AX6" t="str">
        <f ca="1"/>
        <v>Apartment Ready</v>
      </c>
      <c r="AY6" t="b">
        <f ca="1"/>
        <v>0</v>
      </c>
      <c r="AZ6" t="str">
        <f ca="1"/>
        <v>🟢 Apartment Ready</v>
      </c>
      <c r="BA6" t="e">
        <f ca="1"/>
        <v>#NUM!</v>
      </c>
      <c r="BB6" t="b">
        <f ca="1"/>
        <v>0</v>
      </c>
      <c r="BC6" t="b">
        <f ca="1"/>
        <v>0</v>
      </c>
      <c r="BD6" t="b">
        <f ca="1"/>
        <v>0</v>
      </c>
      <c r="BE6" t="b">
        <f ca="1"/>
        <v>0</v>
      </c>
    </row>
    <row r="7" spans="1:57" x14ac:dyDescent="0.4">
      <c r="C7" s="1">
        <f ca="1"/>
        <v>35</v>
      </c>
      <c r="D7" s="1" t="str">
        <f ca="1"/>
        <v>Unit 8-01-2001</v>
      </c>
      <c r="E7" s="1" t="str">
        <f ca="1"/>
        <v>Vacant ready</v>
      </c>
      <c r="F7" s="1" vm="32">
        <f ca="1"/>
        <v>45914</v>
      </c>
      <c r="G7" s="1" vm="33">
        <f ca="1"/>
        <v>45925</v>
      </c>
      <c r="H7">
        <f ca="1"/>
        <v>156</v>
      </c>
      <c r="I7" t="e">
        <f ca="1"/>
        <v>#NUM!</v>
      </c>
      <c r="J7" t="str">
        <f ca="1"/>
        <v/>
      </c>
      <c r="K7" t="str">
        <f ca="1"/>
        <v>VACANT</v>
      </c>
      <c r="L7" vm="34">
        <f ca="1"/>
        <v>45915</v>
      </c>
      <c r="M7" t="str">
        <f ca="1"/>
        <v>Done</v>
      </c>
      <c r="N7" vm="35">
        <f ca="1"/>
        <v>45916</v>
      </c>
      <c r="O7" t="str">
        <f ca="1"/>
        <v>Done</v>
      </c>
      <c r="P7" vm="36">
        <f ca="1"/>
        <v>45917</v>
      </c>
      <c r="Q7" t="str">
        <f ca="1"/>
        <v>Done</v>
      </c>
      <c r="R7" vm="37">
        <f ca="1"/>
        <v>45922</v>
      </c>
      <c r="S7" t="str">
        <f ca="1"/>
        <v>Done</v>
      </c>
      <c r="T7" vm="38">
        <f ca="1"/>
        <v>45923</v>
      </c>
      <c r="U7" t="str">
        <f ca="1"/>
        <v>Done</v>
      </c>
      <c r="V7" t="str">
        <f ca="1"/>
        <v xml:space="preserve">Michael </v>
      </c>
      <c r="W7" t="str">
        <f ca="1"/>
        <v>yes</v>
      </c>
      <c r="X7" t="str">
        <f ca="1"/>
        <v>No</v>
      </c>
      <c r="Y7" t="str">
        <f ca="1"/>
        <v>8</v>
      </c>
      <c r="Z7" t="str">
        <f ca="1"/>
        <v>01</v>
      </c>
      <c r="AA7" t="str">
        <f ca="1"/>
        <v>2001</v>
      </c>
      <c r="AB7" vm="11">
        <f ca="1"/>
        <v>0</v>
      </c>
      <c r="AC7" t="str">
        <f ca="1"/>
        <v/>
      </c>
      <c r="AD7" t="b">
        <f ca="1"/>
        <v>0</v>
      </c>
      <c r="AE7" t="str">
        <f ca="1"/>
        <v/>
      </c>
      <c r="AF7" t="b">
        <f ca="1"/>
        <v>1</v>
      </c>
      <c r="AG7" t="b">
        <f ca="1"/>
        <v>0</v>
      </c>
      <c r="AH7" t="b">
        <f ca="1"/>
        <v>1</v>
      </c>
      <c r="AI7" t="b">
        <f ca="1"/>
        <v>1</v>
      </c>
      <c r="AJ7" t="b">
        <f ca="1"/>
        <v>0</v>
      </c>
      <c r="AK7" t="b">
        <f ca="1"/>
        <v>0</v>
      </c>
      <c r="AL7" t="b">
        <f ca="1"/>
        <v>1</v>
      </c>
      <c r="AM7" t="b">
        <f ca="1"/>
        <v>0</v>
      </c>
      <c r="AN7">
        <f ca="1"/>
        <v>111</v>
      </c>
      <c r="AO7" t="str">
        <f ca="1"/>
        <v>All Tasks Complete</v>
      </c>
      <c r="AP7">
        <f ca="1"/>
        <v>100</v>
      </c>
      <c r="AQ7" t="str">
        <f ca="1"/>
        <v>Inspection</v>
      </c>
      <c r="AR7" t="str">
        <f ca="1"/>
        <v>Paint</v>
      </c>
      <c r="AS7" t="b">
        <f ca="1"/>
        <v>0</v>
      </c>
      <c r="AT7" t="str">
        <f ca="1"/>
        <v>vacant ready</v>
      </c>
      <c r="AU7" t="b">
        <f ca="1"/>
        <v>1</v>
      </c>
      <c r="AV7" t="b">
        <f ca="1"/>
        <v>0</v>
      </c>
      <c r="AW7" t="b">
        <f ca="1"/>
        <v>0</v>
      </c>
      <c r="AX7" t="str">
        <f ca="1"/>
        <v>Apartment Ready</v>
      </c>
      <c r="AY7" t="b">
        <f ca="1"/>
        <v>0</v>
      </c>
      <c r="AZ7" t="str">
        <f ca="1"/>
        <v>🟢 Apartment Ready</v>
      </c>
      <c r="BA7" t="e">
        <f ca="1"/>
        <v>#NUM!</v>
      </c>
      <c r="BB7" t="b">
        <f ca="1"/>
        <v>0</v>
      </c>
      <c r="BC7" t="b">
        <f ca="1"/>
        <v>0</v>
      </c>
      <c r="BD7" t="b">
        <f ca="1"/>
        <v>0</v>
      </c>
      <c r="BE7" t="b">
        <f ca="1"/>
        <v>0</v>
      </c>
    </row>
    <row r="8" spans="1:57" x14ac:dyDescent="0.4">
      <c r="C8" s="1">
        <f ca="1"/>
        <v>36</v>
      </c>
      <c r="D8" s="1" t="str">
        <f ca="1"/>
        <v>Unit 5-15-0305</v>
      </c>
      <c r="E8" s="1" t="str">
        <f ca="1"/>
        <v>Vacant ready</v>
      </c>
      <c r="F8" s="1" vm="39">
        <f ca="1"/>
        <v>45939</v>
      </c>
      <c r="G8" s="1" vm="40">
        <f ca="1"/>
        <v>46002</v>
      </c>
      <c r="H8">
        <f ca="1"/>
        <v>131</v>
      </c>
      <c r="I8" t="e">
        <f ca="1"/>
        <v>#NUM!</v>
      </c>
      <c r="J8" t="str">
        <f ca="1"/>
        <v/>
      </c>
      <c r="K8" t="str">
        <f ca="1"/>
        <v>VACANT</v>
      </c>
      <c r="L8" vm="41">
        <f ca="1"/>
        <v>45940</v>
      </c>
      <c r="M8" t="str">
        <f ca="1"/>
        <v>Done</v>
      </c>
      <c r="N8" vm="42">
        <f ca="1"/>
        <v>45943</v>
      </c>
      <c r="O8" t="str">
        <f ca="1"/>
        <v>Done</v>
      </c>
      <c r="P8" vm="43">
        <f ca="1"/>
        <v>45944</v>
      </c>
      <c r="Q8" t="str">
        <f ca="1"/>
        <v>Done</v>
      </c>
      <c r="R8" vm="44">
        <f ca="1"/>
        <v>45947</v>
      </c>
      <c r="S8" t="str">
        <f ca="1"/>
        <v>Done</v>
      </c>
      <c r="T8" vm="45">
        <f ca="1"/>
        <v>45950</v>
      </c>
      <c r="U8" t="str">
        <f ca="1"/>
        <v>Done</v>
      </c>
      <c r="V8" t="str">
        <f ca="1"/>
        <v>Total</v>
      </c>
      <c r="W8" t="str">
        <f ca="1"/>
        <v>yes</v>
      </c>
      <c r="X8" t="str">
        <f ca="1"/>
        <v>No</v>
      </c>
      <c r="Y8" t="str">
        <f ca="1"/>
        <v>5</v>
      </c>
      <c r="Z8" t="str">
        <f ca="1"/>
        <v>15</v>
      </c>
      <c r="AA8" t="str">
        <f ca="1"/>
        <v>0305</v>
      </c>
      <c r="AB8" vm="11">
        <f ca="1"/>
        <v>0</v>
      </c>
      <c r="AC8" t="str">
        <f ca="1"/>
        <v/>
      </c>
      <c r="AD8" t="b">
        <f ca="1"/>
        <v>0</v>
      </c>
      <c r="AE8" t="str">
        <f ca="1"/>
        <v/>
      </c>
      <c r="AF8" t="b">
        <f ca="1"/>
        <v>0</v>
      </c>
      <c r="AG8" t="b">
        <f ca="1"/>
        <v>0</v>
      </c>
      <c r="AH8" t="b">
        <f ca="1"/>
        <v>1</v>
      </c>
      <c r="AI8" t="b">
        <f ca="1"/>
        <v>1</v>
      </c>
      <c r="AJ8" t="b">
        <f ca="1"/>
        <v>0</v>
      </c>
      <c r="AK8" t="b">
        <f ca="1"/>
        <v>0</v>
      </c>
      <c r="AL8" t="b">
        <f ca="1"/>
        <v>1</v>
      </c>
      <c r="AM8" t="b">
        <f ca="1"/>
        <v>0</v>
      </c>
      <c r="AN8">
        <f ca="1"/>
        <v>93</v>
      </c>
      <c r="AO8" t="str">
        <f ca="1"/>
        <v>All Tasks Complete</v>
      </c>
      <c r="AP8">
        <f ca="1"/>
        <v>100</v>
      </c>
      <c r="AQ8" t="str">
        <f ca="1"/>
        <v>Inspection</v>
      </c>
      <c r="AR8" t="str">
        <f ca="1"/>
        <v>Paint</v>
      </c>
      <c r="AS8" t="b">
        <f ca="1"/>
        <v>0</v>
      </c>
      <c r="AT8" t="str">
        <f ca="1"/>
        <v>vacant ready</v>
      </c>
      <c r="AU8" t="b">
        <f ca="1"/>
        <v>1</v>
      </c>
      <c r="AV8" t="b">
        <f ca="1"/>
        <v>0</v>
      </c>
      <c r="AW8" t="b">
        <f ca="1"/>
        <v>0</v>
      </c>
      <c r="AX8" t="str">
        <f ca="1"/>
        <v>Apartment Ready</v>
      </c>
      <c r="AY8" t="b">
        <f ca="1"/>
        <v>0</v>
      </c>
      <c r="AZ8" t="str">
        <f ca="1"/>
        <v>🟢 Apartment Ready</v>
      </c>
      <c r="BA8" t="e">
        <f ca="1"/>
        <v>#NUM!</v>
      </c>
      <c r="BB8" t="b">
        <f ca="1"/>
        <v>0</v>
      </c>
      <c r="BC8" t="b">
        <f ca="1"/>
        <v>0</v>
      </c>
      <c r="BD8" t="b">
        <f ca="1"/>
        <v>0</v>
      </c>
      <c r="BE8" t="b">
        <f ca="1"/>
        <v>0</v>
      </c>
    </row>
    <row r="9" spans="1:57" x14ac:dyDescent="0.4">
      <c r="C9" s="1">
        <f ca="1"/>
        <v>37</v>
      </c>
      <c r="D9" s="1" t="str">
        <f ca="1"/>
        <v>Unit 5-18-0222</v>
      </c>
      <c r="E9" s="1" t="str">
        <f ca="1"/>
        <v>Vacant ready</v>
      </c>
      <c r="F9" s="1" vm="46">
        <f ca="1"/>
        <v>45946</v>
      </c>
      <c r="G9" s="1" vm="47">
        <f ca="1"/>
        <v>45954</v>
      </c>
      <c r="H9">
        <f ca="1"/>
        <v>124</v>
      </c>
      <c r="I9" t="e">
        <f ca="1"/>
        <v>#NUM!</v>
      </c>
      <c r="J9" t="str">
        <f ca="1"/>
        <v/>
      </c>
      <c r="K9" t="str">
        <f ca="1"/>
        <v>VACANT</v>
      </c>
      <c r="L9" vm="44">
        <f ca="1"/>
        <v>45947</v>
      </c>
      <c r="M9" t="str">
        <f ca="1"/>
        <v>Done</v>
      </c>
      <c r="N9" vm="45">
        <f ca="1"/>
        <v>45950</v>
      </c>
      <c r="O9" t="str">
        <f ca="1"/>
        <v>Done</v>
      </c>
      <c r="P9" vm="48">
        <f ca="1"/>
        <v>45951</v>
      </c>
      <c r="Q9" t="str">
        <f ca="1"/>
        <v>Done</v>
      </c>
      <c r="R9" vm="47">
        <f ca="1"/>
        <v>45954</v>
      </c>
      <c r="S9" t="str">
        <f ca="1"/>
        <v>Done</v>
      </c>
      <c r="T9" vm="49">
        <f ca="1"/>
        <v>45957</v>
      </c>
      <c r="U9" t="str">
        <f ca="1"/>
        <v>Done</v>
      </c>
      <c r="V9" t="str">
        <f ca="1"/>
        <v>Total</v>
      </c>
      <c r="W9" t="str">
        <f ca="1"/>
        <v>yes</v>
      </c>
      <c r="X9" t="str">
        <f ca="1"/>
        <v>No</v>
      </c>
      <c r="Y9" t="str">
        <f ca="1"/>
        <v>5</v>
      </c>
      <c r="Z9" t="str">
        <f ca="1"/>
        <v>18</v>
      </c>
      <c r="AA9" t="str">
        <f ca="1"/>
        <v>0222</v>
      </c>
      <c r="AB9" vm="11">
        <f ca="1"/>
        <v>0</v>
      </c>
      <c r="AC9" t="str">
        <f ca="1"/>
        <v/>
      </c>
      <c r="AD9" t="b">
        <f ca="1"/>
        <v>0</v>
      </c>
      <c r="AE9" t="str">
        <f ca="1"/>
        <v/>
      </c>
      <c r="AF9" t="b">
        <f ca="1"/>
        <v>0</v>
      </c>
      <c r="AG9" t="b">
        <f ca="1"/>
        <v>0</v>
      </c>
      <c r="AH9" t="b">
        <f ca="1"/>
        <v>1</v>
      </c>
      <c r="AI9" t="b">
        <f ca="1"/>
        <v>1</v>
      </c>
      <c r="AJ9" t="b">
        <f ca="1"/>
        <v>0</v>
      </c>
      <c r="AK9" t="b">
        <f ca="1"/>
        <v>0</v>
      </c>
      <c r="AL9" t="b">
        <f ca="1"/>
        <v>1</v>
      </c>
      <c r="AM9" t="b">
        <f ca="1"/>
        <v>0</v>
      </c>
      <c r="AN9">
        <f ca="1"/>
        <v>88</v>
      </c>
      <c r="AO9" t="str">
        <f ca="1"/>
        <v>All Tasks Complete</v>
      </c>
      <c r="AP9">
        <f ca="1"/>
        <v>100</v>
      </c>
      <c r="AQ9" t="str">
        <f ca="1"/>
        <v>Inspection</v>
      </c>
      <c r="AR9" t="str">
        <f ca="1"/>
        <v>Paint</v>
      </c>
      <c r="AS9" t="b">
        <f ca="1"/>
        <v>0</v>
      </c>
      <c r="AT9" t="str">
        <f ca="1"/>
        <v>vacant ready</v>
      </c>
      <c r="AU9" t="b">
        <f ca="1"/>
        <v>1</v>
      </c>
      <c r="AV9" t="b">
        <f ca="1"/>
        <v>0</v>
      </c>
      <c r="AW9" t="b">
        <f ca="1"/>
        <v>0</v>
      </c>
      <c r="AX9" t="str">
        <f ca="1"/>
        <v>Apartment Ready</v>
      </c>
      <c r="AY9" t="b">
        <f ca="1"/>
        <v>0</v>
      </c>
      <c r="AZ9" t="str">
        <f ca="1"/>
        <v>🟢 Apartment Ready</v>
      </c>
      <c r="BA9" t="e">
        <f ca="1"/>
        <v>#NUM!</v>
      </c>
      <c r="BB9" t="b">
        <f ca="1"/>
        <v>0</v>
      </c>
      <c r="BC9" t="b">
        <f ca="1"/>
        <v>0</v>
      </c>
      <c r="BD9" t="b">
        <f ca="1"/>
        <v>0</v>
      </c>
      <c r="BE9" t="b">
        <f ca="1"/>
        <v>0</v>
      </c>
    </row>
    <row r="10" spans="1:57" x14ac:dyDescent="0.4">
      <c r="C10" s="1">
        <f ca="1"/>
        <v>38</v>
      </c>
      <c r="D10" s="1" t="str">
        <f ca="1"/>
        <v>Unit 7-09-0107</v>
      </c>
      <c r="E10" s="1" t="str">
        <f ca="1"/>
        <v>Vacant ready</v>
      </c>
      <c r="F10" s="1" vm="50">
        <f ca="1"/>
        <v>45961</v>
      </c>
      <c r="G10" s="1" vm="51">
        <f ca="1"/>
        <v>45977</v>
      </c>
      <c r="H10">
        <f ca="1"/>
        <v>109</v>
      </c>
      <c r="I10" t="e">
        <f ca="1"/>
        <v>#NUM!</v>
      </c>
      <c r="J10" t="str">
        <f ca="1"/>
        <v/>
      </c>
      <c r="K10" t="str">
        <f ca="1"/>
        <v>VACANT</v>
      </c>
      <c r="L10" vm="52">
        <f ca="1"/>
        <v>45964</v>
      </c>
      <c r="M10" t="str">
        <f ca="1"/>
        <v>Done</v>
      </c>
      <c r="N10" vm="53">
        <f ca="1"/>
        <v>45965</v>
      </c>
      <c r="O10" t="str">
        <f ca="1"/>
        <v>Done</v>
      </c>
      <c r="P10" vm="54">
        <f ca="1"/>
        <v>45966</v>
      </c>
      <c r="Q10" t="str">
        <f ca="1"/>
        <v>Done</v>
      </c>
      <c r="R10" vm="55">
        <f ca="1"/>
        <v>45971</v>
      </c>
      <c r="S10" t="str">
        <f ca="1"/>
        <v>Done</v>
      </c>
      <c r="T10" vm="56">
        <f ca="1"/>
        <v>45972</v>
      </c>
      <c r="U10" t="str">
        <f ca="1"/>
        <v>Done</v>
      </c>
      <c r="V10" t="str">
        <f ca="1"/>
        <v>Brad</v>
      </c>
      <c r="W10" t="str">
        <f ca="1"/>
        <v>yes</v>
      </c>
      <c r="X10" t="str">
        <f ca="1"/>
        <v>No</v>
      </c>
      <c r="Y10" t="str">
        <f ca="1"/>
        <v>7</v>
      </c>
      <c r="Z10" t="str">
        <f ca="1"/>
        <v>09</v>
      </c>
      <c r="AA10" t="str">
        <f ca="1"/>
        <v>0107</v>
      </c>
      <c r="AB10" vm="11">
        <f ca="1"/>
        <v>0</v>
      </c>
      <c r="AC10" t="str">
        <f ca="1"/>
        <v/>
      </c>
      <c r="AD10" t="b">
        <f ca="1"/>
        <v>0</v>
      </c>
      <c r="AE10" t="str">
        <f ca="1"/>
        <v/>
      </c>
      <c r="AF10" t="b">
        <f ca="1"/>
        <v>1</v>
      </c>
      <c r="AG10" t="b">
        <f ca="1"/>
        <v>0</v>
      </c>
      <c r="AH10" t="b">
        <f ca="1"/>
        <v>1</v>
      </c>
      <c r="AI10" t="b">
        <f ca="1"/>
        <v>1</v>
      </c>
      <c r="AJ10" t="b">
        <f ca="1"/>
        <v>0</v>
      </c>
      <c r="AK10" t="b">
        <f ca="1"/>
        <v>0</v>
      </c>
      <c r="AL10" t="b">
        <f ca="1"/>
        <v>1</v>
      </c>
      <c r="AM10" t="b">
        <f ca="1"/>
        <v>0</v>
      </c>
      <c r="AN10">
        <f ca="1"/>
        <v>77</v>
      </c>
      <c r="AO10" t="str">
        <f ca="1"/>
        <v>All Tasks Complete</v>
      </c>
      <c r="AP10">
        <f ca="1"/>
        <v>100</v>
      </c>
      <c r="AQ10" t="str">
        <f ca="1"/>
        <v>Inspection</v>
      </c>
      <c r="AR10" t="str">
        <f ca="1"/>
        <v>Paint</v>
      </c>
      <c r="AS10" t="b">
        <f ca="1"/>
        <v>0</v>
      </c>
      <c r="AT10" t="str">
        <f ca="1"/>
        <v>vacant ready</v>
      </c>
      <c r="AU10" t="b">
        <f ca="1"/>
        <v>1</v>
      </c>
      <c r="AV10" t="b">
        <f ca="1"/>
        <v>0</v>
      </c>
      <c r="AW10" t="b">
        <f ca="1"/>
        <v>0</v>
      </c>
      <c r="AX10" t="str">
        <f ca="1"/>
        <v>Apartment Ready</v>
      </c>
      <c r="AY10" t="b">
        <f ca="1"/>
        <v>0</v>
      </c>
      <c r="AZ10" t="str">
        <f ca="1"/>
        <v>🟢 Apartment Ready</v>
      </c>
      <c r="BA10" t="e">
        <f ca="1"/>
        <v>#NUM!</v>
      </c>
      <c r="BB10" t="b">
        <f ca="1"/>
        <v>0</v>
      </c>
      <c r="BC10" t="b">
        <f ca="1"/>
        <v>0</v>
      </c>
      <c r="BD10" t="b">
        <f ca="1"/>
        <v>0</v>
      </c>
      <c r="BE10" t="b">
        <f ca="1"/>
        <v>0</v>
      </c>
    </row>
    <row r="11" spans="1:57" x14ac:dyDescent="0.4">
      <c r="C11" s="1">
        <f ca="1"/>
        <v>39</v>
      </c>
      <c r="D11" s="1" t="str">
        <f ca="1"/>
        <v>Unit 5-18-0202</v>
      </c>
      <c r="E11" s="1" t="str">
        <f ca="1"/>
        <v>Vacant ready</v>
      </c>
      <c r="F11" s="1" vm="55">
        <f ca="1"/>
        <v>45971</v>
      </c>
      <c r="G11" s="1" vm="57">
        <f ca="1"/>
        <v>46003</v>
      </c>
      <c r="H11">
        <f ca="1"/>
        <v>99</v>
      </c>
      <c r="I11" t="e">
        <f ca="1"/>
        <v>#NUM!</v>
      </c>
      <c r="J11" t="str">
        <f ca="1"/>
        <v/>
      </c>
      <c r="K11" t="str">
        <f ca="1"/>
        <v>VACANT</v>
      </c>
      <c r="L11" vm="56">
        <f ca="1"/>
        <v>45972</v>
      </c>
      <c r="M11" t="str">
        <f ca="1"/>
        <v>Done</v>
      </c>
      <c r="N11" vm="58">
        <f ca="1"/>
        <v>45973</v>
      </c>
      <c r="O11" t="str">
        <f ca="1"/>
        <v>Done</v>
      </c>
      <c r="P11" vm="59">
        <f ca="1"/>
        <v>45974</v>
      </c>
      <c r="Q11" t="str">
        <f ca="1"/>
        <v>Done</v>
      </c>
      <c r="R11" vm="60">
        <f ca="1"/>
        <v>45979</v>
      </c>
      <c r="S11" t="str">
        <f ca="1"/>
        <v>Done</v>
      </c>
      <c r="T11" vm="61">
        <f ca="1"/>
        <v>45980</v>
      </c>
      <c r="U11" t="str">
        <f ca="1"/>
        <v>Done</v>
      </c>
      <c r="V11" t="str">
        <f ca="1"/>
        <v>Total</v>
      </c>
      <c r="W11" t="str">
        <f ca="1"/>
        <v>yes</v>
      </c>
      <c r="X11" t="str">
        <f ca="1"/>
        <v>No</v>
      </c>
      <c r="Y11" t="str">
        <f ca="1"/>
        <v>5</v>
      </c>
      <c r="Z11" t="str">
        <f ca="1"/>
        <v>18</v>
      </c>
      <c r="AA11" t="str">
        <f ca="1"/>
        <v>0202</v>
      </c>
      <c r="AB11" vm="11">
        <f ca="1"/>
        <v>0</v>
      </c>
      <c r="AC11" t="str">
        <f ca="1"/>
        <v/>
      </c>
      <c r="AD11" t="b">
        <f ca="1"/>
        <v>0</v>
      </c>
      <c r="AE11" t="str">
        <f ca="1"/>
        <v/>
      </c>
      <c r="AF11" t="b">
        <f ca="1"/>
        <v>0</v>
      </c>
      <c r="AG11" t="b">
        <f ca="1"/>
        <v>0</v>
      </c>
      <c r="AH11" t="b">
        <f ca="1"/>
        <v>1</v>
      </c>
      <c r="AI11" t="b">
        <f ca="1"/>
        <v>1</v>
      </c>
      <c r="AJ11" t="b">
        <f ca="1"/>
        <v>0</v>
      </c>
      <c r="AK11" t="b">
        <f ca="1"/>
        <v>0</v>
      </c>
      <c r="AL11" t="b">
        <f ca="1"/>
        <v>1</v>
      </c>
      <c r="AM11" t="b">
        <f ca="1"/>
        <v>0</v>
      </c>
      <c r="AN11">
        <f ca="1"/>
        <v>71</v>
      </c>
      <c r="AO11" t="str">
        <f ca="1"/>
        <v>All Tasks Complete</v>
      </c>
      <c r="AP11">
        <f ca="1"/>
        <v>100</v>
      </c>
      <c r="AQ11" t="str">
        <f ca="1"/>
        <v>Inspection</v>
      </c>
      <c r="AR11" t="str">
        <f ca="1"/>
        <v>Paint</v>
      </c>
      <c r="AS11" t="b">
        <f ca="1"/>
        <v>0</v>
      </c>
      <c r="AT11" t="str">
        <f ca="1"/>
        <v>vacant ready</v>
      </c>
      <c r="AU11" t="b">
        <f ca="1"/>
        <v>1</v>
      </c>
      <c r="AV11" t="b">
        <f ca="1"/>
        <v>0</v>
      </c>
      <c r="AW11" t="b">
        <f ca="1"/>
        <v>0</v>
      </c>
      <c r="AX11" t="str">
        <f ca="1"/>
        <v>Apartment Ready</v>
      </c>
      <c r="AY11" t="b">
        <f ca="1"/>
        <v>0</v>
      </c>
      <c r="AZ11" t="str">
        <f ca="1"/>
        <v>🟢 Apartment Ready</v>
      </c>
      <c r="BA11" t="e">
        <f ca="1"/>
        <v>#NUM!</v>
      </c>
      <c r="BB11" t="b">
        <f ca="1"/>
        <v>0</v>
      </c>
      <c r="BC11" t="b">
        <f ca="1"/>
        <v>0</v>
      </c>
      <c r="BD11" t="b">
        <f ca="1"/>
        <v>0</v>
      </c>
      <c r="BE11" t="b">
        <f ca="1"/>
        <v>0</v>
      </c>
    </row>
    <row r="12" spans="1:57" x14ac:dyDescent="0.4">
      <c r="C12" s="1">
        <f ca="1"/>
        <v>6</v>
      </c>
      <c r="D12" s="1" t="str">
        <f ca="1"/>
        <v>Unit 7-02-0202</v>
      </c>
      <c r="E12" s="1" t="str">
        <f ca="1"/>
        <v>Vacant ready</v>
      </c>
      <c r="F12" s="1" vm="55">
        <f ca="1"/>
        <v>45971</v>
      </c>
      <c r="G12" s="1" vm="62">
        <f ca="1"/>
        <v>46001</v>
      </c>
      <c r="H12">
        <f ca="1"/>
        <v>99</v>
      </c>
      <c r="I12" vm="63">
        <f ca="1"/>
        <v>46077</v>
      </c>
      <c r="J12">
        <f ca="1"/>
        <v>-7</v>
      </c>
      <c r="K12" t="str">
        <f ca="1"/>
        <v>SMI</v>
      </c>
      <c r="L12" vm="56">
        <f ca="1"/>
        <v>45972</v>
      </c>
      <c r="M12" t="str">
        <f ca="1"/>
        <v>Done</v>
      </c>
      <c r="N12" vm="58">
        <f ca="1"/>
        <v>45973</v>
      </c>
      <c r="O12" t="str">
        <f ca="1"/>
        <v>Done</v>
      </c>
      <c r="P12" vm="59">
        <f ca="1"/>
        <v>45974</v>
      </c>
      <c r="Q12" t="str">
        <f ca="1"/>
        <v>Done</v>
      </c>
      <c r="R12" vm="60">
        <f ca="1"/>
        <v>45979</v>
      </c>
      <c r="S12" t="str">
        <f ca="1"/>
        <v>Done</v>
      </c>
      <c r="T12" vm="61">
        <f ca="1"/>
        <v>45980</v>
      </c>
      <c r="U12" t="str">
        <f ca="1"/>
        <v>Done</v>
      </c>
      <c r="V12" t="str">
        <f ca="1"/>
        <v>Brad</v>
      </c>
      <c r="W12" t="str">
        <f ca="1"/>
        <v>yes</v>
      </c>
      <c r="X12" t="str">
        <f ca="1"/>
        <v>No</v>
      </c>
      <c r="Y12" t="str">
        <f ca="1"/>
        <v>7</v>
      </c>
      <c r="Z12" t="str">
        <f ca="1"/>
        <v>02</v>
      </c>
      <c r="AA12" t="str">
        <f ca="1"/>
        <v>0202</v>
      </c>
      <c r="AB12" vm="11">
        <f ca="1"/>
        <v>0</v>
      </c>
      <c r="AC12" t="str">
        <f ca="1"/>
        <v/>
      </c>
      <c r="AD12" t="b">
        <f ca="1"/>
        <v>0</v>
      </c>
      <c r="AE12" t="str">
        <f ca="1"/>
        <v/>
      </c>
      <c r="AF12" t="b">
        <f ca="1"/>
        <v>1</v>
      </c>
      <c r="AG12" t="b">
        <f ca="1"/>
        <v>1</v>
      </c>
      <c r="AH12" t="b">
        <f ca="1"/>
        <v>1</v>
      </c>
      <c r="AI12" t="b">
        <f ca="1"/>
        <v>0</v>
      </c>
      <c r="AJ12" t="b">
        <f ca="1"/>
        <v>1</v>
      </c>
      <c r="AK12" t="b">
        <f ca="1"/>
        <v>0</v>
      </c>
      <c r="AL12" t="b">
        <f ca="1"/>
        <v>1</v>
      </c>
      <c r="AM12" t="b">
        <f ca="1"/>
        <v>0</v>
      </c>
      <c r="AN12">
        <f ca="1"/>
        <v>71</v>
      </c>
      <c r="AO12" t="str">
        <f ca="1"/>
        <v>All Tasks Complete</v>
      </c>
      <c r="AP12">
        <f ca="1"/>
        <v>100</v>
      </c>
      <c r="AQ12" t="str">
        <f ca="1"/>
        <v>Inspection</v>
      </c>
      <c r="AR12" t="str">
        <f ca="1"/>
        <v>Paint</v>
      </c>
      <c r="AS12" t="b">
        <f ca="1"/>
        <v>0</v>
      </c>
      <c r="AT12" t="str">
        <f ca="1"/>
        <v>vacant ready</v>
      </c>
      <c r="AU12" t="b">
        <f ca="1"/>
        <v>1</v>
      </c>
      <c r="AV12" t="b">
        <f ca="1"/>
        <v>0</v>
      </c>
      <c r="AW12" t="b">
        <f ca="1"/>
        <v>0</v>
      </c>
      <c r="AX12" t="str">
        <f ca="1"/>
        <v>QC Hold</v>
      </c>
      <c r="AY12" t="b">
        <f ca="1"/>
        <v>0</v>
      </c>
      <c r="AZ12" t="str">
        <f ca="1"/>
        <v>📅 Scheduled to Move In</v>
      </c>
      <c r="BA12">
        <f ca="1"/>
        <v>7</v>
      </c>
      <c r="BB12" t="b">
        <f ca="1"/>
        <v>0</v>
      </c>
      <c r="BC12" t="b">
        <f ca="1"/>
        <v>0</v>
      </c>
      <c r="BD12" t="b">
        <f ca="1"/>
        <v>0</v>
      </c>
      <c r="BE12" t="b">
        <f ca="1"/>
        <v>0</v>
      </c>
    </row>
    <row r="13" spans="1:57" x14ac:dyDescent="0.4">
      <c r="C13" s="1">
        <f ca="1"/>
        <v>40</v>
      </c>
      <c r="D13" s="1" t="str">
        <f ca="1"/>
        <v>Unit 7-10-0303</v>
      </c>
      <c r="E13" s="1" t="str">
        <f ca="1"/>
        <v>Vacant ready</v>
      </c>
      <c r="F13" s="1" vm="56">
        <f ca="1"/>
        <v>45972</v>
      </c>
      <c r="G13" s="1" vm="64">
        <f ca="1"/>
        <v>46017</v>
      </c>
      <c r="H13">
        <f ca="1"/>
        <v>98</v>
      </c>
      <c r="I13" t="e">
        <f ca="1"/>
        <v>#NUM!</v>
      </c>
      <c r="J13" t="str">
        <f ca="1"/>
        <v/>
      </c>
      <c r="K13" t="str">
        <f ca="1"/>
        <v>VACANT</v>
      </c>
      <c r="L13" vm="58">
        <f ca="1"/>
        <v>45973</v>
      </c>
      <c r="M13" t="str">
        <f ca="1"/>
        <v>Done</v>
      </c>
      <c r="N13" vm="59">
        <f ca="1"/>
        <v>45974</v>
      </c>
      <c r="O13" t="str">
        <f ca="1"/>
        <v>Done</v>
      </c>
      <c r="P13" vm="65">
        <f ca="1"/>
        <v>45975</v>
      </c>
      <c r="Q13" t="str">
        <f ca="1"/>
        <v>Done</v>
      </c>
      <c r="R13" vm="61">
        <f ca="1"/>
        <v>45980</v>
      </c>
      <c r="S13" t="str">
        <f ca="1"/>
        <v>Done</v>
      </c>
      <c r="T13" vm="66">
        <f ca="1"/>
        <v>45981</v>
      </c>
      <c r="U13" t="str">
        <f ca="1"/>
        <v>Done</v>
      </c>
      <c r="V13" t="str">
        <f ca="1"/>
        <v>Brad</v>
      </c>
      <c r="W13" t="str">
        <f ca="1"/>
        <v>yes</v>
      </c>
      <c r="X13" t="str">
        <f ca="1"/>
        <v>No</v>
      </c>
      <c r="Y13" t="str">
        <f ca="1"/>
        <v>7</v>
      </c>
      <c r="Z13" t="str">
        <f ca="1"/>
        <v>10</v>
      </c>
      <c r="AA13" t="str">
        <f ca="1"/>
        <v>0303</v>
      </c>
      <c r="AB13" vm="11">
        <f ca="1"/>
        <v>0</v>
      </c>
      <c r="AC13" t="str">
        <f ca="1"/>
        <v/>
      </c>
      <c r="AD13" t="b">
        <f ca="1"/>
        <v>0</v>
      </c>
      <c r="AE13" t="str">
        <f ca="1"/>
        <v/>
      </c>
      <c r="AF13" t="b">
        <f ca="1"/>
        <v>1</v>
      </c>
      <c r="AG13" t="b">
        <f ca="1"/>
        <v>0</v>
      </c>
      <c r="AH13" t="b">
        <f ca="1"/>
        <v>1</v>
      </c>
      <c r="AI13" t="b">
        <f ca="1"/>
        <v>1</v>
      </c>
      <c r="AJ13" t="b">
        <f ca="1"/>
        <v>0</v>
      </c>
      <c r="AK13" t="b">
        <f ca="1"/>
        <v>0</v>
      </c>
      <c r="AL13" t="b">
        <f ca="1"/>
        <v>1</v>
      </c>
      <c r="AM13" t="b">
        <f ca="1"/>
        <v>0</v>
      </c>
      <c r="AN13">
        <f ca="1"/>
        <v>70</v>
      </c>
      <c r="AO13" t="str">
        <f ca="1"/>
        <v>All Tasks Complete</v>
      </c>
      <c r="AP13">
        <f ca="1"/>
        <v>100</v>
      </c>
      <c r="AQ13" t="str">
        <f ca="1"/>
        <v>Inspection</v>
      </c>
      <c r="AR13" t="str">
        <f ca="1"/>
        <v>Paint</v>
      </c>
      <c r="AS13" t="b">
        <f ca="1"/>
        <v>0</v>
      </c>
      <c r="AT13" t="str">
        <f ca="1"/>
        <v>vacant ready</v>
      </c>
      <c r="AU13" t="b">
        <f ca="1"/>
        <v>1</v>
      </c>
      <c r="AV13" t="b">
        <f ca="1"/>
        <v>0</v>
      </c>
      <c r="AW13" t="b">
        <f ca="1"/>
        <v>0</v>
      </c>
      <c r="AX13" t="str">
        <f ca="1"/>
        <v>Apartment Ready</v>
      </c>
      <c r="AY13" t="b">
        <f ca="1"/>
        <v>0</v>
      </c>
      <c r="AZ13" t="str">
        <f ca="1"/>
        <v>🟢 Apartment Ready</v>
      </c>
      <c r="BA13" t="e">
        <f ca="1"/>
        <v>#NUM!</v>
      </c>
      <c r="BB13" t="b">
        <f ca="1"/>
        <v>0</v>
      </c>
      <c r="BC13" t="b">
        <f ca="1"/>
        <v>0</v>
      </c>
      <c r="BD13" t="b">
        <f ca="1"/>
        <v>0</v>
      </c>
      <c r="BE13" t="b">
        <f ca="1"/>
        <v>0</v>
      </c>
    </row>
    <row r="14" spans="1:57" x14ac:dyDescent="0.4">
      <c r="C14" s="1">
        <f ca="1"/>
        <v>41</v>
      </c>
      <c r="D14" s="1" t="str">
        <f ca="1"/>
        <v>Unit 8-01-3013</v>
      </c>
      <c r="E14" s="1" t="str">
        <f ca="1"/>
        <v>Vacant ready</v>
      </c>
      <c r="F14" s="1" vm="58">
        <f ca="1"/>
        <v>45973</v>
      </c>
      <c r="G14" s="1" vm="62">
        <f ca="1"/>
        <v>46001</v>
      </c>
      <c r="H14">
        <f ca="1"/>
        <v>97</v>
      </c>
      <c r="I14" t="e">
        <f ca="1"/>
        <v>#NUM!</v>
      </c>
      <c r="J14" t="str">
        <f ca="1"/>
        <v/>
      </c>
      <c r="K14" t="str">
        <f ca="1"/>
        <v>VACANT</v>
      </c>
      <c r="L14" vm="59">
        <f ca="1"/>
        <v>45974</v>
      </c>
      <c r="M14" t="str">
        <f ca="1"/>
        <v>Done</v>
      </c>
      <c r="N14" vm="65">
        <f ca="1"/>
        <v>45975</v>
      </c>
      <c r="O14" t="str">
        <f ca="1"/>
        <v>Done</v>
      </c>
      <c r="P14" vm="67">
        <f ca="1"/>
        <v>45978</v>
      </c>
      <c r="Q14" t="str">
        <f ca="1"/>
        <v>Done</v>
      </c>
      <c r="R14" vm="66">
        <f ca="1"/>
        <v>45981</v>
      </c>
      <c r="S14" t="str">
        <f ca="1"/>
        <v>Done</v>
      </c>
      <c r="T14" vm="68">
        <f ca="1"/>
        <v>45982</v>
      </c>
      <c r="U14" t="str">
        <f ca="1"/>
        <v>Done</v>
      </c>
      <c r="V14" t="str">
        <f ca="1"/>
        <v xml:space="preserve">Michael </v>
      </c>
      <c r="W14" t="str">
        <f ca="1"/>
        <v>yes</v>
      </c>
      <c r="X14" t="str">
        <f ca="1"/>
        <v>No</v>
      </c>
      <c r="Y14" t="str">
        <f ca="1"/>
        <v>8</v>
      </c>
      <c r="Z14" t="str">
        <f ca="1"/>
        <v>01</v>
      </c>
      <c r="AA14" t="str">
        <f ca="1"/>
        <v>3013</v>
      </c>
      <c r="AB14" vm="11">
        <f ca="1"/>
        <v>0</v>
      </c>
      <c r="AC14" t="str">
        <f ca="1"/>
        <v/>
      </c>
      <c r="AD14" t="b">
        <f ca="1"/>
        <v>0</v>
      </c>
      <c r="AE14" t="str">
        <f ca="1"/>
        <v/>
      </c>
      <c r="AF14" t="b">
        <f ca="1"/>
        <v>1</v>
      </c>
      <c r="AG14" t="b">
        <f ca="1"/>
        <v>0</v>
      </c>
      <c r="AH14" t="b">
        <f ca="1"/>
        <v>1</v>
      </c>
      <c r="AI14" t="b">
        <f ca="1"/>
        <v>1</v>
      </c>
      <c r="AJ14" t="b">
        <f ca="1"/>
        <v>0</v>
      </c>
      <c r="AK14" t="b">
        <f ca="1"/>
        <v>0</v>
      </c>
      <c r="AL14" t="b">
        <f ca="1"/>
        <v>1</v>
      </c>
      <c r="AM14" t="b">
        <f ca="1"/>
        <v>0</v>
      </c>
      <c r="AN14">
        <f ca="1"/>
        <v>69</v>
      </c>
      <c r="AO14" t="str">
        <f ca="1"/>
        <v>All Tasks Complete</v>
      </c>
      <c r="AP14">
        <f ca="1"/>
        <v>100</v>
      </c>
      <c r="AQ14" t="str">
        <f ca="1"/>
        <v>Inspection</v>
      </c>
      <c r="AR14" t="str">
        <f ca="1"/>
        <v>Paint</v>
      </c>
      <c r="AS14" t="b">
        <f ca="1"/>
        <v>0</v>
      </c>
      <c r="AT14" t="str">
        <f ca="1"/>
        <v>vacant ready</v>
      </c>
      <c r="AU14" t="b">
        <f ca="1"/>
        <v>1</v>
      </c>
      <c r="AV14" t="b">
        <f ca="1"/>
        <v>0</v>
      </c>
      <c r="AW14" t="b">
        <f ca="1"/>
        <v>0</v>
      </c>
      <c r="AX14" t="str">
        <f ca="1"/>
        <v>Apartment Ready</v>
      </c>
      <c r="AY14" t="b">
        <f ca="1"/>
        <v>0</v>
      </c>
      <c r="AZ14" t="str">
        <f ca="1"/>
        <v>🟢 Apartment Ready</v>
      </c>
      <c r="BA14" t="e">
        <f ca="1"/>
        <v>#NUM!</v>
      </c>
      <c r="BB14" t="b">
        <f ca="1"/>
        <v>0</v>
      </c>
      <c r="BC14" t="b">
        <f ca="1"/>
        <v>0</v>
      </c>
      <c r="BD14" t="b">
        <f ca="1"/>
        <v>0</v>
      </c>
      <c r="BE14" t="b">
        <f ca="1"/>
        <v>0</v>
      </c>
    </row>
    <row r="15" spans="1:57" x14ac:dyDescent="0.4">
      <c r="C15" s="1">
        <f ca="1"/>
        <v>42</v>
      </c>
      <c r="D15" s="1" t="str">
        <f ca="1"/>
        <v>Unit 5-18-0117</v>
      </c>
      <c r="E15" s="1" t="str">
        <f ca="1"/>
        <v>Vacant not ready</v>
      </c>
      <c r="F15" s="1" vm="26">
        <f ca="1"/>
        <v>45985</v>
      </c>
      <c r="G15" s="1" vm="4">
        <f ca="1"/>
        <v>46081</v>
      </c>
      <c r="H15">
        <f ca="1"/>
        <v>85</v>
      </c>
      <c r="I15" t="e">
        <f ca="1"/>
        <v>#NUM!</v>
      </c>
      <c r="J15" t="str">
        <f ca="1"/>
        <v/>
      </c>
      <c r="K15" t="str">
        <f ca="1"/>
        <v>VACANT</v>
      </c>
      <c r="L15" vm="69">
        <f ca="1"/>
        <v>45986</v>
      </c>
      <c r="M15" t="str">
        <f ca="1"/>
        <v>Done</v>
      </c>
      <c r="N15" vm="70">
        <f ca="1"/>
        <v>45987</v>
      </c>
      <c r="O15" t="str">
        <f ca="1"/>
        <v>Done</v>
      </c>
      <c r="P15" vm="71">
        <f ca="1"/>
        <v>45988</v>
      </c>
      <c r="Q15" t="str">
        <f ca="1"/>
        <v>Done</v>
      </c>
      <c r="R15" vm="72">
        <f ca="1"/>
        <v>45993</v>
      </c>
      <c r="S15" t="str">
        <f ca="1"/>
        <v>Done</v>
      </c>
      <c r="T15" vm="73">
        <f ca="1"/>
        <v>45994</v>
      </c>
      <c r="U15" t="str">
        <f ca="1"/>
        <v>Done</v>
      </c>
      <c r="V15" t="str">
        <f ca="1"/>
        <v>Total</v>
      </c>
      <c r="W15" t="str">
        <f ca="1"/>
        <v>yes</v>
      </c>
      <c r="X15" t="str">
        <f ca="1"/>
        <v>No</v>
      </c>
      <c r="Y15" t="str">
        <f ca="1"/>
        <v>5</v>
      </c>
      <c r="Z15" t="str">
        <f ca="1"/>
        <v>18</v>
      </c>
      <c r="AA15" t="str">
        <f ca="1"/>
        <v>0117</v>
      </c>
      <c r="AB15" t="str">
        <f ca="1"/>
        <v>[ISSUE:Wether | weather storm  freezes]</v>
      </c>
      <c r="AC15" t="str">
        <f ca="1"/>
        <v>[ISSUE:Wether | weather storm  freezes]</v>
      </c>
      <c r="AD15" t="b">
        <f ca="1"/>
        <v>1</v>
      </c>
      <c r="AE15" t="str">
        <f ca="1"/>
        <v>ISSUE</v>
      </c>
      <c r="AF15" t="b">
        <f ca="1"/>
        <v>0</v>
      </c>
      <c r="AG15" t="b">
        <f ca="1"/>
        <v>0</v>
      </c>
      <c r="AH15" t="b">
        <f ca="1"/>
        <v>1</v>
      </c>
      <c r="AI15" t="b">
        <f ca="1"/>
        <v>1</v>
      </c>
      <c r="AJ15" t="b">
        <f ca="1"/>
        <v>0</v>
      </c>
      <c r="AK15" t="b">
        <f ca="1"/>
        <v>0</v>
      </c>
      <c r="AL15" t="b">
        <f ca="1"/>
        <v>1</v>
      </c>
      <c r="AM15" t="b">
        <f ca="1"/>
        <v>0</v>
      </c>
      <c r="AN15">
        <f ca="1"/>
        <v>61</v>
      </c>
      <c r="AO15" t="str">
        <f ca="1"/>
        <v>All Tasks Complete</v>
      </c>
      <c r="AP15">
        <f ca="1"/>
        <v>100</v>
      </c>
      <c r="AQ15" t="str">
        <f ca="1"/>
        <v>Inspection</v>
      </c>
      <c r="AR15" t="str">
        <f ca="1"/>
        <v>Paint</v>
      </c>
      <c r="AS15" t="b">
        <f ca="1"/>
        <v>0</v>
      </c>
      <c r="AT15" t="str">
        <f ca="1"/>
        <v>vacant not ready</v>
      </c>
      <c r="AU15" t="b">
        <f ca="1"/>
        <v>0</v>
      </c>
      <c r="AV15" t="b">
        <f ca="1"/>
        <v>0</v>
      </c>
      <c r="AW15" t="b">
        <f ca="1"/>
        <v>1</v>
      </c>
      <c r="AX15" t="str">
        <f ca="1"/>
        <v>Pending Start</v>
      </c>
      <c r="AY15" t="b">
        <f ca="1"/>
        <v>1</v>
      </c>
      <c r="AZ15" t="str">
        <f ca="1"/>
        <v>🟡 Needs Attention</v>
      </c>
      <c r="BA15" t="e">
        <f ca="1"/>
        <v>#NUM!</v>
      </c>
      <c r="BB15" t="b">
        <f ca="1"/>
        <v>0</v>
      </c>
      <c r="BC15" t="b">
        <f ca="1"/>
        <v>1</v>
      </c>
      <c r="BD15" t="b">
        <f ca="1"/>
        <v>0</v>
      </c>
      <c r="BE15" t="b">
        <f ca="1"/>
        <v>0</v>
      </c>
    </row>
    <row r="16" spans="1:57" x14ac:dyDescent="0.4">
      <c r="C16" s="1">
        <f ca="1"/>
        <v>43</v>
      </c>
      <c r="D16" s="1" t="str">
        <f ca="1"/>
        <v>Unit 5-11-0106</v>
      </c>
      <c r="E16" s="1" t="str">
        <f ca="1"/>
        <v>Vacant ready</v>
      </c>
      <c r="F16" s="1" vm="74">
        <f ca="1"/>
        <v>45995</v>
      </c>
      <c r="G16" s="1" vm="75">
        <f ca="1"/>
        <v>46034</v>
      </c>
      <c r="H16">
        <f ca="1"/>
        <v>75</v>
      </c>
      <c r="I16" t="e">
        <f ca="1"/>
        <v>#NUM!</v>
      </c>
      <c r="J16" t="str">
        <f ca="1"/>
        <v/>
      </c>
      <c r="K16" t="str">
        <f ca="1"/>
        <v>VACANT</v>
      </c>
      <c r="L16" vm="76">
        <f ca="1"/>
        <v>45996</v>
      </c>
      <c r="M16" t="str">
        <f ca="1"/>
        <v>Done</v>
      </c>
      <c r="N16" vm="77">
        <f ca="1"/>
        <v>45999</v>
      </c>
      <c r="O16" t="str">
        <f ca="1"/>
        <v>Done</v>
      </c>
      <c r="P16" vm="78">
        <f ca="1"/>
        <v>46000</v>
      </c>
      <c r="Q16" t="str">
        <f ca="1"/>
        <v>Done</v>
      </c>
      <c r="R16" vm="57">
        <f ca="1"/>
        <v>46003</v>
      </c>
      <c r="S16" t="str">
        <f ca="1"/>
        <v>Done</v>
      </c>
      <c r="T16" vm="79">
        <f ca="1"/>
        <v>46006</v>
      </c>
      <c r="U16" t="str">
        <f ca="1"/>
        <v>Done</v>
      </c>
      <c r="V16" t="str">
        <f ca="1"/>
        <v>Total</v>
      </c>
      <c r="W16" t="str">
        <f ca="1"/>
        <v xml:space="preserve">Yes stack </v>
      </c>
      <c r="X16" t="str">
        <f ca="1"/>
        <v>No</v>
      </c>
      <c r="Y16" t="str">
        <f ca="1"/>
        <v>5</v>
      </c>
      <c r="Z16" t="str">
        <f ca="1"/>
        <v>11</v>
      </c>
      <c r="AA16" t="str">
        <f ca="1"/>
        <v>0106</v>
      </c>
      <c r="AB16" vm="11">
        <f ca="1"/>
        <v>0</v>
      </c>
      <c r="AC16" t="str">
        <f ca="1"/>
        <v/>
      </c>
      <c r="AD16" t="b">
        <f ca="1"/>
        <v>0</v>
      </c>
      <c r="AE16" t="str">
        <f ca="1"/>
        <v/>
      </c>
      <c r="AF16" t="b">
        <f ca="1"/>
        <v>0</v>
      </c>
      <c r="AG16" t="b">
        <f ca="1"/>
        <v>0</v>
      </c>
      <c r="AH16" t="b">
        <f ca="1"/>
        <v>1</v>
      </c>
      <c r="AI16" t="b">
        <f ca="1"/>
        <v>1</v>
      </c>
      <c r="AJ16" t="b">
        <f ca="1"/>
        <v>0</v>
      </c>
      <c r="AK16" t="b">
        <f ca="1"/>
        <v>0</v>
      </c>
      <c r="AL16" t="b">
        <f ca="1"/>
        <v>1</v>
      </c>
      <c r="AM16" t="b">
        <f ca="1"/>
        <v>0</v>
      </c>
      <c r="AN16">
        <f ca="1"/>
        <v>53</v>
      </c>
      <c r="AO16" t="str">
        <f ca="1"/>
        <v>All Tasks Complete</v>
      </c>
      <c r="AP16">
        <f ca="1"/>
        <v>100</v>
      </c>
      <c r="AQ16" t="str">
        <f ca="1"/>
        <v>Inspection</v>
      </c>
      <c r="AR16" t="str">
        <f ca="1"/>
        <v>Paint</v>
      </c>
      <c r="AS16" t="b">
        <f ca="1"/>
        <v>0</v>
      </c>
      <c r="AT16" t="str">
        <f ca="1"/>
        <v>vacant ready</v>
      </c>
      <c r="AU16" t="b">
        <f ca="1"/>
        <v>1</v>
      </c>
      <c r="AV16" t="b">
        <f ca="1"/>
        <v>0</v>
      </c>
      <c r="AW16" t="b">
        <f ca="1"/>
        <v>0</v>
      </c>
      <c r="AX16" t="str">
        <f ca="1"/>
        <v>Apartment Ready</v>
      </c>
      <c r="AY16" t="b">
        <f ca="1"/>
        <v>0</v>
      </c>
      <c r="AZ16" t="str">
        <f ca="1"/>
        <v>🟢 Apartment Ready</v>
      </c>
      <c r="BA16" t="e">
        <f ca="1"/>
        <v>#NUM!</v>
      </c>
      <c r="BB16" t="b">
        <f ca="1"/>
        <v>0</v>
      </c>
      <c r="BC16" t="b">
        <f ca="1"/>
        <v>0</v>
      </c>
      <c r="BD16" t="b">
        <f ca="1"/>
        <v>0</v>
      </c>
      <c r="BE16" t="b">
        <f ca="1"/>
        <v>0</v>
      </c>
    </row>
    <row r="17" spans="3:57" x14ac:dyDescent="0.4">
      <c r="C17" s="1">
        <f ca="1"/>
        <v>44</v>
      </c>
      <c r="D17" s="1" t="str">
        <f ca="1"/>
        <v>Unit 5-17-0119</v>
      </c>
      <c r="E17" s="1" t="str">
        <f ca="1"/>
        <v>Vacant ready</v>
      </c>
      <c r="F17" s="1" vm="76">
        <f ca="1"/>
        <v>45996</v>
      </c>
      <c r="G17" s="1" vm="64">
        <f ca="1"/>
        <v>46017</v>
      </c>
      <c r="H17">
        <f ca="1"/>
        <v>74</v>
      </c>
      <c r="I17" t="e">
        <f ca="1"/>
        <v>#NUM!</v>
      </c>
      <c r="J17" t="str">
        <f ca="1"/>
        <v/>
      </c>
      <c r="K17" t="str">
        <f ca="1"/>
        <v>VACANT</v>
      </c>
      <c r="L17" vm="77">
        <f ca="1"/>
        <v>45999</v>
      </c>
      <c r="M17" t="str">
        <f ca="1"/>
        <v>Done</v>
      </c>
      <c r="N17" vm="78">
        <f ca="1"/>
        <v>46000</v>
      </c>
      <c r="O17" t="str">
        <f ca="1"/>
        <v>Done</v>
      </c>
      <c r="P17" vm="62">
        <f ca="1"/>
        <v>46001</v>
      </c>
      <c r="Q17" t="str">
        <f ca="1"/>
        <v>Done</v>
      </c>
      <c r="R17" vm="79">
        <f ca="1"/>
        <v>46006</v>
      </c>
      <c r="S17" t="str">
        <f ca="1"/>
        <v>Done</v>
      </c>
      <c r="T17" vm="80">
        <f ca="1"/>
        <v>46007</v>
      </c>
      <c r="U17" t="str">
        <f ca="1"/>
        <v>Done</v>
      </c>
      <c r="V17" t="str">
        <f ca="1"/>
        <v>Total</v>
      </c>
      <c r="W17" t="str">
        <f ca="1"/>
        <v>yes</v>
      </c>
      <c r="X17" t="str">
        <f ca="1"/>
        <v>No</v>
      </c>
      <c r="Y17" t="str">
        <f ca="1"/>
        <v>5</v>
      </c>
      <c r="Z17" t="str">
        <f ca="1"/>
        <v>17</v>
      </c>
      <c r="AA17" t="str">
        <f ca="1"/>
        <v>0119</v>
      </c>
      <c r="AB17" vm="11">
        <f ca="1"/>
        <v>0</v>
      </c>
      <c r="AC17" t="str">
        <f ca="1"/>
        <v/>
      </c>
      <c r="AD17" t="b">
        <f ca="1"/>
        <v>0</v>
      </c>
      <c r="AE17" t="str">
        <f ca="1"/>
        <v/>
      </c>
      <c r="AF17" t="b">
        <f ca="1"/>
        <v>0</v>
      </c>
      <c r="AG17" t="b">
        <f ca="1"/>
        <v>0</v>
      </c>
      <c r="AH17" t="b">
        <f ca="1"/>
        <v>1</v>
      </c>
      <c r="AI17" t="b">
        <f ca="1"/>
        <v>1</v>
      </c>
      <c r="AJ17" t="b">
        <f ca="1"/>
        <v>0</v>
      </c>
      <c r="AK17" t="b">
        <f ca="1"/>
        <v>0</v>
      </c>
      <c r="AL17" t="b">
        <f ca="1"/>
        <v>1</v>
      </c>
      <c r="AM17" t="b">
        <f ca="1"/>
        <v>0</v>
      </c>
      <c r="AN17">
        <f ca="1"/>
        <v>52</v>
      </c>
      <c r="AO17" t="str">
        <f ca="1"/>
        <v>All Tasks Complete</v>
      </c>
      <c r="AP17">
        <f ca="1"/>
        <v>100</v>
      </c>
      <c r="AQ17" t="str">
        <f ca="1"/>
        <v>Inspection</v>
      </c>
      <c r="AR17" t="str">
        <f ca="1"/>
        <v>Paint</v>
      </c>
      <c r="AS17" t="b">
        <f ca="1"/>
        <v>0</v>
      </c>
      <c r="AT17" t="str">
        <f ca="1"/>
        <v>vacant ready</v>
      </c>
      <c r="AU17" t="b">
        <f ca="1"/>
        <v>1</v>
      </c>
      <c r="AV17" t="b">
        <f ca="1"/>
        <v>0</v>
      </c>
      <c r="AW17" t="b">
        <f ca="1"/>
        <v>0</v>
      </c>
      <c r="AX17" t="str">
        <f ca="1"/>
        <v>Apartment Ready</v>
      </c>
      <c r="AY17" t="b">
        <f ca="1"/>
        <v>0</v>
      </c>
      <c r="AZ17" t="str">
        <f ca="1"/>
        <v>🟢 Apartment Ready</v>
      </c>
      <c r="BA17" t="e">
        <f ca="1"/>
        <v>#NUM!</v>
      </c>
      <c r="BB17" t="b">
        <f ca="1"/>
        <v>0</v>
      </c>
      <c r="BC17" t="b">
        <f ca="1"/>
        <v>0</v>
      </c>
      <c r="BD17" t="b">
        <f ca="1"/>
        <v>0</v>
      </c>
      <c r="BE17" t="b">
        <f ca="1"/>
        <v>0</v>
      </c>
    </row>
    <row r="18" spans="3:57" x14ac:dyDescent="0.4">
      <c r="C18" s="1">
        <f ca="1"/>
        <v>45</v>
      </c>
      <c r="D18" s="1" t="str">
        <f ca="1"/>
        <v>Unit 8-01-1109</v>
      </c>
      <c r="E18" s="1" t="str">
        <f ca="1"/>
        <v>Vacant ready</v>
      </c>
      <c r="F18" s="1" vm="76">
        <f ca="1"/>
        <v>45996</v>
      </c>
      <c r="G18" s="1" vm="81">
        <f ca="1"/>
        <v>46013</v>
      </c>
      <c r="H18">
        <f ca="1"/>
        <v>74</v>
      </c>
      <c r="I18" t="e">
        <f ca="1"/>
        <v>#NUM!</v>
      </c>
      <c r="J18" t="str">
        <f ca="1"/>
        <v/>
      </c>
      <c r="K18" t="str">
        <f ca="1"/>
        <v>VACANT</v>
      </c>
      <c r="L18" vm="77">
        <f ca="1"/>
        <v>45999</v>
      </c>
      <c r="M18" t="str">
        <f ca="1"/>
        <v>Done</v>
      </c>
      <c r="N18" vm="78">
        <f ca="1"/>
        <v>46000</v>
      </c>
      <c r="O18" t="str">
        <f ca="1"/>
        <v>Done</v>
      </c>
      <c r="P18" vm="62">
        <f ca="1"/>
        <v>46001</v>
      </c>
      <c r="Q18" t="str">
        <f ca="1"/>
        <v>Done</v>
      </c>
      <c r="R18" vm="79">
        <f ca="1"/>
        <v>46006</v>
      </c>
      <c r="S18" t="str">
        <f ca="1"/>
        <v>Done</v>
      </c>
      <c r="T18" vm="80">
        <f ca="1"/>
        <v>46007</v>
      </c>
      <c r="U18" t="str">
        <f ca="1"/>
        <v>Done</v>
      </c>
      <c r="V18" t="str">
        <f ca="1"/>
        <v xml:space="preserve">Michael </v>
      </c>
      <c r="W18" t="str">
        <f ca="1"/>
        <v>yes</v>
      </c>
      <c r="X18" t="str">
        <f ca="1"/>
        <v>No</v>
      </c>
      <c r="Y18" t="str">
        <f ca="1"/>
        <v>8</v>
      </c>
      <c r="Z18" t="str">
        <f ca="1"/>
        <v>01</v>
      </c>
      <c r="AA18" t="str">
        <f ca="1"/>
        <v>1109</v>
      </c>
      <c r="AB18" vm="11">
        <f ca="1"/>
        <v>0</v>
      </c>
      <c r="AC18" t="str">
        <f ca="1"/>
        <v/>
      </c>
      <c r="AD18" t="b">
        <f ca="1"/>
        <v>0</v>
      </c>
      <c r="AE18" t="str">
        <f ca="1"/>
        <v/>
      </c>
      <c r="AF18" t="b">
        <f ca="1"/>
        <v>1</v>
      </c>
      <c r="AG18" t="b">
        <f ca="1"/>
        <v>0</v>
      </c>
      <c r="AH18" t="b">
        <f ca="1"/>
        <v>1</v>
      </c>
      <c r="AI18" t="b">
        <f ca="1"/>
        <v>1</v>
      </c>
      <c r="AJ18" t="b">
        <f ca="1"/>
        <v>0</v>
      </c>
      <c r="AK18" t="b">
        <f ca="1"/>
        <v>0</v>
      </c>
      <c r="AL18" t="b">
        <f ca="1"/>
        <v>1</v>
      </c>
      <c r="AM18" t="b">
        <f ca="1"/>
        <v>0</v>
      </c>
      <c r="AN18">
        <f ca="1"/>
        <v>52</v>
      </c>
      <c r="AO18" t="str">
        <f ca="1"/>
        <v>All Tasks Complete</v>
      </c>
      <c r="AP18">
        <f ca="1"/>
        <v>100</v>
      </c>
      <c r="AQ18" t="str">
        <f ca="1"/>
        <v>Inspection</v>
      </c>
      <c r="AR18" t="str">
        <f ca="1"/>
        <v>Paint</v>
      </c>
      <c r="AS18" t="b">
        <f ca="1"/>
        <v>0</v>
      </c>
      <c r="AT18" t="str">
        <f ca="1"/>
        <v>vacant ready</v>
      </c>
      <c r="AU18" t="b">
        <f ca="1"/>
        <v>1</v>
      </c>
      <c r="AV18" t="b">
        <f ca="1"/>
        <v>0</v>
      </c>
      <c r="AW18" t="b">
        <f ca="1"/>
        <v>0</v>
      </c>
      <c r="AX18" t="str">
        <f ca="1"/>
        <v>Apartment Ready</v>
      </c>
      <c r="AY18" t="b">
        <f ca="1"/>
        <v>0</v>
      </c>
      <c r="AZ18" t="str">
        <f ca="1"/>
        <v>🟢 Apartment Ready</v>
      </c>
      <c r="BA18" t="e">
        <f ca="1"/>
        <v>#NUM!</v>
      </c>
      <c r="BB18" t="b">
        <f ca="1"/>
        <v>0</v>
      </c>
      <c r="BC18" t="b">
        <f ca="1"/>
        <v>0</v>
      </c>
      <c r="BD18" t="b">
        <f ca="1"/>
        <v>0</v>
      </c>
      <c r="BE18" t="b">
        <f ca="1"/>
        <v>0</v>
      </c>
    </row>
    <row r="19" spans="3:57" x14ac:dyDescent="0.4">
      <c r="C19" s="1">
        <f ca="1"/>
        <v>46</v>
      </c>
      <c r="D19" s="1" t="str">
        <f ca="1"/>
        <v>Unit 7-11-0315</v>
      </c>
      <c r="E19" s="1" t="str">
        <f ca="1"/>
        <v>Vacant ready</v>
      </c>
      <c r="F19" s="1" vm="40">
        <f ca="1"/>
        <v>46002</v>
      </c>
      <c r="G19" s="1" vm="82">
        <f ca="1"/>
        <v>46029</v>
      </c>
      <c r="H19">
        <f ca="1"/>
        <v>68</v>
      </c>
      <c r="I19" t="e">
        <f ca="1"/>
        <v>#NUM!</v>
      </c>
      <c r="J19" t="str">
        <f ca="1"/>
        <v/>
      </c>
      <c r="K19" t="str">
        <f ca="1"/>
        <v>VACANT</v>
      </c>
      <c r="L19" vm="57">
        <f ca="1"/>
        <v>46003</v>
      </c>
      <c r="M19" t="str">
        <f ca="1"/>
        <v>Done</v>
      </c>
      <c r="N19" vm="79">
        <f ca="1"/>
        <v>46006</v>
      </c>
      <c r="O19" t="str">
        <f ca="1"/>
        <v>Done</v>
      </c>
      <c r="P19" vm="80">
        <f ca="1"/>
        <v>46007</v>
      </c>
      <c r="Q19" t="str">
        <f ca="1"/>
        <v>Done</v>
      </c>
      <c r="R19" vm="83">
        <f ca="1"/>
        <v>46010</v>
      </c>
      <c r="S19" t="str">
        <f ca="1"/>
        <v>Done</v>
      </c>
      <c r="T19" vm="81">
        <f ca="1"/>
        <v>46013</v>
      </c>
      <c r="U19" t="str">
        <f ca="1"/>
        <v>Done</v>
      </c>
      <c r="V19" t="str">
        <f ca="1"/>
        <v>Brad</v>
      </c>
      <c r="W19" t="str">
        <f ca="1"/>
        <v>yes</v>
      </c>
      <c r="X19" t="str">
        <f ca="1"/>
        <v>No</v>
      </c>
      <c r="Y19" t="str">
        <f ca="1"/>
        <v>7</v>
      </c>
      <c r="Z19" t="str">
        <f ca="1"/>
        <v>11</v>
      </c>
      <c r="AA19" t="str">
        <f ca="1"/>
        <v>0315</v>
      </c>
      <c r="AB19" vm="11">
        <f ca="1"/>
        <v>0</v>
      </c>
      <c r="AC19" t="str">
        <f ca="1"/>
        <v/>
      </c>
      <c r="AD19" t="b">
        <f ca="1"/>
        <v>0</v>
      </c>
      <c r="AE19" t="str">
        <f ca="1"/>
        <v/>
      </c>
      <c r="AF19" t="b">
        <f ca="1"/>
        <v>1</v>
      </c>
      <c r="AG19" t="b">
        <f ca="1"/>
        <v>0</v>
      </c>
      <c r="AH19" t="b">
        <f ca="1"/>
        <v>1</v>
      </c>
      <c r="AI19" t="b">
        <f ca="1"/>
        <v>1</v>
      </c>
      <c r="AJ19" t="b">
        <f ca="1"/>
        <v>0</v>
      </c>
      <c r="AK19" t="b">
        <f ca="1"/>
        <v>0</v>
      </c>
      <c r="AL19" t="b">
        <f ca="1"/>
        <v>1</v>
      </c>
      <c r="AM19" t="b">
        <f ca="1"/>
        <v>0</v>
      </c>
      <c r="AN19">
        <f ca="1"/>
        <v>48</v>
      </c>
      <c r="AO19" t="str">
        <f ca="1"/>
        <v>All Tasks Complete</v>
      </c>
      <c r="AP19">
        <f ca="1"/>
        <v>100</v>
      </c>
      <c r="AQ19" t="str">
        <f ca="1"/>
        <v>Inspection</v>
      </c>
      <c r="AR19" t="str">
        <f ca="1"/>
        <v>Paint</v>
      </c>
      <c r="AS19" t="b">
        <f ca="1"/>
        <v>0</v>
      </c>
      <c r="AT19" t="str">
        <f ca="1"/>
        <v>vacant ready</v>
      </c>
      <c r="AU19" t="b">
        <f ca="1"/>
        <v>1</v>
      </c>
      <c r="AV19" t="b">
        <f ca="1"/>
        <v>0</v>
      </c>
      <c r="AW19" t="b">
        <f ca="1"/>
        <v>0</v>
      </c>
      <c r="AX19" t="str">
        <f ca="1"/>
        <v>Apartment Ready</v>
      </c>
      <c r="AY19" t="b">
        <f ca="1"/>
        <v>0</v>
      </c>
      <c r="AZ19" t="str">
        <f ca="1"/>
        <v>🟢 Apartment Ready</v>
      </c>
      <c r="BA19" t="e">
        <f ca="1"/>
        <v>#NUM!</v>
      </c>
      <c r="BB19" t="b">
        <f ca="1"/>
        <v>0</v>
      </c>
      <c r="BC19" t="b">
        <f ca="1"/>
        <v>0</v>
      </c>
      <c r="BD19" t="b">
        <f ca="1"/>
        <v>0</v>
      </c>
      <c r="BE19" t="b">
        <f ca="1"/>
        <v>0</v>
      </c>
    </row>
    <row r="20" spans="3:57" x14ac:dyDescent="0.4">
      <c r="C20" s="1">
        <f ca="1"/>
        <v>47</v>
      </c>
      <c r="D20" s="1" t="str">
        <f ca="1"/>
        <v>Unit 8-01-2012</v>
      </c>
      <c r="E20" s="1" t="str">
        <f ca="1"/>
        <v>Vacant ready</v>
      </c>
      <c r="F20" s="1" vm="84">
        <f ca="1"/>
        <v>46015</v>
      </c>
      <c r="G20" s="1" vm="85">
        <f ca="1"/>
        <v>46035</v>
      </c>
      <c r="H20">
        <f ca="1"/>
        <v>55</v>
      </c>
      <c r="I20" t="e">
        <f ca="1"/>
        <v>#NUM!</v>
      </c>
      <c r="J20" t="str">
        <f ca="1"/>
        <v/>
      </c>
      <c r="K20" t="str">
        <f ca="1"/>
        <v>VACANT</v>
      </c>
      <c r="L20" vm="86">
        <f ca="1"/>
        <v>46016</v>
      </c>
      <c r="M20" t="str">
        <f ca="1"/>
        <v>Done</v>
      </c>
      <c r="N20" vm="64">
        <f ca="1"/>
        <v>46017</v>
      </c>
      <c r="O20" t="str">
        <f ca="1"/>
        <v>Done</v>
      </c>
      <c r="P20" vm="87">
        <f ca="1"/>
        <v>46020</v>
      </c>
      <c r="Q20" t="str">
        <f ca="1"/>
        <v>Done</v>
      </c>
      <c r="R20" vm="88">
        <f ca="1"/>
        <v>46023</v>
      </c>
      <c r="S20" t="str">
        <f ca="1"/>
        <v>Done</v>
      </c>
      <c r="T20" vm="89">
        <f ca="1"/>
        <v>46024</v>
      </c>
      <c r="U20" t="str">
        <f ca="1"/>
        <v>Done</v>
      </c>
      <c r="V20" t="str">
        <f ca="1"/>
        <v xml:space="preserve">Michael </v>
      </c>
      <c r="W20" t="str">
        <f ca="1"/>
        <v xml:space="preserve">Yes stack </v>
      </c>
      <c r="X20" t="str">
        <f ca="1"/>
        <v>No</v>
      </c>
      <c r="Y20" t="str">
        <f ca="1"/>
        <v>8</v>
      </c>
      <c r="Z20" t="str">
        <f ca="1"/>
        <v>01</v>
      </c>
      <c r="AA20" t="str">
        <f ca="1"/>
        <v>2012</v>
      </c>
      <c r="AB20" vm="11">
        <f ca="1"/>
        <v>0</v>
      </c>
      <c r="AC20" t="str">
        <f ca="1"/>
        <v/>
      </c>
      <c r="AD20" t="b">
        <f ca="1"/>
        <v>0</v>
      </c>
      <c r="AE20" t="str">
        <f ca="1"/>
        <v/>
      </c>
      <c r="AF20" t="b">
        <f ca="1"/>
        <v>1</v>
      </c>
      <c r="AG20" t="b">
        <f ca="1"/>
        <v>0</v>
      </c>
      <c r="AH20" t="b">
        <f ca="1"/>
        <v>1</v>
      </c>
      <c r="AI20" t="b">
        <f ca="1"/>
        <v>1</v>
      </c>
      <c r="AJ20" t="b">
        <f ca="1"/>
        <v>0</v>
      </c>
      <c r="AK20" t="b">
        <f ca="1"/>
        <v>0</v>
      </c>
      <c r="AL20" t="b">
        <f ca="1"/>
        <v>1</v>
      </c>
      <c r="AM20" t="b">
        <f ca="1"/>
        <v>0</v>
      </c>
      <c r="AN20">
        <f ca="1"/>
        <v>39</v>
      </c>
      <c r="AO20" t="str">
        <f ca="1"/>
        <v>All Tasks Complete</v>
      </c>
      <c r="AP20">
        <f ca="1"/>
        <v>100</v>
      </c>
      <c r="AQ20" t="str">
        <f ca="1"/>
        <v>Inspection</v>
      </c>
      <c r="AR20" t="str">
        <f ca="1"/>
        <v>Paint</v>
      </c>
      <c r="AS20" t="b">
        <f ca="1"/>
        <v>0</v>
      </c>
      <c r="AT20" t="str">
        <f ca="1"/>
        <v>vacant ready</v>
      </c>
      <c r="AU20" t="b">
        <f ca="1"/>
        <v>1</v>
      </c>
      <c r="AV20" t="b">
        <f ca="1"/>
        <v>0</v>
      </c>
      <c r="AW20" t="b">
        <f ca="1"/>
        <v>0</v>
      </c>
      <c r="AX20" t="str">
        <f ca="1"/>
        <v>Apartment Ready</v>
      </c>
      <c r="AY20" t="b">
        <f ca="1"/>
        <v>0</v>
      </c>
      <c r="AZ20" t="str">
        <f ca="1"/>
        <v>🟢 Apartment Ready</v>
      </c>
      <c r="BA20" t="e">
        <f ca="1"/>
        <v>#NUM!</v>
      </c>
      <c r="BB20" t="b">
        <f ca="1"/>
        <v>0</v>
      </c>
      <c r="BC20" t="b">
        <f ca="1"/>
        <v>0</v>
      </c>
      <c r="BD20" t="b">
        <f ca="1"/>
        <v>0</v>
      </c>
      <c r="BE20" t="b">
        <f ca="1"/>
        <v>0</v>
      </c>
    </row>
    <row r="21" spans="3:57" x14ac:dyDescent="0.4">
      <c r="C21" s="1">
        <f ca="1"/>
        <v>48</v>
      </c>
      <c r="D21" s="1" t="str">
        <f ca="1"/>
        <v>Unit 5-02-0109</v>
      </c>
      <c r="E21" s="1" t="str">
        <f ca="1"/>
        <v>Vacant ready</v>
      </c>
      <c r="F21" s="1" vm="86">
        <f ca="1"/>
        <v>46016</v>
      </c>
      <c r="G21" s="1" vm="90">
        <f ca="1"/>
        <v>46038</v>
      </c>
      <c r="H21">
        <f ca="1"/>
        <v>54</v>
      </c>
      <c r="I21" t="e">
        <f ca="1"/>
        <v>#NUM!</v>
      </c>
      <c r="J21" t="str">
        <f ca="1"/>
        <v/>
      </c>
      <c r="K21" t="str">
        <f ca="1"/>
        <v>VACANT</v>
      </c>
      <c r="L21" vm="64">
        <f ca="1"/>
        <v>46017</v>
      </c>
      <c r="M21" t="str">
        <f ca="1"/>
        <v>Done</v>
      </c>
      <c r="N21" vm="87">
        <f ca="1"/>
        <v>46020</v>
      </c>
      <c r="O21" t="str">
        <f ca="1"/>
        <v>Done</v>
      </c>
      <c r="P21" vm="91">
        <f ca="1"/>
        <v>46021</v>
      </c>
      <c r="Q21" t="str">
        <f ca="1"/>
        <v>Done</v>
      </c>
      <c r="R21" vm="89">
        <f ca="1"/>
        <v>46024</v>
      </c>
      <c r="S21" t="str">
        <f ca="1"/>
        <v>Done</v>
      </c>
      <c r="T21" vm="92">
        <f ca="1"/>
        <v>46027</v>
      </c>
      <c r="U21" t="str">
        <f ca="1"/>
        <v>Done</v>
      </c>
      <c r="V21" t="str">
        <f ca="1"/>
        <v>Total</v>
      </c>
      <c r="W21" t="str">
        <f ca="1"/>
        <v>yes</v>
      </c>
      <c r="X21" t="str">
        <f ca="1"/>
        <v>No</v>
      </c>
      <c r="Y21" t="str">
        <f ca="1"/>
        <v>5</v>
      </c>
      <c r="Z21" t="str">
        <f ca="1"/>
        <v>02</v>
      </c>
      <c r="AA21" t="str">
        <f ca="1"/>
        <v>0109</v>
      </c>
      <c r="AB21" vm="11">
        <f ca="1"/>
        <v>0</v>
      </c>
      <c r="AC21" t="str">
        <f ca="1"/>
        <v/>
      </c>
      <c r="AD21" t="b">
        <f ca="1"/>
        <v>0</v>
      </c>
      <c r="AE21" t="str">
        <f ca="1"/>
        <v/>
      </c>
      <c r="AF21" t="b">
        <f ca="1"/>
        <v>0</v>
      </c>
      <c r="AG21" t="b">
        <f ca="1"/>
        <v>0</v>
      </c>
      <c r="AH21" t="b">
        <f ca="1"/>
        <v>1</v>
      </c>
      <c r="AI21" t="b">
        <f ca="1"/>
        <v>1</v>
      </c>
      <c r="AJ21" t="b">
        <f ca="1"/>
        <v>0</v>
      </c>
      <c r="AK21" t="b">
        <f ca="1"/>
        <v>0</v>
      </c>
      <c r="AL21" t="b">
        <f ca="1"/>
        <v>1</v>
      </c>
      <c r="AM21" t="b">
        <f ca="1"/>
        <v>0</v>
      </c>
      <c r="AN21">
        <f ca="1"/>
        <v>38</v>
      </c>
      <c r="AO21" t="str">
        <f ca="1"/>
        <v>All Tasks Complete</v>
      </c>
      <c r="AP21">
        <f ca="1"/>
        <v>100</v>
      </c>
      <c r="AQ21" t="str">
        <f ca="1"/>
        <v>Inspection</v>
      </c>
      <c r="AR21" t="str">
        <f ca="1"/>
        <v>Paint</v>
      </c>
      <c r="AS21" t="b">
        <f ca="1"/>
        <v>0</v>
      </c>
      <c r="AT21" t="str">
        <f ca="1"/>
        <v>vacant ready</v>
      </c>
      <c r="AU21" t="b">
        <f ca="1"/>
        <v>1</v>
      </c>
      <c r="AV21" t="b">
        <f ca="1"/>
        <v>0</v>
      </c>
      <c r="AW21" t="b">
        <f ca="1"/>
        <v>0</v>
      </c>
      <c r="AX21" t="str">
        <f ca="1"/>
        <v>Apartment Ready</v>
      </c>
      <c r="AY21" t="b">
        <f ca="1"/>
        <v>0</v>
      </c>
      <c r="AZ21" t="str">
        <f ca="1"/>
        <v>🟢 Apartment Ready</v>
      </c>
      <c r="BA21" t="e">
        <f ca="1"/>
        <v>#NUM!</v>
      </c>
      <c r="BB21" t="b">
        <f ca="1"/>
        <v>0</v>
      </c>
      <c r="BC21" t="b">
        <f ca="1"/>
        <v>0</v>
      </c>
      <c r="BD21" t="b">
        <f ca="1"/>
        <v>0</v>
      </c>
      <c r="BE21" t="b">
        <f ca="1"/>
        <v>0</v>
      </c>
    </row>
    <row r="22" spans="3:57" x14ac:dyDescent="0.4">
      <c r="C22" s="1">
        <f ca="1"/>
        <v>49</v>
      </c>
      <c r="D22" s="1" t="str">
        <f ca="1"/>
        <v>Unit 7-02-0303</v>
      </c>
      <c r="E22" s="1" t="str">
        <f ca="1"/>
        <v>Vacant ready</v>
      </c>
      <c r="F22" s="1" vm="93">
        <f ca="1"/>
        <v>46018</v>
      </c>
      <c r="G22" s="1" vm="90">
        <f ca="1"/>
        <v>46038</v>
      </c>
      <c r="H22">
        <f ca="1"/>
        <v>52</v>
      </c>
      <c r="I22" t="e">
        <f ca="1"/>
        <v>#NUM!</v>
      </c>
      <c r="J22" t="str">
        <f ca="1"/>
        <v/>
      </c>
      <c r="K22" t="str">
        <f ca="1"/>
        <v>VACANT</v>
      </c>
      <c r="L22" vm="87">
        <f ca="1"/>
        <v>46020</v>
      </c>
      <c r="M22" t="str">
        <f ca="1"/>
        <v>Done</v>
      </c>
      <c r="N22" vm="91">
        <f ca="1"/>
        <v>46021</v>
      </c>
      <c r="O22" t="str">
        <f ca="1"/>
        <v>Done</v>
      </c>
      <c r="P22" vm="94">
        <f ca="1"/>
        <v>46022</v>
      </c>
      <c r="Q22" t="str">
        <f ca="1"/>
        <v>Done</v>
      </c>
      <c r="R22" vm="92">
        <f ca="1"/>
        <v>46027</v>
      </c>
      <c r="S22" t="str">
        <f ca="1"/>
        <v>Done</v>
      </c>
      <c r="T22" vm="95">
        <f ca="1"/>
        <v>46028</v>
      </c>
      <c r="U22" t="str">
        <f ca="1"/>
        <v>Done</v>
      </c>
      <c r="V22" t="str">
        <f ca="1"/>
        <v>Brad</v>
      </c>
      <c r="W22" t="str">
        <f ca="1"/>
        <v>yes</v>
      </c>
      <c r="X22" t="str">
        <f ca="1"/>
        <v>No</v>
      </c>
      <c r="Y22" t="str">
        <f ca="1"/>
        <v>7</v>
      </c>
      <c r="Z22" t="str">
        <f ca="1"/>
        <v>02</v>
      </c>
      <c r="AA22" t="str">
        <f ca="1"/>
        <v>0303</v>
      </c>
      <c r="AB22" vm="11">
        <f ca="1"/>
        <v>0</v>
      </c>
      <c r="AC22" t="str">
        <f ca="1"/>
        <v/>
      </c>
      <c r="AD22" t="b">
        <f ca="1"/>
        <v>0</v>
      </c>
      <c r="AE22" t="str">
        <f ca="1"/>
        <v/>
      </c>
      <c r="AF22" t="b">
        <f ca="1"/>
        <v>1</v>
      </c>
      <c r="AG22" t="b">
        <f ca="1"/>
        <v>0</v>
      </c>
      <c r="AH22" t="b">
        <f ca="1"/>
        <v>1</v>
      </c>
      <c r="AI22" t="b">
        <f ca="1"/>
        <v>1</v>
      </c>
      <c r="AJ22" t="b">
        <f ca="1"/>
        <v>0</v>
      </c>
      <c r="AK22" t="b">
        <f ca="1"/>
        <v>0</v>
      </c>
      <c r="AL22" t="b">
        <f ca="1"/>
        <v>1</v>
      </c>
      <c r="AM22" t="b">
        <f ca="1"/>
        <v>0</v>
      </c>
      <c r="AN22">
        <f ca="1"/>
        <v>36</v>
      </c>
      <c r="AO22" t="str">
        <f ca="1"/>
        <v>All Tasks Complete</v>
      </c>
      <c r="AP22">
        <f ca="1"/>
        <v>100</v>
      </c>
      <c r="AQ22" t="str">
        <f ca="1"/>
        <v>Inspection</v>
      </c>
      <c r="AR22" t="str">
        <f ca="1"/>
        <v>Paint</v>
      </c>
      <c r="AS22" t="b">
        <f ca="1"/>
        <v>0</v>
      </c>
      <c r="AT22" t="str">
        <f ca="1"/>
        <v>vacant ready</v>
      </c>
      <c r="AU22" t="b">
        <f ca="1"/>
        <v>1</v>
      </c>
      <c r="AV22" t="b">
        <f ca="1"/>
        <v>0</v>
      </c>
      <c r="AW22" t="b">
        <f ca="1"/>
        <v>0</v>
      </c>
      <c r="AX22" t="str">
        <f ca="1"/>
        <v>Apartment Ready</v>
      </c>
      <c r="AY22" t="b">
        <f ca="1"/>
        <v>0</v>
      </c>
      <c r="AZ22" t="str">
        <f ca="1"/>
        <v>🟢 Apartment Ready</v>
      </c>
      <c r="BA22" t="e">
        <f ca="1"/>
        <v>#NUM!</v>
      </c>
      <c r="BB22" t="b">
        <f ca="1"/>
        <v>0</v>
      </c>
      <c r="BC22" t="b">
        <f ca="1"/>
        <v>0</v>
      </c>
      <c r="BD22" t="b">
        <f ca="1"/>
        <v>0</v>
      </c>
      <c r="BE22" t="b">
        <f ca="1"/>
        <v>0</v>
      </c>
    </row>
    <row r="23" spans="3:57" x14ac:dyDescent="0.4">
      <c r="C23" s="1">
        <f ca="1"/>
        <v>50</v>
      </c>
      <c r="D23" s="1" t="str">
        <f ca="1"/>
        <v>Unit 7-04-0303</v>
      </c>
      <c r="E23" s="1" t="str">
        <f ca="1"/>
        <v>Vacant ready</v>
      </c>
      <c r="F23" s="1" vm="91">
        <f ca="1"/>
        <v>46021</v>
      </c>
      <c r="G23" s="1" vm="90">
        <f ca="1"/>
        <v>46038</v>
      </c>
      <c r="H23">
        <f ca="1"/>
        <v>49</v>
      </c>
      <c r="I23" t="e">
        <f ca="1"/>
        <v>#NUM!</v>
      </c>
      <c r="J23" t="str">
        <f ca="1"/>
        <v/>
      </c>
      <c r="K23" t="str">
        <f ca="1"/>
        <v>VACANT</v>
      </c>
      <c r="L23" vm="94">
        <f ca="1"/>
        <v>46022</v>
      </c>
      <c r="M23" t="str">
        <f ca="1"/>
        <v>Done</v>
      </c>
      <c r="N23" vm="88">
        <f ca="1"/>
        <v>46023</v>
      </c>
      <c r="O23" t="str">
        <f ca="1"/>
        <v>Done</v>
      </c>
      <c r="P23" vm="89">
        <f ca="1"/>
        <v>46024</v>
      </c>
      <c r="Q23" t="str">
        <f ca="1"/>
        <v>Done</v>
      </c>
      <c r="R23" vm="82">
        <f ca="1"/>
        <v>46029</v>
      </c>
      <c r="S23" t="str">
        <f ca="1"/>
        <v>Done</v>
      </c>
      <c r="T23" vm="96">
        <f ca="1"/>
        <v>46030</v>
      </c>
      <c r="U23" t="str">
        <f ca="1"/>
        <v>Done</v>
      </c>
      <c r="V23" t="str">
        <f ca="1"/>
        <v>Brad</v>
      </c>
      <c r="W23" t="str">
        <f ca="1"/>
        <v>yes</v>
      </c>
      <c r="X23" t="str">
        <f ca="1"/>
        <v>No</v>
      </c>
      <c r="Y23" t="str">
        <f ca="1"/>
        <v>7</v>
      </c>
      <c r="Z23" t="str">
        <f ca="1"/>
        <v>04</v>
      </c>
      <c r="AA23" t="str">
        <f ca="1"/>
        <v>0303</v>
      </c>
      <c r="AB23" vm="11">
        <f ca="1"/>
        <v>0</v>
      </c>
      <c r="AC23" t="str">
        <f ca="1"/>
        <v/>
      </c>
      <c r="AD23" t="b">
        <f ca="1"/>
        <v>0</v>
      </c>
      <c r="AE23" t="str">
        <f ca="1"/>
        <v/>
      </c>
      <c r="AF23" t="b">
        <f ca="1"/>
        <v>1</v>
      </c>
      <c r="AG23" t="b">
        <f ca="1"/>
        <v>0</v>
      </c>
      <c r="AH23" t="b">
        <f ca="1"/>
        <v>1</v>
      </c>
      <c r="AI23" t="b">
        <f ca="1"/>
        <v>1</v>
      </c>
      <c r="AJ23" t="b">
        <f ca="1"/>
        <v>0</v>
      </c>
      <c r="AK23" t="b">
        <f ca="1"/>
        <v>0</v>
      </c>
      <c r="AL23" t="b">
        <f ca="1"/>
        <v>1</v>
      </c>
      <c r="AM23" t="b">
        <f ca="1"/>
        <v>0</v>
      </c>
      <c r="AN23">
        <f ca="1"/>
        <v>35</v>
      </c>
      <c r="AO23" t="str">
        <f ca="1"/>
        <v>All Tasks Complete</v>
      </c>
      <c r="AP23">
        <f ca="1"/>
        <v>100</v>
      </c>
      <c r="AQ23" t="str">
        <f ca="1"/>
        <v>Inspection</v>
      </c>
      <c r="AR23" t="str">
        <f ca="1"/>
        <v>Paint</v>
      </c>
      <c r="AS23" t="b">
        <f ca="1"/>
        <v>0</v>
      </c>
      <c r="AT23" t="str">
        <f ca="1"/>
        <v>vacant ready</v>
      </c>
      <c r="AU23" t="b">
        <f ca="1"/>
        <v>1</v>
      </c>
      <c r="AV23" t="b">
        <f ca="1"/>
        <v>0</v>
      </c>
      <c r="AW23" t="b">
        <f ca="1"/>
        <v>0</v>
      </c>
      <c r="AX23" t="str">
        <f ca="1"/>
        <v>Apartment Ready</v>
      </c>
      <c r="AY23" t="b">
        <f ca="1"/>
        <v>0</v>
      </c>
      <c r="AZ23" t="str">
        <f ca="1"/>
        <v>🟢 Apartment Ready</v>
      </c>
      <c r="BA23" t="e">
        <f ca="1"/>
        <v>#NUM!</v>
      </c>
      <c r="BB23" t="b">
        <f ca="1"/>
        <v>0</v>
      </c>
      <c r="BC23" t="b">
        <f ca="1"/>
        <v>0</v>
      </c>
      <c r="BD23" t="b">
        <f ca="1"/>
        <v>0</v>
      </c>
      <c r="BE23" t="b">
        <f ca="1"/>
        <v>0</v>
      </c>
    </row>
    <row r="24" spans="3:57" x14ac:dyDescent="0.4">
      <c r="C24" s="1">
        <f ca="1"/>
        <v>51</v>
      </c>
      <c r="D24" s="1" t="str">
        <f ca="1"/>
        <v>Unit 5-01-0221</v>
      </c>
      <c r="E24" s="1" t="str">
        <f ca="1"/>
        <v>Vacant ready</v>
      </c>
      <c r="F24" s="1" vm="91">
        <f ca="1"/>
        <v>46021</v>
      </c>
      <c r="G24" s="1" vm="90">
        <f ca="1"/>
        <v>46038</v>
      </c>
      <c r="H24">
        <f ca="1"/>
        <v>49</v>
      </c>
      <c r="I24" t="e">
        <f ca="1"/>
        <v>#NUM!</v>
      </c>
      <c r="J24" t="str">
        <f ca="1"/>
        <v/>
      </c>
      <c r="K24" t="str">
        <f ca="1"/>
        <v>VACANT</v>
      </c>
      <c r="L24" vm="94">
        <f ca="1"/>
        <v>46022</v>
      </c>
      <c r="M24" t="str">
        <f ca="1"/>
        <v>Done</v>
      </c>
      <c r="N24" vm="88">
        <f ca="1"/>
        <v>46023</v>
      </c>
      <c r="O24" t="str">
        <f ca="1"/>
        <v>Done</v>
      </c>
      <c r="P24" vm="89">
        <f ca="1"/>
        <v>46024</v>
      </c>
      <c r="Q24" t="str">
        <f ca="1"/>
        <v>Done</v>
      </c>
      <c r="R24" vm="82">
        <f ca="1"/>
        <v>46029</v>
      </c>
      <c r="S24" t="str">
        <f ca="1"/>
        <v>Done</v>
      </c>
      <c r="T24" vm="96">
        <f ca="1"/>
        <v>46030</v>
      </c>
      <c r="U24" t="str">
        <f ca="1"/>
        <v>Done</v>
      </c>
      <c r="V24" t="str">
        <f ca="1"/>
        <v>Total</v>
      </c>
      <c r="W24" t="str">
        <f ca="1"/>
        <v>yes</v>
      </c>
      <c r="X24" t="str">
        <f ca="1"/>
        <v>No</v>
      </c>
      <c r="Y24" t="str">
        <f ca="1"/>
        <v>5</v>
      </c>
      <c r="Z24" t="str">
        <f ca="1"/>
        <v>01</v>
      </c>
      <c r="AA24" t="str">
        <f ca="1"/>
        <v>0221</v>
      </c>
      <c r="AB24" vm="11">
        <f ca="1"/>
        <v>0</v>
      </c>
      <c r="AC24" t="str">
        <f ca="1"/>
        <v/>
      </c>
      <c r="AD24" t="b">
        <f ca="1"/>
        <v>0</v>
      </c>
      <c r="AE24" t="str">
        <f ca="1"/>
        <v/>
      </c>
      <c r="AF24" t="b">
        <f ca="1"/>
        <v>0</v>
      </c>
      <c r="AG24" t="b">
        <f ca="1"/>
        <v>0</v>
      </c>
      <c r="AH24" t="b">
        <f ca="1"/>
        <v>1</v>
      </c>
      <c r="AI24" t="b">
        <f ca="1"/>
        <v>1</v>
      </c>
      <c r="AJ24" t="b">
        <f ca="1"/>
        <v>0</v>
      </c>
      <c r="AK24" t="b">
        <f ca="1"/>
        <v>0</v>
      </c>
      <c r="AL24" t="b">
        <f ca="1"/>
        <v>1</v>
      </c>
      <c r="AM24" t="b">
        <f ca="1"/>
        <v>0</v>
      </c>
      <c r="AN24">
        <f ca="1"/>
        <v>35</v>
      </c>
      <c r="AO24" t="str">
        <f ca="1"/>
        <v>All Tasks Complete</v>
      </c>
      <c r="AP24">
        <f ca="1"/>
        <v>100</v>
      </c>
      <c r="AQ24" t="str">
        <f ca="1"/>
        <v>Inspection</v>
      </c>
      <c r="AR24" t="str">
        <f ca="1"/>
        <v>Paint</v>
      </c>
      <c r="AS24" t="b">
        <f ca="1"/>
        <v>0</v>
      </c>
      <c r="AT24" t="str">
        <f ca="1"/>
        <v>vacant ready</v>
      </c>
      <c r="AU24" t="b">
        <f ca="1"/>
        <v>1</v>
      </c>
      <c r="AV24" t="b">
        <f ca="1"/>
        <v>0</v>
      </c>
      <c r="AW24" t="b">
        <f ca="1"/>
        <v>0</v>
      </c>
      <c r="AX24" t="str">
        <f ca="1"/>
        <v>Apartment Ready</v>
      </c>
      <c r="AY24" t="b">
        <f ca="1"/>
        <v>0</v>
      </c>
      <c r="AZ24" t="str">
        <f ca="1"/>
        <v>🟢 Apartment Ready</v>
      </c>
      <c r="BA24" t="e">
        <f ca="1"/>
        <v>#NUM!</v>
      </c>
      <c r="BB24" t="b">
        <f ca="1"/>
        <v>0</v>
      </c>
      <c r="BC24" t="b">
        <f ca="1"/>
        <v>0</v>
      </c>
      <c r="BD24" t="b">
        <f ca="1"/>
        <v>0</v>
      </c>
      <c r="BE24" t="b">
        <f ca="1"/>
        <v>0</v>
      </c>
    </row>
    <row r="25" spans="3:57" x14ac:dyDescent="0.4">
      <c r="C25" s="1">
        <f ca="1"/>
        <v>52</v>
      </c>
      <c r="D25" s="1" t="str">
        <f ca="1"/>
        <v>Unit 5-18-0342</v>
      </c>
      <c r="E25" s="1" t="str">
        <f ca="1"/>
        <v>Vacant ready</v>
      </c>
      <c r="F25" s="1" vm="94">
        <f ca="1"/>
        <v>46022</v>
      </c>
      <c r="G25" s="1" vm="97">
        <f ca="1"/>
        <v>46036</v>
      </c>
      <c r="H25">
        <f ca="1"/>
        <v>48</v>
      </c>
      <c r="I25" t="e">
        <f ca="1"/>
        <v>#NUM!</v>
      </c>
      <c r="J25" t="str">
        <f ca="1"/>
        <v/>
      </c>
      <c r="K25" t="str">
        <f ca="1"/>
        <v>VACANT</v>
      </c>
      <c r="L25" vm="88">
        <f ca="1"/>
        <v>46023</v>
      </c>
      <c r="M25" t="str">
        <f ca="1"/>
        <v>Done</v>
      </c>
      <c r="N25" vm="89">
        <f ca="1"/>
        <v>46024</v>
      </c>
      <c r="O25" t="str">
        <f ca="1"/>
        <v>Done</v>
      </c>
      <c r="P25" vm="92">
        <f ca="1"/>
        <v>46027</v>
      </c>
      <c r="Q25" t="str">
        <f ca="1"/>
        <v>Done</v>
      </c>
      <c r="R25" vm="96">
        <f ca="1"/>
        <v>46030</v>
      </c>
      <c r="S25" t="str">
        <f ca="1"/>
        <v>Done</v>
      </c>
      <c r="T25" vm="98">
        <f ca="1"/>
        <v>46031</v>
      </c>
      <c r="U25" t="str">
        <f ca="1"/>
        <v>Done</v>
      </c>
      <c r="V25" t="str">
        <f ca="1"/>
        <v>Total</v>
      </c>
      <c r="W25" t="str">
        <f ca="1"/>
        <v>yes</v>
      </c>
      <c r="X25" t="str">
        <f ca="1"/>
        <v>No</v>
      </c>
      <c r="Y25" t="str">
        <f ca="1"/>
        <v>5</v>
      </c>
      <c r="Z25" t="str">
        <f ca="1"/>
        <v>18</v>
      </c>
      <c r="AA25" t="str">
        <f ca="1"/>
        <v>0342</v>
      </c>
      <c r="AB25" vm="11">
        <f ca="1"/>
        <v>0</v>
      </c>
      <c r="AC25" t="str">
        <f ca="1"/>
        <v/>
      </c>
      <c r="AD25" t="b">
        <f ca="1"/>
        <v>0</v>
      </c>
      <c r="AE25" t="str">
        <f ca="1"/>
        <v/>
      </c>
      <c r="AF25" t="b">
        <f ca="1"/>
        <v>0</v>
      </c>
      <c r="AG25" t="b">
        <f ca="1"/>
        <v>0</v>
      </c>
      <c r="AH25" t="b">
        <f ca="1"/>
        <v>1</v>
      </c>
      <c r="AI25" t="b">
        <f ca="1"/>
        <v>1</v>
      </c>
      <c r="AJ25" t="b">
        <f ca="1"/>
        <v>0</v>
      </c>
      <c r="AK25" t="b">
        <f ca="1"/>
        <v>0</v>
      </c>
      <c r="AL25" t="b">
        <f ca="1"/>
        <v>1</v>
      </c>
      <c r="AM25" t="b">
        <f ca="1"/>
        <v>0</v>
      </c>
      <c r="AN25">
        <f ca="1"/>
        <v>34</v>
      </c>
      <c r="AO25" t="str">
        <f ca="1"/>
        <v>All Tasks Complete</v>
      </c>
      <c r="AP25">
        <f ca="1"/>
        <v>100</v>
      </c>
      <c r="AQ25" t="str">
        <f ca="1"/>
        <v>Inspection</v>
      </c>
      <c r="AR25" t="str">
        <f ca="1"/>
        <v>Paint</v>
      </c>
      <c r="AS25" t="b">
        <f ca="1"/>
        <v>0</v>
      </c>
      <c r="AT25" t="str">
        <f ca="1"/>
        <v>vacant ready</v>
      </c>
      <c r="AU25" t="b">
        <f ca="1"/>
        <v>1</v>
      </c>
      <c r="AV25" t="b">
        <f ca="1"/>
        <v>0</v>
      </c>
      <c r="AW25" t="b">
        <f ca="1"/>
        <v>0</v>
      </c>
      <c r="AX25" t="str">
        <f ca="1"/>
        <v>Apartment Ready</v>
      </c>
      <c r="AY25" t="b">
        <f ca="1"/>
        <v>0</v>
      </c>
      <c r="AZ25" t="str">
        <f ca="1"/>
        <v>🟢 Apartment Ready</v>
      </c>
      <c r="BA25" t="e">
        <f ca="1"/>
        <v>#NUM!</v>
      </c>
      <c r="BB25" t="b">
        <f ca="1"/>
        <v>0</v>
      </c>
      <c r="BC25" t="b">
        <f ca="1"/>
        <v>0</v>
      </c>
      <c r="BD25" t="b">
        <f ca="1"/>
        <v>0</v>
      </c>
      <c r="BE25" t="b">
        <f ca="1"/>
        <v>0</v>
      </c>
    </row>
    <row r="26" spans="3:57" x14ac:dyDescent="0.4">
      <c r="C26" s="1">
        <f ca="1"/>
        <v>0</v>
      </c>
      <c r="D26" s="1" t="str">
        <f ca="1"/>
        <v>Unit 5-02-0301</v>
      </c>
      <c r="E26" s="1" t="str">
        <f ca="1"/>
        <v>Vacant ready</v>
      </c>
      <c r="F26" s="1" vm="88">
        <f ca="1"/>
        <v>46023</v>
      </c>
      <c r="G26" s="1" vm="99">
        <f ca="1"/>
        <v>46032</v>
      </c>
      <c r="H26">
        <f ca="1"/>
        <v>47</v>
      </c>
      <c r="I26" vm="100">
        <f ca="1"/>
        <v>46070</v>
      </c>
      <c r="J26">
        <f ca="1"/>
        <v>0</v>
      </c>
      <c r="K26" t="str">
        <f ca="1"/>
        <v>MOVE IN</v>
      </c>
      <c r="L26" vm="89">
        <f ca="1"/>
        <v>46024</v>
      </c>
      <c r="M26" t="str">
        <f ca="1"/>
        <v>Done</v>
      </c>
      <c r="N26" vm="92">
        <f ca="1"/>
        <v>46027</v>
      </c>
      <c r="O26" t="str">
        <f ca="1"/>
        <v>Done</v>
      </c>
      <c r="P26" vm="95">
        <f ca="1"/>
        <v>46028</v>
      </c>
      <c r="Q26" t="str">
        <f ca="1"/>
        <v>Done</v>
      </c>
      <c r="R26" vm="98">
        <f ca="1"/>
        <v>46031</v>
      </c>
      <c r="S26" t="str">
        <f ca="1"/>
        <v>Done</v>
      </c>
      <c r="T26" vm="75">
        <f ca="1"/>
        <v>46034</v>
      </c>
      <c r="U26" t="str">
        <f ca="1"/>
        <v>Done</v>
      </c>
      <c r="V26" t="str">
        <f ca="1"/>
        <v>Total</v>
      </c>
      <c r="W26" t="str">
        <f ca="1"/>
        <v>Yes</v>
      </c>
      <c r="X26" t="str">
        <f ca="1"/>
        <v>No</v>
      </c>
      <c r="Y26" t="str">
        <f ca="1"/>
        <v>5</v>
      </c>
      <c r="Z26" t="str">
        <f ca="1"/>
        <v>02</v>
      </c>
      <c r="AA26" t="str">
        <f ca="1"/>
        <v>0301</v>
      </c>
      <c r="AB26" vm="11">
        <f ca="1"/>
        <v>0</v>
      </c>
      <c r="AC26" t="str">
        <f ca="1"/>
        <v/>
      </c>
      <c r="AD26" t="b">
        <f ca="1"/>
        <v>0</v>
      </c>
      <c r="AE26" t="str">
        <f ca="1"/>
        <v/>
      </c>
      <c r="AF26" t="b">
        <f ca="1"/>
        <v>0</v>
      </c>
      <c r="AG26" t="b">
        <f ca="1"/>
        <v>1</v>
      </c>
      <c r="AH26" t="b">
        <f ca="1"/>
        <v>1</v>
      </c>
      <c r="AI26" t="b">
        <f ca="1"/>
        <v>0</v>
      </c>
      <c r="AJ26" t="b">
        <f ca="1"/>
        <v>1</v>
      </c>
      <c r="AK26" t="b">
        <f ca="1"/>
        <v>0</v>
      </c>
      <c r="AL26" t="b">
        <f ca="1"/>
        <v>1</v>
      </c>
      <c r="AM26" t="b">
        <f ca="1"/>
        <v>0</v>
      </c>
      <c r="AN26">
        <f ca="1"/>
        <v>33</v>
      </c>
      <c r="AO26" t="str">
        <f ca="1"/>
        <v>All Tasks Complete</v>
      </c>
      <c r="AP26">
        <f ca="1"/>
        <v>100</v>
      </c>
      <c r="AQ26" t="str">
        <f ca="1"/>
        <v>Inspection</v>
      </c>
      <c r="AR26" t="str">
        <f ca="1"/>
        <v>Paint</v>
      </c>
      <c r="AS26" t="b">
        <f ca="1"/>
        <v>0</v>
      </c>
      <c r="AT26" t="str">
        <f ca="1"/>
        <v>vacant ready</v>
      </c>
      <c r="AU26" t="b">
        <f ca="1"/>
        <v>1</v>
      </c>
      <c r="AV26" t="b">
        <f ca="1"/>
        <v>0</v>
      </c>
      <c r="AW26" t="b">
        <f ca="1"/>
        <v>0</v>
      </c>
      <c r="AX26" t="str">
        <f ca="1"/>
        <v>QC Hold</v>
      </c>
      <c r="AY26" t="b">
        <f ca="1"/>
        <v>0</v>
      </c>
      <c r="AZ26" t="str">
        <f ca="1"/>
        <v>📅 Scheduled to Move In</v>
      </c>
      <c r="BA26">
        <f ca="1"/>
        <v>0</v>
      </c>
      <c r="BB26" t="b">
        <f ca="1"/>
        <v>0</v>
      </c>
      <c r="BC26" t="b">
        <f ca="1"/>
        <v>0</v>
      </c>
      <c r="BD26" t="b">
        <f ca="1"/>
        <v>1</v>
      </c>
      <c r="BE26" t="b">
        <f ca="1"/>
        <v>0</v>
      </c>
    </row>
    <row r="27" spans="3:57" x14ac:dyDescent="0.4">
      <c r="C27" s="1">
        <f ca="1"/>
        <v>53</v>
      </c>
      <c r="D27" s="1" t="str">
        <f ca="1"/>
        <v>Unit 7-02-0302</v>
      </c>
      <c r="E27" s="1" t="str">
        <f ca="1"/>
        <v>Vacant ready</v>
      </c>
      <c r="F27" s="1" vm="89">
        <f ca="1"/>
        <v>46024</v>
      </c>
      <c r="G27" s="1" vm="90">
        <f ca="1"/>
        <v>46038</v>
      </c>
      <c r="H27">
        <f ca="1"/>
        <v>46</v>
      </c>
      <c r="I27" t="e">
        <f ca="1"/>
        <v>#NUM!</v>
      </c>
      <c r="J27" t="str">
        <f ca="1"/>
        <v/>
      </c>
      <c r="K27" t="str">
        <f ca="1"/>
        <v>VACANT</v>
      </c>
      <c r="L27" vm="92">
        <f ca="1"/>
        <v>46027</v>
      </c>
      <c r="M27" t="str">
        <f ca="1"/>
        <v>Done</v>
      </c>
      <c r="N27" vm="95">
        <f ca="1"/>
        <v>46028</v>
      </c>
      <c r="O27" t="str">
        <f ca="1"/>
        <v>Done</v>
      </c>
      <c r="P27" vm="82">
        <f ca="1"/>
        <v>46029</v>
      </c>
      <c r="Q27" t="str">
        <f ca="1"/>
        <v>Done</v>
      </c>
      <c r="R27" vm="75">
        <f ca="1"/>
        <v>46034</v>
      </c>
      <c r="S27" t="str">
        <f ca="1"/>
        <v>Done</v>
      </c>
      <c r="T27" vm="85">
        <f ca="1"/>
        <v>46035</v>
      </c>
      <c r="U27" t="str">
        <f ca="1"/>
        <v>Done</v>
      </c>
      <c r="V27" t="str">
        <f ca="1"/>
        <v>Miguel G</v>
      </c>
      <c r="W27" t="str">
        <f ca="1"/>
        <v>yes</v>
      </c>
      <c r="X27" t="str">
        <f ca="1"/>
        <v>No</v>
      </c>
      <c r="Y27" t="str">
        <f ca="1"/>
        <v>7</v>
      </c>
      <c r="Z27" t="str">
        <f ca="1"/>
        <v>02</v>
      </c>
      <c r="AA27" t="str">
        <f ca="1"/>
        <v>0302</v>
      </c>
      <c r="AB27" vm="11">
        <f ca="1"/>
        <v>0</v>
      </c>
      <c r="AC27" t="str">
        <f ca="1"/>
        <v/>
      </c>
      <c r="AD27" t="b">
        <f ca="1"/>
        <v>0</v>
      </c>
      <c r="AE27" t="str">
        <f ca="1"/>
        <v/>
      </c>
      <c r="AF27" t="b">
        <f ca="1"/>
        <v>1</v>
      </c>
      <c r="AG27" t="b">
        <f ca="1"/>
        <v>0</v>
      </c>
      <c r="AH27" t="b">
        <f ca="1"/>
        <v>1</v>
      </c>
      <c r="AI27" t="b">
        <f ca="1"/>
        <v>1</v>
      </c>
      <c r="AJ27" t="b">
        <f ca="1"/>
        <v>0</v>
      </c>
      <c r="AK27" t="b">
        <f ca="1"/>
        <v>0</v>
      </c>
      <c r="AL27" t="b">
        <f ca="1"/>
        <v>1</v>
      </c>
      <c r="AM27" t="b">
        <f ca="1"/>
        <v>0</v>
      </c>
      <c r="AN27">
        <f ca="1"/>
        <v>32</v>
      </c>
      <c r="AO27" t="str">
        <f ca="1"/>
        <v>All Tasks Complete</v>
      </c>
      <c r="AP27">
        <f ca="1"/>
        <v>100</v>
      </c>
      <c r="AQ27" t="str">
        <f ca="1"/>
        <v>Inspection</v>
      </c>
      <c r="AR27" t="str">
        <f ca="1"/>
        <v>Paint</v>
      </c>
      <c r="AS27" t="b">
        <f ca="1"/>
        <v>0</v>
      </c>
      <c r="AT27" t="str">
        <f ca="1"/>
        <v>vacant ready</v>
      </c>
      <c r="AU27" t="b">
        <f ca="1"/>
        <v>1</v>
      </c>
      <c r="AV27" t="b">
        <f ca="1"/>
        <v>0</v>
      </c>
      <c r="AW27" t="b">
        <f ca="1"/>
        <v>0</v>
      </c>
      <c r="AX27" t="str">
        <f ca="1"/>
        <v>Apartment Ready</v>
      </c>
      <c r="AY27" t="b">
        <f ca="1"/>
        <v>0</v>
      </c>
      <c r="AZ27" t="str">
        <f ca="1"/>
        <v>🟢 Apartment Ready</v>
      </c>
      <c r="BA27" t="e">
        <f ca="1"/>
        <v>#NUM!</v>
      </c>
      <c r="BB27" t="b">
        <f ca="1"/>
        <v>0</v>
      </c>
      <c r="BC27" t="b">
        <f ca="1"/>
        <v>0</v>
      </c>
      <c r="BD27" t="b">
        <f ca="1"/>
        <v>0</v>
      </c>
      <c r="BE27" t="b">
        <f ca="1"/>
        <v>0</v>
      </c>
    </row>
    <row r="28" spans="3:57" x14ac:dyDescent="0.4">
      <c r="C28" s="1">
        <f ca="1"/>
        <v>54</v>
      </c>
      <c r="D28" s="1" t="str">
        <f ca="1"/>
        <v>Unit 7-09-0111</v>
      </c>
      <c r="E28" s="1" t="str">
        <f ca="1"/>
        <v>Vacant ready</v>
      </c>
      <c r="F28" s="1" vm="101">
        <f ca="1"/>
        <v>46026</v>
      </c>
      <c r="G28" s="1" vm="102">
        <f ca="1"/>
        <v>46039</v>
      </c>
      <c r="H28">
        <f ca="1"/>
        <v>44</v>
      </c>
      <c r="I28" t="e">
        <f ca="1"/>
        <v>#NUM!</v>
      </c>
      <c r="J28" t="str">
        <f ca="1"/>
        <v/>
      </c>
      <c r="K28" t="str">
        <f ca="1"/>
        <v>VACANT</v>
      </c>
      <c r="L28" vm="92">
        <f ca="1"/>
        <v>46027</v>
      </c>
      <c r="M28" t="str">
        <f ca="1"/>
        <v>Done</v>
      </c>
      <c r="N28" vm="95">
        <f ca="1"/>
        <v>46028</v>
      </c>
      <c r="O28" t="str">
        <f ca="1"/>
        <v>Done</v>
      </c>
      <c r="P28" vm="82">
        <f ca="1"/>
        <v>46029</v>
      </c>
      <c r="Q28" t="str">
        <f ca="1"/>
        <v>Done</v>
      </c>
      <c r="R28" vm="75">
        <f ca="1"/>
        <v>46034</v>
      </c>
      <c r="S28" t="str">
        <f ca="1"/>
        <v>Done</v>
      </c>
      <c r="T28" vm="85">
        <f ca="1"/>
        <v>46035</v>
      </c>
      <c r="U28" t="str">
        <f ca="1"/>
        <v>Done</v>
      </c>
      <c r="V28" t="str">
        <f ca="1"/>
        <v>Brad</v>
      </c>
      <c r="W28" t="str">
        <f ca="1"/>
        <v>yes</v>
      </c>
      <c r="X28" t="str">
        <f ca="1"/>
        <v>No</v>
      </c>
      <c r="Y28" t="str">
        <f ca="1"/>
        <v>7</v>
      </c>
      <c r="Z28" t="str">
        <f ca="1"/>
        <v>09</v>
      </c>
      <c r="AA28" t="str">
        <f ca="1"/>
        <v>0111</v>
      </c>
      <c r="AB28" vm="11">
        <f ca="1"/>
        <v>0</v>
      </c>
      <c r="AC28" t="str">
        <f ca="1"/>
        <v/>
      </c>
      <c r="AD28" t="b">
        <f ca="1"/>
        <v>0</v>
      </c>
      <c r="AE28" t="str">
        <f ca="1"/>
        <v/>
      </c>
      <c r="AF28" t="b">
        <f ca="1"/>
        <v>1</v>
      </c>
      <c r="AG28" t="b">
        <f ca="1"/>
        <v>0</v>
      </c>
      <c r="AH28" t="b">
        <f ca="1"/>
        <v>1</v>
      </c>
      <c r="AI28" t="b">
        <f ca="1"/>
        <v>1</v>
      </c>
      <c r="AJ28" t="b">
        <f ca="1"/>
        <v>0</v>
      </c>
      <c r="AK28" t="b">
        <f ca="1"/>
        <v>0</v>
      </c>
      <c r="AL28" t="b">
        <f ca="1"/>
        <v>1</v>
      </c>
      <c r="AM28" t="b">
        <f ca="1"/>
        <v>0</v>
      </c>
      <c r="AN28">
        <f ca="1"/>
        <v>31</v>
      </c>
      <c r="AO28" t="str">
        <f ca="1"/>
        <v>All Tasks Complete</v>
      </c>
      <c r="AP28">
        <f ca="1"/>
        <v>100</v>
      </c>
      <c r="AQ28" t="str">
        <f ca="1"/>
        <v>Inspection</v>
      </c>
      <c r="AR28" t="str">
        <f ca="1"/>
        <v>Paint</v>
      </c>
      <c r="AS28" t="b">
        <f ca="1"/>
        <v>0</v>
      </c>
      <c r="AT28" t="str">
        <f ca="1"/>
        <v>vacant ready</v>
      </c>
      <c r="AU28" t="b">
        <f ca="1"/>
        <v>1</v>
      </c>
      <c r="AV28" t="b">
        <f ca="1"/>
        <v>0</v>
      </c>
      <c r="AW28" t="b">
        <f ca="1"/>
        <v>0</v>
      </c>
      <c r="AX28" t="str">
        <f ca="1"/>
        <v>Apartment Ready</v>
      </c>
      <c r="AY28" t="b">
        <f ca="1"/>
        <v>0</v>
      </c>
      <c r="AZ28" t="str">
        <f ca="1"/>
        <v>🟢 Apartment Ready</v>
      </c>
      <c r="BA28" t="e">
        <f ca="1"/>
        <v>#NUM!</v>
      </c>
      <c r="BB28" t="b">
        <f ca="1"/>
        <v>0</v>
      </c>
      <c r="BC28" t="b">
        <f ca="1"/>
        <v>0</v>
      </c>
      <c r="BD28" t="b">
        <f ca="1"/>
        <v>0</v>
      </c>
      <c r="BE28" t="b">
        <f ca="1"/>
        <v>0</v>
      </c>
    </row>
    <row r="29" spans="3:57" x14ac:dyDescent="0.4">
      <c r="C29" s="1">
        <f ca="1"/>
        <v>55</v>
      </c>
      <c r="D29" s="1" t="str">
        <f ca="1"/>
        <v>Unit 7-07-0104</v>
      </c>
      <c r="E29" s="1" t="str">
        <f ca="1"/>
        <v>Vacant ready</v>
      </c>
      <c r="F29" s="1" vm="92">
        <f ca="1"/>
        <v>46027</v>
      </c>
      <c r="G29" s="1" vm="103">
        <f ca="1"/>
        <v>46045</v>
      </c>
      <c r="H29">
        <f ca="1"/>
        <v>43</v>
      </c>
      <c r="I29" t="e">
        <f ca="1"/>
        <v>#NUM!</v>
      </c>
      <c r="J29" t="str">
        <f ca="1"/>
        <v/>
      </c>
      <c r="K29" t="str">
        <f ca="1"/>
        <v>VACANT</v>
      </c>
      <c r="L29" vm="95">
        <f ca="1"/>
        <v>46028</v>
      </c>
      <c r="M29" t="str">
        <f ca="1"/>
        <v>Done</v>
      </c>
      <c r="N29" vm="82">
        <f ca="1"/>
        <v>46029</v>
      </c>
      <c r="O29" t="str">
        <f ca="1"/>
        <v>Done</v>
      </c>
      <c r="P29" vm="96">
        <f ca="1"/>
        <v>46030</v>
      </c>
      <c r="Q29" t="str">
        <f ca="1"/>
        <v>Done</v>
      </c>
      <c r="R29" vm="85">
        <f ca="1"/>
        <v>46035</v>
      </c>
      <c r="S29" t="str">
        <f ca="1"/>
        <v>Done</v>
      </c>
      <c r="T29" vm="97">
        <f ca="1"/>
        <v>46036</v>
      </c>
      <c r="U29" t="str">
        <f ca="1"/>
        <v>Done</v>
      </c>
      <c r="V29" t="str">
        <f ca="1"/>
        <v>Brad</v>
      </c>
      <c r="W29" t="str">
        <f ca="1"/>
        <v>yes</v>
      </c>
      <c r="X29" t="str">
        <f ca="1"/>
        <v>No</v>
      </c>
      <c r="Y29" t="str">
        <f ca="1"/>
        <v>7</v>
      </c>
      <c r="Z29" t="str">
        <f ca="1"/>
        <v>07</v>
      </c>
      <c r="AA29" t="str">
        <f ca="1"/>
        <v>0104</v>
      </c>
      <c r="AB29" vm="11">
        <f ca="1"/>
        <v>0</v>
      </c>
      <c r="AC29" t="str">
        <f ca="1"/>
        <v/>
      </c>
      <c r="AD29" t="b">
        <f ca="1"/>
        <v>0</v>
      </c>
      <c r="AE29" t="str">
        <f ca="1"/>
        <v/>
      </c>
      <c r="AF29" t="b">
        <f ca="1"/>
        <v>1</v>
      </c>
      <c r="AG29" t="b">
        <f ca="1"/>
        <v>0</v>
      </c>
      <c r="AH29" t="b">
        <f ca="1"/>
        <v>1</v>
      </c>
      <c r="AI29" t="b">
        <f ca="1"/>
        <v>1</v>
      </c>
      <c r="AJ29" t="b">
        <f ca="1"/>
        <v>0</v>
      </c>
      <c r="AK29" t="b">
        <f ca="1"/>
        <v>0</v>
      </c>
      <c r="AL29" t="b">
        <f ca="1"/>
        <v>1</v>
      </c>
      <c r="AM29" t="b">
        <f ca="1"/>
        <v>0</v>
      </c>
      <c r="AN29">
        <f ca="1"/>
        <v>31</v>
      </c>
      <c r="AO29" t="str">
        <f ca="1"/>
        <v>All Tasks Complete</v>
      </c>
      <c r="AP29">
        <f ca="1"/>
        <v>100</v>
      </c>
      <c r="AQ29" t="str">
        <f ca="1"/>
        <v>Inspection</v>
      </c>
      <c r="AR29" t="str">
        <f ca="1"/>
        <v>Paint</v>
      </c>
      <c r="AS29" t="b">
        <f ca="1"/>
        <v>0</v>
      </c>
      <c r="AT29" t="str">
        <f ca="1"/>
        <v>vacant ready</v>
      </c>
      <c r="AU29" t="b">
        <f ca="1"/>
        <v>1</v>
      </c>
      <c r="AV29" t="b">
        <f ca="1"/>
        <v>0</v>
      </c>
      <c r="AW29" t="b">
        <f ca="1"/>
        <v>0</v>
      </c>
      <c r="AX29" t="str">
        <f ca="1"/>
        <v>Apartment Ready</v>
      </c>
      <c r="AY29" t="b">
        <f ca="1"/>
        <v>0</v>
      </c>
      <c r="AZ29" t="str">
        <f ca="1"/>
        <v>🟢 Apartment Ready</v>
      </c>
      <c r="BA29" t="e">
        <f ca="1"/>
        <v>#NUM!</v>
      </c>
      <c r="BB29" t="b">
        <f ca="1"/>
        <v>0</v>
      </c>
      <c r="BC29" t="b">
        <f ca="1"/>
        <v>0</v>
      </c>
      <c r="BD29" t="b">
        <f ca="1"/>
        <v>0</v>
      </c>
      <c r="BE29" t="b">
        <f ca="1"/>
        <v>0</v>
      </c>
    </row>
    <row r="30" spans="3:57" x14ac:dyDescent="0.4">
      <c r="C30" s="1">
        <f ca="1"/>
        <v>56</v>
      </c>
      <c r="D30" s="1" t="str">
        <f ca="1"/>
        <v>Unit 7-06-0106</v>
      </c>
      <c r="E30" s="1" t="str">
        <f ca="1"/>
        <v>Vacant ready</v>
      </c>
      <c r="F30" s="1" vm="92">
        <f ca="1"/>
        <v>46027</v>
      </c>
      <c r="G30" s="1" vm="104">
        <f ca="1"/>
        <v>46041</v>
      </c>
      <c r="H30">
        <f ca="1"/>
        <v>43</v>
      </c>
      <c r="I30" t="e">
        <f ca="1"/>
        <v>#NUM!</v>
      </c>
      <c r="J30" t="str">
        <f ca="1"/>
        <v/>
      </c>
      <c r="K30" t="str">
        <f ca="1"/>
        <v>VACANT</v>
      </c>
      <c r="L30" vm="95">
        <f ca="1"/>
        <v>46028</v>
      </c>
      <c r="M30" t="str">
        <f ca="1"/>
        <v>Done</v>
      </c>
      <c r="N30" vm="82">
        <f ca="1"/>
        <v>46029</v>
      </c>
      <c r="O30" t="str">
        <f ca="1"/>
        <v>Done</v>
      </c>
      <c r="P30" vm="96">
        <f ca="1"/>
        <v>46030</v>
      </c>
      <c r="Q30" t="str">
        <f ca="1"/>
        <v>Done</v>
      </c>
      <c r="R30" vm="85">
        <f ca="1"/>
        <v>46035</v>
      </c>
      <c r="S30" t="str">
        <f ca="1"/>
        <v>Done</v>
      </c>
      <c r="T30" vm="97">
        <f ca="1"/>
        <v>46036</v>
      </c>
      <c r="U30" t="str">
        <f ca="1"/>
        <v>Done</v>
      </c>
      <c r="V30" t="str">
        <f ca="1"/>
        <v>Brad</v>
      </c>
      <c r="W30" t="str">
        <f ca="1"/>
        <v>Yes</v>
      </c>
      <c r="X30" t="str">
        <f ca="1"/>
        <v>No</v>
      </c>
      <c r="Y30" t="str">
        <f ca="1"/>
        <v>7</v>
      </c>
      <c r="Z30" t="str">
        <f ca="1"/>
        <v>06</v>
      </c>
      <c r="AA30" t="str">
        <f ca="1"/>
        <v>0106</v>
      </c>
      <c r="AB30" vm="11">
        <f ca="1"/>
        <v>0</v>
      </c>
      <c r="AC30" t="str">
        <f ca="1"/>
        <v/>
      </c>
      <c r="AD30" t="b">
        <f ca="1"/>
        <v>0</v>
      </c>
      <c r="AE30" t="str">
        <f ca="1"/>
        <v/>
      </c>
      <c r="AF30" t="b">
        <f ca="1"/>
        <v>1</v>
      </c>
      <c r="AG30" t="b">
        <f ca="1"/>
        <v>0</v>
      </c>
      <c r="AH30" t="b">
        <f ca="1"/>
        <v>1</v>
      </c>
      <c r="AI30" t="b">
        <f ca="1"/>
        <v>1</v>
      </c>
      <c r="AJ30" t="b">
        <f ca="1"/>
        <v>0</v>
      </c>
      <c r="AK30" t="b">
        <f ca="1"/>
        <v>0</v>
      </c>
      <c r="AL30" t="b">
        <f ca="1"/>
        <v>1</v>
      </c>
      <c r="AM30" t="b">
        <f ca="1"/>
        <v>0</v>
      </c>
      <c r="AN30">
        <f ca="1"/>
        <v>31</v>
      </c>
      <c r="AO30" t="str">
        <f ca="1"/>
        <v>All Tasks Complete</v>
      </c>
      <c r="AP30">
        <f ca="1"/>
        <v>100</v>
      </c>
      <c r="AQ30" t="str">
        <f ca="1"/>
        <v>Inspection</v>
      </c>
      <c r="AR30" t="str">
        <f ca="1"/>
        <v>Paint</v>
      </c>
      <c r="AS30" t="b">
        <f ca="1"/>
        <v>0</v>
      </c>
      <c r="AT30" t="str">
        <f ca="1"/>
        <v>vacant ready</v>
      </c>
      <c r="AU30" t="b">
        <f ca="1"/>
        <v>1</v>
      </c>
      <c r="AV30" t="b">
        <f ca="1"/>
        <v>0</v>
      </c>
      <c r="AW30" t="b">
        <f ca="1"/>
        <v>0</v>
      </c>
      <c r="AX30" t="str">
        <f ca="1"/>
        <v>Apartment Ready</v>
      </c>
      <c r="AY30" t="b">
        <f ca="1"/>
        <v>0</v>
      </c>
      <c r="AZ30" t="str">
        <f ca="1"/>
        <v>🟢 Apartment Ready</v>
      </c>
      <c r="BA30" t="e">
        <f ca="1"/>
        <v>#NUM!</v>
      </c>
      <c r="BB30" t="b">
        <f ca="1"/>
        <v>0</v>
      </c>
      <c r="BC30" t="b">
        <f ca="1"/>
        <v>0</v>
      </c>
      <c r="BD30" t="b">
        <f ca="1"/>
        <v>0</v>
      </c>
      <c r="BE30" t="b">
        <f ca="1"/>
        <v>0</v>
      </c>
    </row>
    <row r="31" spans="3:57" x14ac:dyDescent="0.4">
      <c r="C31" s="1">
        <f ca="1"/>
        <v>57</v>
      </c>
      <c r="D31" s="1" t="str">
        <f ca="1"/>
        <v>Unit 7-11-0318</v>
      </c>
      <c r="E31" s="1" t="str">
        <f ca="1"/>
        <v>Vacant ready</v>
      </c>
      <c r="F31" s="1" vm="82">
        <f ca="1"/>
        <v>46029</v>
      </c>
      <c r="G31" s="1" vm="105">
        <f ca="1"/>
        <v>46048</v>
      </c>
      <c r="H31">
        <f ca="1"/>
        <v>41</v>
      </c>
      <c r="I31" t="e">
        <f ca="1"/>
        <v>#NUM!</v>
      </c>
      <c r="J31" t="str">
        <f ca="1"/>
        <v/>
      </c>
      <c r="K31" t="str">
        <f ca="1"/>
        <v>VACANT</v>
      </c>
      <c r="L31" vm="96">
        <f ca="1"/>
        <v>46030</v>
      </c>
      <c r="M31" t="str">
        <f ca="1"/>
        <v>Done</v>
      </c>
      <c r="N31" vm="98">
        <f ca="1"/>
        <v>46031</v>
      </c>
      <c r="O31" t="str">
        <f ca="1"/>
        <v>Done</v>
      </c>
      <c r="P31" vm="75">
        <f ca="1"/>
        <v>46034</v>
      </c>
      <c r="Q31" t="str">
        <f ca="1"/>
        <v>Done</v>
      </c>
      <c r="R31" vm="106">
        <f ca="1"/>
        <v>46037</v>
      </c>
      <c r="S31" t="str">
        <f ca="1"/>
        <v>Done</v>
      </c>
      <c r="T31" vm="90">
        <f ca="1"/>
        <v>46038</v>
      </c>
      <c r="U31" t="str">
        <f ca="1"/>
        <v>Done</v>
      </c>
      <c r="V31" t="str">
        <f ca="1"/>
        <v>Brad</v>
      </c>
      <c r="W31" t="str">
        <f ca="1"/>
        <v xml:space="preserve">Yes stack </v>
      </c>
      <c r="X31" t="str">
        <f ca="1"/>
        <v>No</v>
      </c>
      <c r="Y31" t="str">
        <f ca="1"/>
        <v>7</v>
      </c>
      <c r="Z31" t="str">
        <f ca="1"/>
        <v>11</v>
      </c>
      <c r="AA31" t="str">
        <f ca="1"/>
        <v>0318</v>
      </c>
      <c r="AB31" vm="11">
        <f ca="1"/>
        <v>0</v>
      </c>
      <c r="AC31" t="str">
        <f ca="1"/>
        <v/>
      </c>
      <c r="AD31" t="b">
        <f ca="1"/>
        <v>0</v>
      </c>
      <c r="AE31" t="str">
        <f ca="1"/>
        <v/>
      </c>
      <c r="AF31" t="b">
        <f ca="1"/>
        <v>1</v>
      </c>
      <c r="AG31" t="b">
        <f ca="1"/>
        <v>0</v>
      </c>
      <c r="AH31" t="b">
        <f ca="1"/>
        <v>1</v>
      </c>
      <c r="AI31" t="b">
        <f ca="1"/>
        <v>1</v>
      </c>
      <c r="AJ31" t="b">
        <f ca="1"/>
        <v>0</v>
      </c>
      <c r="AK31" t="b">
        <f ca="1"/>
        <v>0</v>
      </c>
      <c r="AL31" t="b">
        <f ca="1"/>
        <v>1</v>
      </c>
      <c r="AM31" t="b">
        <f ca="1"/>
        <v>0</v>
      </c>
      <c r="AN31">
        <f ca="1"/>
        <v>29</v>
      </c>
      <c r="AO31" t="str">
        <f ca="1"/>
        <v>All Tasks Complete</v>
      </c>
      <c r="AP31">
        <f ca="1"/>
        <v>100</v>
      </c>
      <c r="AQ31" t="str">
        <f ca="1"/>
        <v>Inspection</v>
      </c>
      <c r="AR31" t="str">
        <f ca="1"/>
        <v>Paint</v>
      </c>
      <c r="AS31" t="b">
        <f ca="1"/>
        <v>0</v>
      </c>
      <c r="AT31" t="str">
        <f ca="1"/>
        <v>vacant ready</v>
      </c>
      <c r="AU31" t="b">
        <f ca="1"/>
        <v>1</v>
      </c>
      <c r="AV31" t="b">
        <f ca="1"/>
        <v>0</v>
      </c>
      <c r="AW31" t="b">
        <f ca="1"/>
        <v>0</v>
      </c>
      <c r="AX31" t="str">
        <f ca="1"/>
        <v>Apartment Ready</v>
      </c>
      <c r="AY31" t="b">
        <f ca="1"/>
        <v>0</v>
      </c>
      <c r="AZ31" t="str">
        <f ca="1"/>
        <v>🟢 Apartment Ready</v>
      </c>
      <c r="BA31" t="e">
        <f ca="1"/>
        <v>#NUM!</v>
      </c>
      <c r="BB31" t="b">
        <f ca="1"/>
        <v>0</v>
      </c>
      <c r="BC31" t="b">
        <f ca="1"/>
        <v>0</v>
      </c>
      <c r="BD31" t="b">
        <f ca="1"/>
        <v>0</v>
      </c>
      <c r="BE31" t="b">
        <f ca="1"/>
        <v>0</v>
      </c>
    </row>
    <row r="32" spans="3:57" x14ac:dyDescent="0.4">
      <c r="C32" s="34">
        <f ca="1"/>
        <v>58</v>
      </c>
      <c r="D32" s="1" t="str">
        <f ca="1"/>
        <v>Unit 8-01-3096</v>
      </c>
      <c r="E32" s="1" t="str">
        <f ca="1"/>
        <v>Vacant ready</v>
      </c>
      <c r="F32" s="1" vm="96">
        <f ca="1"/>
        <v>46030</v>
      </c>
      <c r="G32" s="1" vm="107">
        <f ca="1"/>
        <v>46044</v>
      </c>
      <c r="H32">
        <f ca="1"/>
        <v>40</v>
      </c>
      <c r="I32" t="e">
        <f ca="1"/>
        <v>#NUM!</v>
      </c>
      <c r="J32" t="str">
        <f ca="1"/>
        <v/>
      </c>
      <c r="K32" t="str">
        <f ca="1"/>
        <v>VACANT</v>
      </c>
      <c r="L32" vm="98">
        <f ca="1"/>
        <v>46031</v>
      </c>
      <c r="M32" t="str">
        <f ca="1"/>
        <v>Done</v>
      </c>
      <c r="N32" vm="75">
        <f ca="1"/>
        <v>46034</v>
      </c>
      <c r="O32" t="str">
        <f ca="1"/>
        <v>Done</v>
      </c>
      <c r="P32" vm="85">
        <f ca="1"/>
        <v>46035</v>
      </c>
      <c r="Q32" t="str">
        <f ca="1"/>
        <v>Done</v>
      </c>
      <c r="R32" vm="90">
        <f ca="1"/>
        <v>46038</v>
      </c>
      <c r="S32" t="str">
        <f ca="1"/>
        <v>Done</v>
      </c>
      <c r="T32" vm="104">
        <f ca="1"/>
        <v>46041</v>
      </c>
      <c r="U32" t="str">
        <f ca="1"/>
        <v>Done</v>
      </c>
      <c r="V32" t="str">
        <f ca="1"/>
        <v xml:space="preserve">Michael </v>
      </c>
      <c r="W32" t="str">
        <f ca="1"/>
        <v xml:space="preserve">Yes stack </v>
      </c>
      <c r="X32" t="str">
        <f ca="1"/>
        <v>No</v>
      </c>
      <c r="Y32" t="str">
        <f ca="1"/>
        <v>8</v>
      </c>
      <c r="Z32" t="str">
        <f ca="1"/>
        <v>01</v>
      </c>
      <c r="AA32" t="str">
        <f ca="1"/>
        <v>3096</v>
      </c>
      <c r="AB32" vm="11">
        <f ca="1"/>
        <v>0</v>
      </c>
      <c r="AC32" t="str">
        <f ca="1"/>
        <v/>
      </c>
      <c r="AD32" t="b">
        <f ca="1"/>
        <v>0</v>
      </c>
      <c r="AE32" t="str">
        <f ca="1"/>
        <v/>
      </c>
      <c r="AF32" t="b">
        <f ca="1"/>
        <v>1</v>
      </c>
      <c r="AG32" t="b">
        <f ca="1"/>
        <v>0</v>
      </c>
      <c r="AH32" t="b">
        <f ca="1"/>
        <v>1</v>
      </c>
      <c r="AI32" t="b">
        <f ca="1"/>
        <v>1</v>
      </c>
      <c r="AJ32" t="b">
        <f ca="1"/>
        <v>0</v>
      </c>
      <c r="AK32" t="b">
        <f ca="1"/>
        <v>0</v>
      </c>
      <c r="AL32" t="b">
        <f ca="1"/>
        <v>1</v>
      </c>
      <c r="AM32" t="b">
        <f ca="1"/>
        <v>0</v>
      </c>
      <c r="AN32">
        <f ca="1"/>
        <v>28</v>
      </c>
      <c r="AO32" t="str">
        <f ca="1"/>
        <v>All Tasks Complete</v>
      </c>
      <c r="AP32">
        <f ca="1"/>
        <v>100</v>
      </c>
      <c r="AQ32" t="str">
        <f ca="1"/>
        <v>Inspection</v>
      </c>
      <c r="AR32" t="str">
        <f ca="1"/>
        <v>Paint</v>
      </c>
      <c r="AS32" t="b">
        <f ca="1"/>
        <v>0</v>
      </c>
      <c r="AT32" t="str">
        <f ca="1"/>
        <v>vacant ready</v>
      </c>
      <c r="AU32" t="b">
        <f ca="1"/>
        <v>1</v>
      </c>
      <c r="AV32" t="b">
        <f ca="1"/>
        <v>0</v>
      </c>
      <c r="AW32" t="b">
        <f ca="1"/>
        <v>0</v>
      </c>
      <c r="AX32" t="str">
        <f ca="1"/>
        <v>Apartment Ready</v>
      </c>
      <c r="AY32" t="b">
        <f ca="1"/>
        <v>0</v>
      </c>
      <c r="AZ32" t="str">
        <f ca="1"/>
        <v>🟢 Apartment Ready</v>
      </c>
      <c r="BA32" t="e">
        <f ca="1"/>
        <v>#NUM!</v>
      </c>
      <c r="BB32" t="b">
        <f ca="1"/>
        <v>0</v>
      </c>
      <c r="BC32" t="b">
        <f ca="1"/>
        <v>0</v>
      </c>
      <c r="BD32" t="b">
        <f ca="1"/>
        <v>0</v>
      </c>
      <c r="BE32" t="b">
        <f ca="1"/>
        <v>0</v>
      </c>
    </row>
    <row r="33" spans="3:57" x14ac:dyDescent="0.4">
      <c r="C33" s="34">
        <f ca="1"/>
        <v>59</v>
      </c>
      <c r="D33" s="1" t="str">
        <f ca="1"/>
        <v>Unit 5-18-0218</v>
      </c>
      <c r="E33" s="1" t="str">
        <f ca="1"/>
        <v>Vacant ready</v>
      </c>
      <c r="F33" s="1" vm="106">
        <f ca="1"/>
        <v>46037</v>
      </c>
      <c r="G33" s="1" vm="108">
        <f ca="1"/>
        <v>46059</v>
      </c>
      <c r="H33">
        <f ca="1"/>
        <v>33</v>
      </c>
      <c r="I33" t="e">
        <f ca="1"/>
        <v>#NUM!</v>
      </c>
      <c r="J33" t="str">
        <f ca="1"/>
        <v/>
      </c>
      <c r="K33" t="str">
        <f ca="1"/>
        <v>VACANT</v>
      </c>
      <c r="L33" vm="90">
        <f ca="1"/>
        <v>46038</v>
      </c>
      <c r="M33" t="str">
        <f ca="1"/>
        <v>Done</v>
      </c>
      <c r="N33" vm="104">
        <f ca="1"/>
        <v>46041</v>
      </c>
      <c r="O33" t="str">
        <f ca="1"/>
        <v>Done</v>
      </c>
      <c r="P33" vm="109">
        <f ca="1"/>
        <v>46042</v>
      </c>
      <c r="Q33" t="str">
        <f ca="1"/>
        <v>Done</v>
      </c>
      <c r="R33" vm="103">
        <f ca="1"/>
        <v>46045</v>
      </c>
      <c r="S33" t="str">
        <f ca="1"/>
        <v>Done</v>
      </c>
      <c r="T33" vm="105">
        <f ca="1"/>
        <v>46048</v>
      </c>
      <c r="U33" t="str">
        <f ca="1"/>
        <v>Done</v>
      </c>
      <c r="V33" t="str">
        <f ca="1"/>
        <v>Total</v>
      </c>
      <c r="W33" t="str">
        <f ca="1"/>
        <v xml:space="preserve">Yes stack </v>
      </c>
      <c r="X33" t="str">
        <f ca="1"/>
        <v>No</v>
      </c>
      <c r="Y33" t="str">
        <f ca="1"/>
        <v>5</v>
      </c>
      <c r="Z33" t="str">
        <f ca="1"/>
        <v>18</v>
      </c>
      <c r="AA33" t="str">
        <f ca="1"/>
        <v>0218</v>
      </c>
      <c r="AB33" vm="11">
        <f ca="1"/>
        <v>0</v>
      </c>
      <c r="AC33" t="str">
        <f ca="1"/>
        <v/>
      </c>
      <c r="AD33" t="b">
        <f ca="1"/>
        <v>0</v>
      </c>
      <c r="AE33" t="str">
        <f ca="1"/>
        <v/>
      </c>
      <c r="AF33" t="b">
        <f ca="1"/>
        <v>0</v>
      </c>
      <c r="AG33" t="b">
        <f ca="1"/>
        <v>0</v>
      </c>
      <c r="AH33" t="b">
        <f ca="1"/>
        <v>1</v>
      </c>
      <c r="AI33" t="b">
        <f ca="1"/>
        <v>1</v>
      </c>
      <c r="AJ33" t="b">
        <f ca="1"/>
        <v>0</v>
      </c>
      <c r="AK33" t="b">
        <f ca="1"/>
        <v>0</v>
      </c>
      <c r="AL33" t="b">
        <f ca="1"/>
        <v>1</v>
      </c>
      <c r="AM33" t="b">
        <f ca="1"/>
        <v>0</v>
      </c>
      <c r="AN33">
        <f ca="1"/>
        <v>23</v>
      </c>
      <c r="AO33" t="str">
        <f ca="1"/>
        <v>All Tasks Complete</v>
      </c>
      <c r="AP33">
        <f ca="1"/>
        <v>100</v>
      </c>
      <c r="AQ33" t="str">
        <f ca="1"/>
        <v>Inspection</v>
      </c>
      <c r="AR33" t="str">
        <f ca="1"/>
        <v>Paint</v>
      </c>
      <c r="AS33" t="b">
        <f ca="1"/>
        <v>0</v>
      </c>
      <c r="AT33" t="str">
        <f ca="1"/>
        <v>vacant ready</v>
      </c>
      <c r="AU33" t="b">
        <f ca="1"/>
        <v>1</v>
      </c>
      <c r="AV33" t="b">
        <f ca="1"/>
        <v>0</v>
      </c>
      <c r="AW33" t="b">
        <f ca="1"/>
        <v>0</v>
      </c>
      <c r="AX33" t="str">
        <f ca="1"/>
        <v>Apartment Ready</v>
      </c>
      <c r="AY33" t="b">
        <f ca="1"/>
        <v>0</v>
      </c>
      <c r="AZ33" t="str">
        <f ca="1"/>
        <v>🟢 Apartment Ready</v>
      </c>
      <c r="BA33" t="e">
        <f ca="1"/>
        <v>#NUM!</v>
      </c>
      <c r="BB33" t="b">
        <f ca="1"/>
        <v>0</v>
      </c>
      <c r="BC33" t="b">
        <f ca="1"/>
        <v>0</v>
      </c>
      <c r="BD33" t="b">
        <f ca="1"/>
        <v>0</v>
      </c>
      <c r="BE33" t="b">
        <f ca="1"/>
        <v>0</v>
      </c>
    </row>
    <row r="34" spans="3:57" x14ac:dyDescent="0.4">
      <c r="C34" s="34">
        <f ca="1"/>
        <v>60</v>
      </c>
      <c r="D34" s="1" t="str">
        <f ca="1"/>
        <v>Unit 7-10-0302</v>
      </c>
      <c r="E34" s="1" t="str">
        <f ca="1"/>
        <v>Vacant ready</v>
      </c>
      <c r="F34" s="1" vm="90">
        <f ca="1"/>
        <v>46038</v>
      </c>
      <c r="G34" s="1" vm="108">
        <f ca="1"/>
        <v>46059</v>
      </c>
      <c r="H34">
        <f ca="1"/>
        <v>32</v>
      </c>
      <c r="I34" t="e">
        <f ca="1"/>
        <v>#NUM!</v>
      </c>
      <c r="J34" t="str">
        <f ca="1"/>
        <v/>
      </c>
      <c r="K34" t="str">
        <f ca="1"/>
        <v>VACANT</v>
      </c>
      <c r="L34" vm="104">
        <f ca="1"/>
        <v>46041</v>
      </c>
      <c r="M34" t="str">
        <f ca="1"/>
        <v>Done</v>
      </c>
      <c r="N34" vm="109">
        <f ca="1"/>
        <v>46042</v>
      </c>
      <c r="O34" t="str">
        <f ca="1"/>
        <v>Done</v>
      </c>
      <c r="P34" vm="110">
        <f ca="1"/>
        <v>46043</v>
      </c>
      <c r="Q34" t="str">
        <f ca="1"/>
        <v>Done</v>
      </c>
      <c r="R34" vm="105">
        <f ca="1"/>
        <v>46048</v>
      </c>
      <c r="S34" t="str">
        <f ca="1"/>
        <v>Done</v>
      </c>
      <c r="T34" vm="111">
        <f ca="1"/>
        <v>46049</v>
      </c>
      <c r="U34" t="str">
        <f ca="1"/>
        <v>Done</v>
      </c>
      <c r="V34" t="str">
        <f ca="1"/>
        <v>Miguel G</v>
      </c>
      <c r="W34" t="str">
        <f ca="1"/>
        <v>Yes</v>
      </c>
      <c r="X34" t="str">
        <f ca="1"/>
        <v>No</v>
      </c>
      <c r="Y34" t="str">
        <f ca="1"/>
        <v>7</v>
      </c>
      <c r="Z34" t="str">
        <f ca="1"/>
        <v>10</v>
      </c>
      <c r="AA34" t="str">
        <f ca="1"/>
        <v>0302</v>
      </c>
      <c r="AB34" vm="11">
        <f ca="1"/>
        <v>0</v>
      </c>
      <c r="AC34" t="str">
        <f ca="1"/>
        <v/>
      </c>
      <c r="AD34" t="b">
        <f ca="1"/>
        <v>0</v>
      </c>
      <c r="AE34" t="str">
        <f ca="1"/>
        <v/>
      </c>
      <c r="AF34" t="b">
        <f ca="1"/>
        <v>1</v>
      </c>
      <c r="AG34" t="b">
        <f ca="1"/>
        <v>0</v>
      </c>
      <c r="AH34" t="b">
        <f ca="1"/>
        <v>1</v>
      </c>
      <c r="AI34" t="b">
        <f ca="1"/>
        <v>1</v>
      </c>
      <c r="AJ34" t="b">
        <f ca="1"/>
        <v>0</v>
      </c>
      <c r="AK34" t="b">
        <f ca="1"/>
        <v>0</v>
      </c>
      <c r="AL34" t="b">
        <f ca="1"/>
        <v>1</v>
      </c>
      <c r="AM34" t="b">
        <f ca="1"/>
        <v>0</v>
      </c>
      <c r="AN34">
        <f ca="1"/>
        <v>22</v>
      </c>
      <c r="AO34" t="str">
        <f ca="1"/>
        <v>All Tasks Complete</v>
      </c>
      <c r="AP34">
        <f ca="1"/>
        <v>100</v>
      </c>
      <c r="AQ34" t="str">
        <f ca="1"/>
        <v>Inspection</v>
      </c>
      <c r="AR34" t="str">
        <f ca="1"/>
        <v>Paint</v>
      </c>
      <c r="AS34" t="b">
        <f ca="1"/>
        <v>0</v>
      </c>
      <c r="AT34" t="str">
        <f ca="1"/>
        <v>vacant ready</v>
      </c>
      <c r="AU34" t="b">
        <f ca="1"/>
        <v>1</v>
      </c>
      <c r="AV34" t="b">
        <f ca="1"/>
        <v>0</v>
      </c>
      <c r="AW34" t="b">
        <f ca="1"/>
        <v>0</v>
      </c>
      <c r="AX34" t="str">
        <f ca="1"/>
        <v>Apartment Ready</v>
      </c>
      <c r="AY34" t="b">
        <f ca="1"/>
        <v>0</v>
      </c>
      <c r="AZ34" t="str">
        <f ca="1"/>
        <v>🟢 Apartment Ready</v>
      </c>
      <c r="BA34" t="e">
        <f ca="1"/>
        <v>#NUM!</v>
      </c>
      <c r="BB34" t="b">
        <f ca="1"/>
        <v>0</v>
      </c>
      <c r="BC34" t="b">
        <f ca="1"/>
        <v>0</v>
      </c>
      <c r="BD34" t="b">
        <f ca="1"/>
        <v>0</v>
      </c>
      <c r="BE34" t="b">
        <f ca="1"/>
        <v>0</v>
      </c>
    </row>
    <row r="35" spans="3:57" x14ac:dyDescent="0.4">
      <c r="C35" s="1">
        <f ca="1"/>
        <v>61</v>
      </c>
      <c r="D35" s="1" t="str">
        <f ca="1"/>
        <v>Unit 5-17-0215</v>
      </c>
      <c r="E35" s="1" t="str">
        <f ca="1"/>
        <v>Vacant not ready</v>
      </c>
      <c r="F35" s="1" vm="90">
        <f ca="1"/>
        <v>46038</v>
      </c>
      <c r="G35" s="1" vm="112">
        <f ca="1"/>
        <v>46066</v>
      </c>
      <c r="H35">
        <f ca="1"/>
        <v>32</v>
      </c>
      <c r="I35" t="e">
        <f ca="1"/>
        <v>#NUM!</v>
      </c>
      <c r="J35" t="str">
        <f ca="1"/>
        <v/>
      </c>
      <c r="K35" t="str">
        <f ca="1"/>
        <v>VACANT</v>
      </c>
      <c r="L35" vm="104">
        <f ca="1"/>
        <v>46041</v>
      </c>
      <c r="M35" t="str">
        <f ca="1"/>
        <v>Done</v>
      </c>
      <c r="N35" t="str">
        <f ca="1"/>
        <v/>
      </c>
      <c r="O35" t="str">
        <f ca="1"/>
        <v>Blocked</v>
      </c>
      <c r="P35" t="str">
        <f ca="1"/>
        <v/>
      </c>
      <c r="Q35" t="str">
        <f ca="1"/>
        <v>Blocked</v>
      </c>
      <c r="R35" t="str">
        <f ca="1"/>
        <v/>
      </c>
      <c r="S35" t="str">
        <f ca="1"/>
        <v>Blocked</v>
      </c>
      <c r="T35" t="str">
        <f ca="1"/>
        <v/>
      </c>
      <c r="U35" t="str">
        <f ca="1"/>
        <v>Blocked</v>
      </c>
      <c r="V35" t="str">
        <f ca="1"/>
        <v>Total</v>
      </c>
      <c r="W35" t="str">
        <f ca="1"/>
        <v>Yes</v>
      </c>
      <c r="X35" t="str">
        <f ca="1"/>
        <v>No</v>
      </c>
      <c r="Y35" t="str">
        <f ca="1"/>
        <v>5</v>
      </c>
      <c r="Z35" t="str">
        <f ca="1"/>
        <v>17</v>
      </c>
      <c r="AA35" t="str">
        <f ca="1"/>
        <v>0215</v>
      </c>
      <c r="AB35" t="str">
        <f ca="1"/>
        <v>[HOLD:Bad Turn| apartmet dmage ]</v>
      </c>
      <c r="AC35" t="str">
        <f ca="1"/>
        <v>[HOLD:Bad Turn| apartmet dmage ]</v>
      </c>
      <c r="AD35" t="b">
        <f ca="1"/>
        <v>1</v>
      </c>
      <c r="AE35" t="str">
        <f ca="1"/>
        <v>HOLD</v>
      </c>
      <c r="AF35" t="b">
        <f ca="1"/>
        <v>0</v>
      </c>
      <c r="AG35" t="b">
        <f ca="1"/>
        <v>0</v>
      </c>
      <c r="AH35" t="b">
        <f ca="1"/>
        <v>1</v>
      </c>
      <c r="AI35" t="b">
        <f ca="1"/>
        <v>1</v>
      </c>
      <c r="AJ35" t="b">
        <f ca="1"/>
        <v>0</v>
      </c>
      <c r="AK35" t="b">
        <f ca="1"/>
        <v>0</v>
      </c>
      <c r="AL35" t="b">
        <f ca="1"/>
        <v>1</v>
      </c>
      <c r="AM35" t="b">
        <f ca="1"/>
        <v>0</v>
      </c>
      <c r="AN35">
        <f ca="1"/>
        <v>22</v>
      </c>
      <c r="AO35" t="str">
        <f ca="1"/>
        <v>In Progress</v>
      </c>
      <c r="AP35">
        <f ca="1"/>
        <v>20</v>
      </c>
      <c r="AQ35" t="str">
        <f ca="1"/>
        <v>Paint</v>
      </c>
      <c r="AR35" t="str">
        <f ca="1"/>
        <v>MR</v>
      </c>
      <c r="AS35" t="b">
        <f ca="1"/>
        <v>1</v>
      </c>
      <c r="AT35" t="str">
        <f ca="1"/>
        <v>vacant not ready</v>
      </c>
      <c r="AU35" t="b">
        <f ca="1"/>
        <v>0</v>
      </c>
      <c r="AV35" t="b">
        <f ca="1"/>
        <v>0</v>
      </c>
      <c r="AW35" t="b">
        <f ca="1"/>
        <v>1</v>
      </c>
      <c r="AX35" t="str">
        <f ca="1"/>
        <v>Work Stalled</v>
      </c>
      <c r="AY35" t="b">
        <f ca="1"/>
        <v>1</v>
      </c>
      <c r="AZ35" t="str">
        <f ca="1"/>
        <v>⏸️ Work Stalled</v>
      </c>
      <c r="BA35" t="e">
        <f ca="1"/>
        <v>#NUM!</v>
      </c>
      <c r="BB35" t="b">
        <f ca="1"/>
        <v>0</v>
      </c>
      <c r="BC35" t="b">
        <f ca="1"/>
        <v>1</v>
      </c>
      <c r="BD35" t="b">
        <f ca="1"/>
        <v>0</v>
      </c>
      <c r="BE35" t="b">
        <f ca="1"/>
        <v>1</v>
      </c>
    </row>
    <row r="36" spans="3:57" x14ac:dyDescent="0.4">
      <c r="C36" s="1">
        <f ca="1"/>
        <v>62</v>
      </c>
      <c r="D36" s="1" t="str">
        <f ca="1"/>
        <v>Unit 5-17-0311</v>
      </c>
      <c r="E36" s="1" t="str">
        <f ca="1"/>
        <v>Vacant ready</v>
      </c>
      <c r="F36" s="1" vm="102">
        <f ca="1"/>
        <v>46039</v>
      </c>
      <c r="G36" s="1" vm="108">
        <f ca="1"/>
        <v>46059</v>
      </c>
      <c r="H36">
        <f ca="1"/>
        <v>31</v>
      </c>
      <c r="I36" t="e">
        <f ca="1"/>
        <v>#NUM!</v>
      </c>
      <c r="J36" t="str">
        <f ca="1"/>
        <v/>
      </c>
      <c r="K36" t="str">
        <f ca="1"/>
        <v>VACANT</v>
      </c>
      <c r="L36" vm="104">
        <f ca="1"/>
        <v>46041</v>
      </c>
      <c r="M36" t="str">
        <f ca="1"/>
        <v>Done</v>
      </c>
      <c r="N36" vm="109">
        <f ca="1"/>
        <v>46042</v>
      </c>
      <c r="O36" t="str">
        <f ca="1"/>
        <v>Done</v>
      </c>
      <c r="P36" vm="110">
        <f ca="1"/>
        <v>46043</v>
      </c>
      <c r="Q36" t="str">
        <f ca="1"/>
        <v>Done</v>
      </c>
      <c r="R36" vm="105">
        <f ca="1"/>
        <v>46048</v>
      </c>
      <c r="S36" t="str">
        <f ca="1"/>
        <v>Done</v>
      </c>
      <c r="T36" vm="111">
        <f ca="1"/>
        <v>46049</v>
      </c>
      <c r="U36" t="str">
        <f ca="1"/>
        <v>Done</v>
      </c>
      <c r="V36" t="str">
        <f ca="1"/>
        <v>Total</v>
      </c>
      <c r="W36" t="str">
        <f ca="1"/>
        <v>Yes</v>
      </c>
      <c r="X36" t="str">
        <f ca="1"/>
        <v>No</v>
      </c>
      <c r="Y36" t="str">
        <f ca="1"/>
        <v>5</v>
      </c>
      <c r="Z36" t="str">
        <f ca="1"/>
        <v>17</v>
      </c>
      <c r="AA36" t="str">
        <f ca="1"/>
        <v>0311</v>
      </c>
      <c r="AB36" vm="11">
        <f ca="1"/>
        <v>0</v>
      </c>
      <c r="AC36" t="str">
        <f ca="1"/>
        <v/>
      </c>
      <c r="AD36" t="b">
        <f ca="1"/>
        <v>0</v>
      </c>
      <c r="AE36" t="str">
        <f ca="1"/>
        <v/>
      </c>
      <c r="AF36" t="b">
        <f ca="1"/>
        <v>0</v>
      </c>
      <c r="AG36" t="b">
        <f ca="1"/>
        <v>0</v>
      </c>
      <c r="AH36" t="b">
        <f ca="1"/>
        <v>1</v>
      </c>
      <c r="AI36" t="b">
        <f ca="1"/>
        <v>1</v>
      </c>
      <c r="AJ36" t="b">
        <f ca="1"/>
        <v>0</v>
      </c>
      <c r="AK36" t="b">
        <f ca="1"/>
        <v>0</v>
      </c>
      <c r="AL36" t="b">
        <f ca="1"/>
        <v>1</v>
      </c>
      <c r="AM36" t="b">
        <f ca="1"/>
        <v>0</v>
      </c>
      <c r="AN36">
        <f ca="1"/>
        <v>21</v>
      </c>
      <c r="AO36" t="str">
        <f ca="1"/>
        <v>All Tasks Complete</v>
      </c>
      <c r="AP36">
        <f ca="1"/>
        <v>100</v>
      </c>
      <c r="AQ36" t="str">
        <f ca="1"/>
        <v>Inspection</v>
      </c>
      <c r="AR36" t="str">
        <f ca="1"/>
        <v>Paint</v>
      </c>
      <c r="AS36" t="b">
        <f ca="1"/>
        <v>0</v>
      </c>
      <c r="AT36" t="str">
        <f ca="1"/>
        <v>vacant ready</v>
      </c>
      <c r="AU36" t="b">
        <f ca="1"/>
        <v>1</v>
      </c>
      <c r="AV36" t="b">
        <f ca="1"/>
        <v>0</v>
      </c>
      <c r="AW36" t="b">
        <f ca="1"/>
        <v>0</v>
      </c>
      <c r="AX36" t="str">
        <f ca="1"/>
        <v>Apartment Ready</v>
      </c>
      <c r="AY36" t="b">
        <f ca="1"/>
        <v>0</v>
      </c>
      <c r="AZ36" t="str">
        <f ca="1"/>
        <v>🟢 Apartment Ready</v>
      </c>
      <c r="BA36" t="e">
        <f ca="1"/>
        <v>#NUM!</v>
      </c>
      <c r="BB36" t="b">
        <f ca="1"/>
        <v>0</v>
      </c>
      <c r="BC36" t="b">
        <f ca="1"/>
        <v>0</v>
      </c>
      <c r="BD36" t="b">
        <f ca="1"/>
        <v>0</v>
      </c>
      <c r="BE36" t="b">
        <f ca="1"/>
        <v>0</v>
      </c>
    </row>
    <row r="37" spans="3:57" x14ac:dyDescent="0.4">
      <c r="C37" s="1">
        <f ca="1"/>
        <v>63</v>
      </c>
      <c r="D37" s="1" t="str">
        <f ca="1"/>
        <v>Unit 8-01-3086</v>
      </c>
      <c r="E37" s="1" t="str">
        <f ca="1"/>
        <v>Vacant ready</v>
      </c>
      <c r="F37" s="1" vm="113">
        <f ca="1"/>
        <v>46040</v>
      </c>
      <c r="G37" s="1" vm="114">
        <f ca="1"/>
        <v>46053</v>
      </c>
      <c r="H37">
        <f ca="1"/>
        <v>30</v>
      </c>
      <c r="I37" t="e">
        <f ca="1"/>
        <v>#NUM!</v>
      </c>
      <c r="J37" t="str">
        <f ca="1"/>
        <v/>
      </c>
      <c r="K37" t="str">
        <f ca="1"/>
        <v>VACANT</v>
      </c>
      <c r="L37" vm="104">
        <f ca="1"/>
        <v>46041</v>
      </c>
      <c r="M37" t="str">
        <f ca="1"/>
        <v>Done</v>
      </c>
      <c r="N37" vm="109">
        <f ca="1"/>
        <v>46042</v>
      </c>
      <c r="O37" t="str">
        <f ca="1"/>
        <v>Done</v>
      </c>
      <c r="P37" vm="110">
        <f ca="1"/>
        <v>46043</v>
      </c>
      <c r="Q37" t="str">
        <f ca="1"/>
        <v>Done</v>
      </c>
      <c r="R37" vm="105">
        <f ca="1"/>
        <v>46048</v>
      </c>
      <c r="S37" t="str">
        <f ca="1"/>
        <v>Done</v>
      </c>
      <c r="T37" vm="111">
        <f ca="1"/>
        <v>46049</v>
      </c>
      <c r="U37" t="str">
        <f ca="1"/>
        <v>Done</v>
      </c>
      <c r="V37" t="str">
        <f ca="1"/>
        <v xml:space="preserve">Michael </v>
      </c>
      <c r="W37" t="str">
        <f ca="1"/>
        <v>yes</v>
      </c>
      <c r="X37" t="str">
        <f ca="1"/>
        <v>No</v>
      </c>
      <c r="Y37" t="str">
        <f ca="1"/>
        <v>8</v>
      </c>
      <c r="Z37" t="str">
        <f ca="1"/>
        <v>01</v>
      </c>
      <c r="AA37" t="str">
        <f ca="1"/>
        <v>3086</v>
      </c>
      <c r="AB37" vm="11">
        <f ca="1"/>
        <v>0</v>
      </c>
      <c r="AC37" t="str">
        <f ca="1"/>
        <v/>
      </c>
      <c r="AD37" t="b">
        <f ca="1"/>
        <v>0</v>
      </c>
      <c r="AE37" t="str">
        <f ca="1"/>
        <v/>
      </c>
      <c r="AF37" t="b">
        <f ca="1"/>
        <v>1</v>
      </c>
      <c r="AG37" t="b">
        <f ca="1"/>
        <v>0</v>
      </c>
      <c r="AH37" t="b">
        <f ca="1"/>
        <v>1</v>
      </c>
      <c r="AI37" t="b">
        <f ca="1"/>
        <v>1</v>
      </c>
      <c r="AJ37" t="b">
        <f ca="1"/>
        <v>0</v>
      </c>
      <c r="AK37" t="b">
        <f ca="1"/>
        <v>0</v>
      </c>
      <c r="AL37" t="b">
        <f ca="1"/>
        <v>1</v>
      </c>
      <c r="AM37" t="b">
        <f ca="1"/>
        <v>0</v>
      </c>
      <c r="AN37">
        <f ca="1"/>
        <v>21</v>
      </c>
      <c r="AO37" t="str">
        <f ca="1"/>
        <v>All Tasks Complete</v>
      </c>
      <c r="AP37">
        <f ca="1"/>
        <v>100</v>
      </c>
      <c r="AQ37" t="str">
        <f ca="1"/>
        <v>Inspection</v>
      </c>
      <c r="AR37" t="str">
        <f ca="1"/>
        <v>Paint</v>
      </c>
      <c r="AS37" t="b">
        <f ca="1"/>
        <v>0</v>
      </c>
      <c r="AT37" t="str">
        <f ca="1"/>
        <v>vacant ready</v>
      </c>
      <c r="AU37" t="b">
        <f ca="1"/>
        <v>1</v>
      </c>
      <c r="AV37" t="b">
        <f ca="1"/>
        <v>0</v>
      </c>
      <c r="AW37" t="b">
        <f ca="1"/>
        <v>0</v>
      </c>
      <c r="AX37" t="str">
        <f ca="1"/>
        <v>Apartment Ready</v>
      </c>
      <c r="AY37" t="b">
        <f ca="1"/>
        <v>0</v>
      </c>
      <c r="AZ37" t="str">
        <f ca="1"/>
        <v>🟢 Apartment Ready</v>
      </c>
      <c r="BA37" t="e">
        <f ca="1"/>
        <v>#NUM!</v>
      </c>
      <c r="BB37" t="b">
        <f ca="1"/>
        <v>0</v>
      </c>
      <c r="BC37" t="b">
        <f ca="1"/>
        <v>0</v>
      </c>
      <c r="BD37" t="b">
        <f ca="1"/>
        <v>0</v>
      </c>
      <c r="BE37" t="b">
        <f ca="1"/>
        <v>0</v>
      </c>
    </row>
    <row r="38" spans="3:57" x14ac:dyDescent="0.4">
      <c r="C38" s="1">
        <f ca="1"/>
        <v>1</v>
      </c>
      <c r="D38" s="1" t="str">
        <f ca="1"/>
        <v>Unit 8-01-4058</v>
      </c>
      <c r="E38" s="1" t="str">
        <f ca="1"/>
        <v>Vacant ready</v>
      </c>
      <c r="F38" s="1" vm="113">
        <f ca="1"/>
        <v>46040</v>
      </c>
      <c r="G38" s="1" vm="114">
        <f ca="1"/>
        <v>46053</v>
      </c>
      <c r="H38">
        <f ca="1"/>
        <v>30</v>
      </c>
      <c r="I38" vm="115">
        <f ca="1"/>
        <v>46071</v>
      </c>
      <c r="J38">
        <f ca="1"/>
        <v>-1</v>
      </c>
      <c r="K38" t="str">
        <f ca="1"/>
        <v>SMI</v>
      </c>
      <c r="L38" vm="104">
        <f ca="1"/>
        <v>46041</v>
      </c>
      <c r="M38" t="str">
        <f ca="1"/>
        <v>Done</v>
      </c>
      <c r="N38" vm="109">
        <f ca="1"/>
        <v>46042</v>
      </c>
      <c r="O38" t="str">
        <f ca="1"/>
        <v>Done</v>
      </c>
      <c r="P38" vm="110">
        <f ca="1"/>
        <v>46043</v>
      </c>
      <c r="Q38" t="str">
        <f ca="1"/>
        <v>Done</v>
      </c>
      <c r="R38" vm="105">
        <f ca="1"/>
        <v>46048</v>
      </c>
      <c r="S38" t="str">
        <f ca="1"/>
        <v>Done</v>
      </c>
      <c r="T38" vm="111">
        <f ca="1"/>
        <v>46049</v>
      </c>
      <c r="U38" t="str">
        <f ca="1"/>
        <v>Done</v>
      </c>
      <c r="V38" t="str">
        <f ca="1"/>
        <v>Miguel G</v>
      </c>
      <c r="W38" t="str">
        <f ca="1"/>
        <v>Yes</v>
      </c>
      <c r="X38" t="str">
        <f ca="1"/>
        <v>No</v>
      </c>
      <c r="Y38" t="str">
        <f ca="1"/>
        <v>8</v>
      </c>
      <c r="Z38" t="str">
        <f ca="1"/>
        <v>01</v>
      </c>
      <c r="AA38" t="str">
        <f ca="1"/>
        <v>4058</v>
      </c>
      <c r="AB38" vm="11">
        <f ca="1"/>
        <v>0</v>
      </c>
      <c r="AC38" t="str">
        <f ca="1"/>
        <v/>
      </c>
      <c r="AD38" t="b">
        <f ca="1"/>
        <v>0</v>
      </c>
      <c r="AE38" t="str">
        <f ca="1"/>
        <v/>
      </c>
      <c r="AF38" t="b">
        <f ca="1"/>
        <v>1</v>
      </c>
      <c r="AG38" t="b">
        <f ca="1"/>
        <v>1</v>
      </c>
      <c r="AH38" t="b">
        <f ca="1"/>
        <v>1</v>
      </c>
      <c r="AI38" t="b">
        <f ca="1"/>
        <v>0</v>
      </c>
      <c r="AJ38" t="b">
        <f ca="1"/>
        <v>1</v>
      </c>
      <c r="AK38" t="b">
        <f ca="1"/>
        <v>0</v>
      </c>
      <c r="AL38" t="b">
        <f ca="1"/>
        <v>1</v>
      </c>
      <c r="AM38" t="b">
        <f ca="1"/>
        <v>0</v>
      </c>
      <c r="AN38">
        <f ca="1"/>
        <v>21</v>
      </c>
      <c r="AO38" t="str">
        <f ca="1"/>
        <v>All Tasks Complete</v>
      </c>
      <c r="AP38">
        <f ca="1"/>
        <v>100</v>
      </c>
      <c r="AQ38" t="str">
        <f ca="1"/>
        <v>Inspection</v>
      </c>
      <c r="AR38" t="str">
        <f ca="1"/>
        <v>Paint</v>
      </c>
      <c r="AS38" t="b">
        <f ca="1"/>
        <v>0</v>
      </c>
      <c r="AT38" t="str">
        <f ca="1"/>
        <v>vacant ready</v>
      </c>
      <c r="AU38" t="b">
        <f ca="1"/>
        <v>1</v>
      </c>
      <c r="AV38" t="b">
        <f ca="1"/>
        <v>0</v>
      </c>
      <c r="AW38" t="b">
        <f ca="1"/>
        <v>0</v>
      </c>
      <c r="AX38" t="str">
        <f ca="1"/>
        <v>QC Hold</v>
      </c>
      <c r="AY38" t="b">
        <f ca="1"/>
        <v>0</v>
      </c>
      <c r="AZ38" t="str">
        <f ca="1"/>
        <v>📅 Scheduled to Move In</v>
      </c>
      <c r="BA38">
        <f ca="1"/>
        <v>1</v>
      </c>
      <c r="BB38" t="b">
        <f ca="1"/>
        <v>0</v>
      </c>
      <c r="BC38" t="b">
        <f ca="1"/>
        <v>0</v>
      </c>
      <c r="BD38" t="b">
        <f ca="1"/>
        <v>1</v>
      </c>
      <c r="BE38" t="b">
        <f ca="1"/>
        <v>0</v>
      </c>
    </row>
    <row r="39" spans="3:57" x14ac:dyDescent="0.4">
      <c r="C39" s="1">
        <f ca="1"/>
        <v>64</v>
      </c>
      <c r="D39" s="1" t="str">
        <f ca="1"/>
        <v>Unit 5-18-0146</v>
      </c>
      <c r="E39" s="1" t="str">
        <f ca="1"/>
        <v>Vacant ready</v>
      </c>
      <c r="F39" s="1" vm="104">
        <f ca="1"/>
        <v>46041</v>
      </c>
      <c r="G39" s="1" vm="116">
        <f ca="1"/>
        <v>46051</v>
      </c>
      <c r="H39">
        <f ca="1"/>
        <v>29</v>
      </c>
      <c r="I39" t="e">
        <f ca="1"/>
        <v>#NUM!</v>
      </c>
      <c r="J39" t="str">
        <f ca="1"/>
        <v/>
      </c>
      <c r="K39" t="str">
        <f ca="1"/>
        <v>VACANT</v>
      </c>
      <c r="L39" vm="109">
        <f ca="1"/>
        <v>46042</v>
      </c>
      <c r="M39" t="str">
        <f ca="1"/>
        <v>Done</v>
      </c>
      <c r="N39" vm="110">
        <f ca="1"/>
        <v>46043</v>
      </c>
      <c r="O39" t="str">
        <f ca="1"/>
        <v>Done</v>
      </c>
      <c r="P39" vm="107">
        <f ca="1"/>
        <v>46044</v>
      </c>
      <c r="Q39" t="str">
        <f ca="1"/>
        <v>Done</v>
      </c>
      <c r="R39" vm="111">
        <f ca="1"/>
        <v>46049</v>
      </c>
      <c r="S39" t="str">
        <f ca="1"/>
        <v>Done</v>
      </c>
      <c r="T39" vm="117">
        <f ca="1"/>
        <v>46050</v>
      </c>
      <c r="U39" t="str">
        <f ca="1"/>
        <v>Done</v>
      </c>
      <c r="V39" t="str">
        <f ca="1"/>
        <v>Total</v>
      </c>
      <c r="W39" t="str">
        <f ca="1"/>
        <v>Yes</v>
      </c>
      <c r="X39" t="str">
        <f ca="1"/>
        <v>No</v>
      </c>
      <c r="Y39" t="str">
        <f ca="1"/>
        <v>5</v>
      </c>
      <c r="Z39" t="str">
        <f ca="1"/>
        <v>18</v>
      </c>
      <c r="AA39" t="str">
        <f ca="1"/>
        <v>0146</v>
      </c>
      <c r="AB39" vm="11">
        <f ca="1"/>
        <v>0</v>
      </c>
      <c r="AC39" t="str">
        <f ca="1"/>
        <v/>
      </c>
      <c r="AD39" t="b">
        <f ca="1"/>
        <v>0</v>
      </c>
      <c r="AE39" t="str">
        <f ca="1"/>
        <v/>
      </c>
      <c r="AF39" t="b">
        <f ca="1"/>
        <v>0</v>
      </c>
      <c r="AG39" t="b">
        <f ca="1"/>
        <v>0</v>
      </c>
      <c r="AH39" t="b">
        <f ca="1"/>
        <v>1</v>
      </c>
      <c r="AI39" t="b">
        <f ca="1"/>
        <v>1</v>
      </c>
      <c r="AJ39" t="b">
        <f ca="1"/>
        <v>0</v>
      </c>
      <c r="AK39" t="b">
        <f ca="1"/>
        <v>0</v>
      </c>
      <c r="AL39" t="b">
        <f ca="1"/>
        <v>1</v>
      </c>
      <c r="AM39" t="b">
        <f ca="1"/>
        <v>0</v>
      </c>
      <c r="AN39">
        <f ca="1"/>
        <v>21</v>
      </c>
      <c r="AO39" t="str">
        <f ca="1"/>
        <v>All Tasks Complete</v>
      </c>
      <c r="AP39">
        <f ca="1"/>
        <v>100</v>
      </c>
      <c r="AQ39" t="str">
        <f ca="1"/>
        <v>Inspection</v>
      </c>
      <c r="AR39" t="str">
        <f ca="1"/>
        <v>Paint</v>
      </c>
      <c r="AS39" t="b">
        <f ca="1"/>
        <v>0</v>
      </c>
      <c r="AT39" t="str">
        <f ca="1"/>
        <v>vacant ready</v>
      </c>
      <c r="AU39" t="b">
        <f ca="1"/>
        <v>1</v>
      </c>
      <c r="AV39" t="b">
        <f ca="1"/>
        <v>0</v>
      </c>
      <c r="AW39" t="b">
        <f ca="1"/>
        <v>0</v>
      </c>
      <c r="AX39" t="str">
        <f ca="1"/>
        <v>Apartment Ready</v>
      </c>
      <c r="AY39" t="b">
        <f ca="1"/>
        <v>0</v>
      </c>
      <c r="AZ39" t="str">
        <f ca="1"/>
        <v>🟢 Apartment Ready</v>
      </c>
      <c r="BA39" t="e">
        <f ca="1"/>
        <v>#NUM!</v>
      </c>
      <c r="BB39" t="b">
        <f ca="1"/>
        <v>0</v>
      </c>
      <c r="BC39" t="b">
        <f ca="1"/>
        <v>0</v>
      </c>
      <c r="BD39" t="b">
        <f ca="1"/>
        <v>0</v>
      </c>
      <c r="BE39" t="b">
        <f ca="1"/>
        <v>0</v>
      </c>
    </row>
    <row r="40" spans="3:57" x14ac:dyDescent="0.4">
      <c r="C40" s="1">
        <f ca="1"/>
        <v>16</v>
      </c>
      <c r="D40" s="1" t="str">
        <f ca="1"/>
        <v>Unit 5-04-5760</v>
      </c>
      <c r="E40" s="1" t="str">
        <f ca="1"/>
        <v>Vacant ready</v>
      </c>
      <c r="F40" s="1" vm="104">
        <f ca="1"/>
        <v>46041</v>
      </c>
      <c r="G40" s="1" vm="116">
        <f ca="1"/>
        <v>46051</v>
      </c>
      <c r="H40">
        <f ca="1"/>
        <v>29</v>
      </c>
      <c r="I40" vm="118">
        <f ca="1"/>
        <v>46088</v>
      </c>
      <c r="J40">
        <f ca="1"/>
        <v>-18</v>
      </c>
      <c r="K40" t="str">
        <f ca="1"/>
        <v>SMI</v>
      </c>
      <c r="L40" vm="109">
        <f ca="1"/>
        <v>46042</v>
      </c>
      <c r="M40" t="str">
        <f ca="1"/>
        <v>Done</v>
      </c>
      <c r="N40" vm="110">
        <f ca="1"/>
        <v>46043</v>
      </c>
      <c r="O40" t="str">
        <f ca="1"/>
        <v>Done</v>
      </c>
      <c r="P40" vm="107">
        <f ca="1"/>
        <v>46044</v>
      </c>
      <c r="Q40" t="str">
        <f ca="1"/>
        <v>Done</v>
      </c>
      <c r="R40" vm="111">
        <f ca="1"/>
        <v>46049</v>
      </c>
      <c r="S40" t="str">
        <f ca="1"/>
        <v>Done</v>
      </c>
      <c r="T40" vm="117">
        <f ca="1"/>
        <v>46050</v>
      </c>
      <c r="U40" t="str">
        <f ca="1"/>
        <v>Done</v>
      </c>
      <c r="V40" t="str">
        <f ca="1"/>
        <v>Total</v>
      </c>
      <c r="W40" t="str">
        <f ca="1"/>
        <v>Yes</v>
      </c>
      <c r="X40" t="str">
        <f ca="1"/>
        <v>No</v>
      </c>
      <c r="Y40" t="str">
        <f ca="1"/>
        <v>5</v>
      </c>
      <c r="Z40" t="str">
        <f ca="1"/>
        <v>04</v>
      </c>
      <c r="AA40" t="str">
        <f ca="1"/>
        <v>5760</v>
      </c>
      <c r="AB40" vm="11">
        <f ca="1"/>
        <v>0</v>
      </c>
      <c r="AC40" t="str">
        <f ca="1"/>
        <v/>
      </c>
      <c r="AD40" t="b">
        <f ca="1"/>
        <v>0</v>
      </c>
      <c r="AE40" t="str">
        <f ca="1"/>
        <v/>
      </c>
      <c r="AF40" t="b">
        <f ca="1"/>
        <v>0</v>
      </c>
      <c r="AG40" t="b">
        <f ca="1"/>
        <v>1</v>
      </c>
      <c r="AH40" t="b">
        <f ca="1"/>
        <v>1</v>
      </c>
      <c r="AI40" t="b">
        <f ca="1"/>
        <v>0</v>
      </c>
      <c r="AJ40" t="b">
        <f ca="1"/>
        <v>1</v>
      </c>
      <c r="AK40" t="b">
        <f ca="1"/>
        <v>0</v>
      </c>
      <c r="AL40" t="b">
        <f ca="1"/>
        <v>1</v>
      </c>
      <c r="AM40" t="b">
        <f ca="1"/>
        <v>0</v>
      </c>
      <c r="AN40">
        <f ca="1"/>
        <v>21</v>
      </c>
      <c r="AO40" t="str">
        <f ca="1"/>
        <v>All Tasks Complete</v>
      </c>
      <c r="AP40">
        <f ca="1"/>
        <v>100</v>
      </c>
      <c r="AQ40" t="str">
        <f ca="1"/>
        <v>Inspection</v>
      </c>
      <c r="AR40" t="str">
        <f ca="1"/>
        <v>Paint</v>
      </c>
      <c r="AS40" t="b">
        <f ca="1"/>
        <v>0</v>
      </c>
      <c r="AT40" t="str">
        <f ca="1"/>
        <v>vacant ready</v>
      </c>
      <c r="AU40" t="b">
        <f ca="1"/>
        <v>1</v>
      </c>
      <c r="AV40" t="b">
        <f ca="1"/>
        <v>0</v>
      </c>
      <c r="AW40" t="b">
        <f ca="1"/>
        <v>0</v>
      </c>
      <c r="AX40" t="str">
        <f ca="1"/>
        <v>QC Hold</v>
      </c>
      <c r="AY40" t="b">
        <f ca="1"/>
        <v>0</v>
      </c>
      <c r="AZ40" t="str">
        <f ca="1"/>
        <v>📅 Scheduled to Move In</v>
      </c>
      <c r="BA40">
        <f ca="1"/>
        <v>18</v>
      </c>
      <c r="BB40" t="b">
        <f ca="1"/>
        <v>0</v>
      </c>
      <c r="BC40" t="b">
        <f ca="1"/>
        <v>0</v>
      </c>
      <c r="BD40" t="b">
        <f ca="1"/>
        <v>0</v>
      </c>
      <c r="BE40" t="b">
        <f ca="1"/>
        <v>0</v>
      </c>
    </row>
    <row r="41" spans="3:57" x14ac:dyDescent="0.4">
      <c r="C41" s="1">
        <f ca="1"/>
        <v>65</v>
      </c>
      <c r="D41" s="1" t="str">
        <f ca="1"/>
        <v>Unit 8-01-2083</v>
      </c>
      <c r="E41" s="1" t="str">
        <f ca="1"/>
        <v>Vacant ready</v>
      </c>
      <c r="F41" s="1" vm="110">
        <f ca="1"/>
        <v>46043</v>
      </c>
      <c r="G41" s="1" vm="119">
        <f ca="1"/>
        <v>46057</v>
      </c>
      <c r="H41">
        <f ca="1"/>
        <v>27</v>
      </c>
      <c r="I41" t="e">
        <f ca="1"/>
        <v>#NUM!</v>
      </c>
      <c r="J41" t="str">
        <f ca="1"/>
        <v/>
      </c>
      <c r="K41" t="str">
        <f ca="1"/>
        <v>VACANT</v>
      </c>
      <c r="L41" vm="107">
        <f ca="1"/>
        <v>46044</v>
      </c>
      <c r="M41" t="str">
        <f ca="1"/>
        <v>Done</v>
      </c>
      <c r="N41" vm="103">
        <f ca="1"/>
        <v>46045</v>
      </c>
      <c r="O41" t="str">
        <f ca="1"/>
        <v>Done</v>
      </c>
      <c r="P41" vm="105">
        <f ca="1"/>
        <v>46048</v>
      </c>
      <c r="Q41" t="str">
        <f ca="1"/>
        <v>Done</v>
      </c>
      <c r="R41" vm="116">
        <f ca="1"/>
        <v>46051</v>
      </c>
      <c r="S41" t="str">
        <f ca="1"/>
        <v>Done</v>
      </c>
      <c r="T41" vm="120">
        <f ca="1"/>
        <v>46052</v>
      </c>
      <c r="U41" t="str">
        <f ca="1"/>
        <v>Done</v>
      </c>
      <c r="V41" t="str">
        <f ca="1"/>
        <v>Brad</v>
      </c>
      <c r="W41" t="str">
        <f ca="1"/>
        <v>Yes</v>
      </c>
      <c r="X41" t="str">
        <f ca="1"/>
        <v>No</v>
      </c>
      <c r="Y41" t="str">
        <f ca="1"/>
        <v>8</v>
      </c>
      <c r="Z41" t="str">
        <f ca="1"/>
        <v>01</v>
      </c>
      <c r="AA41" t="str">
        <f ca="1"/>
        <v>2083</v>
      </c>
      <c r="AB41" vm="11">
        <f ca="1"/>
        <v>0</v>
      </c>
      <c r="AC41" t="str">
        <f ca="1"/>
        <v/>
      </c>
      <c r="AD41" t="b">
        <f ca="1"/>
        <v>0</v>
      </c>
      <c r="AE41" t="str">
        <f ca="1"/>
        <v/>
      </c>
      <c r="AF41" t="b">
        <f ca="1"/>
        <v>1</v>
      </c>
      <c r="AG41" t="b">
        <f ca="1"/>
        <v>0</v>
      </c>
      <c r="AH41" t="b">
        <f ca="1"/>
        <v>1</v>
      </c>
      <c r="AI41" t="b">
        <f ca="1"/>
        <v>1</v>
      </c>
      <c r="AJ41" t="b">
        <f ca="1"/>
        <v>0</v>
      </c>
      <c r="AK41" t="b">
        <f ca="1"/>
        <v>0</v>
      </c>
      <c r="AL41" t="b">
        <f ca="1"/>
        <v>1</v>
      </c>
      <c r="AM41" t="b">
        <f ca="1"/>
        <v>0</v>
      </c>
      <c r="AN41">
        <f ca="1"/>
        <v>19</v>
      </c>
      <c r="AO41" t="str">
        <f ca="1"/>
        <v>All Tasks Complete</v>
      </c>
      <c r="AP41">
        <f ca="1"/>
        <v>100</v>
      </c>
      <c r="AQ41" t="str">
        <f ca="1"/>
        <v>Inspection</v>
      </c>
      <c r="AR41" t="str">
        <f ca="1"/>
        <v>Paint</v>
      </c>
      <c r="AS41" t="b">
        <f ca="1"/>
        <v>0</v>
      </c>
      <c r="AT41" t="str">
        <f ca="1"/>
        <v>vacant ready</v>
      </c>
      <c r="AU41" t="b">
        <f ca="1"/>
        <v>1</v>
      </c>
      <c r="AV41" t="b">
        <f ca="1"/>
        <v>0</v>
      </c>
      <c r="AW41" t="b">
        <f ca="1"/>
        <v>0</v>
      </c>
      <c r="AX41" t="str">
        <f ca="1"/>
        <v>Apartment Ready</v>
      </c>
      <c r="AY41" t="b">
        <f ca="1"/>
        <v>0</v>
      </c>
      <c r="AZ41" t="str">
        <f ca="1"/>
        <v>🟢 Apartment Ready</v>
      </c>
      <c r="BA41" t="e">
        <f ca="1"/>
        <v>#NUM!</v>
      </c>
      <c r="BB41" t="b">
        <f ca="1"/>
        <v>0</v>
      </c>
      <c r="BC41" t="b">
        <f ca="1"/>
        <v>0</v>
      </c>
      <c r="BD41" t="b">
        <f ca="1"/>
        <v>0</v>
      </c>
      <c r="BE41" t="b">
        <f ca="1"/>
        <v>0</v>
      </c>
    </row>
    <row r="42" spans="3:57" x14ac:dyDescent="0.4">
      <c r="C42" s="1">
        <f ca="1"/>
        <v>66</v>
      </c>
      <c r="D42" s="1" t="str">
        <f ca="1"/>
        <v>Unit 5-17-0310</v>
      </c>
      <c r="E42" s="1" t="str">
        <f ca="1"/>
        <v>Vacant ready</v>
      </c>
      <c r="F42" s="1" vm="107">
        <f ca="1"/>
        <v>46044</v>
      </c>
      <c r="G42" s="1" vm="121">
        <f ca="1"/>
        <v>46055</v>
      </c>
      <c r="H42">
        <f ca="1"/>
        <v>26</v>
      </c>
      <c r="I42" t="e">
        <f ca="1"/>
        <v>#NUM!</v>
      </c>
      <c r="J42" t="str">
        <f ca="1"/>
        <v/>
      </c>
      <c r="K42" t="str">
        <f ca="1"/>
        <v>VACANT</v>
      </c>
      <c r="L42" vm="103">
        <f ca="1"/>
        <v>46045</v>
      </c>
      <c r="M42" t="str">
        <f ca="1"/>
        <v>Done</v>
      </c>
      <c r="N42" vm="105">
        <f ca="1"/>
        <v>46048</v>
      </c>
      <c r="O42" t="str">
        <f ca="1"/>
        <v>Done</v>
      </c>
      <c r="P42" vm="111">
        <f ca="1"/>
        <v>46049</v>
      </c>
      <c r="Q42" t="str">
        <f ca="1"/>
        <v>Done</v>
      </c>
      <c r="R42" vm="120">
        <f ca="1"/>
        <v>46052</v>
      </c>
      <c r="S42" t="str">
        <f ca="1"/>
        <v>Done</v>
      </c>
      <c r="T42" vm="121">
        <f ca="1"/>
        <v>46055</v>
      </c>
      <c r="U42" t="str">
        <f ca="1"/>
        <v>Done</v>
      </c>
      <c r="V42" t="str">
        <f ca="1"/>
        <v>Total</v>
      </c>
      <c r="W42" t="str">
        <f ca="1"/>
        <v>Yes</v>
      </c>
      <c r="X42" t="str">
        <f ca="1"/>
        <v>No</v>
      </c>
      <c r="Y42" t="str">
        <f ca="1"/>
        <v>5</v>
      </c>
      <c r="Z42" t="str">
        <f ca="1"/>
        <v>17</v>
      </c>
      <c r="AA42" t="str">
        <f ca="1"/>
        <v>0310</v>
      </c>
      <c r="AB42" t="str">
        <f ca="1"/>
        <v>[HOLD:Microwave| dmage ]</v>
      </c>
      <c r="AC42" t="str">
        <f ca="1"/>
        <v>[HOLD:Microwave| dmage ]</v>
      </c>
      <c r="AD42" t="b">
        <f ca="1"/>
        <v>1</v>
      </c>
      <c r="AE42" t="str">
        <f ca="1"/>
        <v>HOLD</v>
      </c>
      <c r="AF42" t="b">
        <f ca="1"/>
        <v>0</v>
      </c>
      <c r="AG42" t="b">
        <f ca="1"/>
        <v>0</v>
      </c>
      <c r="AH42" t="b">
        <f ca="1"/>
        <v>1</v>
      </c>
      <c r="AI42" t="b">
        <f ca="1"/>
        <v>1</v>
      </c>
      <c r="AJ42" t="b">
        <f ca="1"/>
        <v>0</v>
      </c>
      <c r="AK42" t="b">
        <f ca="1"/>
        <v>0</v>
      </c>
      <c r="AL42" t="b">
        <f ca="1"/>
        <v>1</v>
      </c>
      <c r="AM42" t="b">
        <f ca="1"/>
        <v>0</v>
      </c>
      <c r="AN42">
        <f ca="1"/>
        <v>18</v>
      </c>
      <c r="AO42" t="str">
        <f ca="1"/>
        <v>All Tasks Complete</v>
      </c>
      <c r="AP42">
        <f ca="1"/>
        <v>100</v>
      </c>
      <c r="AQ42" t="str">
        <f ca="1"/>
        <v>Inspection</v>
      </c>
      <c r="AR42" t="str">
        <f ca="1"/>
        <v>Paint</v>
      </c>
      <c r="AS42" t="b">
        <f ca="1"/>
        <v>0</v>
      </c>
      <c r="AT42" t="str">
        <f ca="1"/>
        <v>vacant ready</v>
      </c>
      <c r="AU42" t="b">
        <f ca="1"/>
        <v>1</v>
      </c>
      <c r="AV42" t="b">
        <f ca="1"/>
        <v>0</v>
      </c>
      <c r="AW42" t="b">
        <f ca="1"/>
        <v>0</v>
      </c>
      <c r="AX42" t="str">
        <f ca="1"/>
        <v>Apartment Ready</v>
      </c>
      <c r="AY42" t="b">
        <f ca="1"/>
        <v>0</v>
      </c>
      <c r="AZ42" t="str">
        <f ca="1"/>
        <v>🟢 Apartment Ready</v>
      </c>
      <c r="BA42" t="e">
        <f ca="1"/>
        <v>#NUM!</v>
      </c>
      <c r="BB42" t="b">
        <f ca="1"/>
        <v>0</v>
      </c>
      <c r="BC42" t="b">
        <f ca="1"/>
        <v>0</v>
      </c>
      <c r="BD42" t="b">
        <f ca="1"/>
        <v>0</v>
      </c>
      <c r="BE42" t="b">
        <f ca="1"/>
        <v>0</v>
      </c>
    </row>
    <row r="43" spans="3:57" x14ac:dyDescent="0.4">
      <c r="C43" s="1">
        <f ca="1"/>
        <v>69</v>
      </c>
      <c r="D43" s="1" t="str">
        <f ca="1"/>
        <v>Unit 8-01-2034</v>
      </c>
      <c r="E43" s="1" t="str">
        <f ca="1"/>
        <v>Vacant ready</v>
      </c>
      <c r="F43" s="1" vm="105">
        <f ca="1"/>
        <v>46048</v>
      </c>
      <c r="G43" s="1" vm="108">
        <f ca="1"/>
        <v>46059</v>
      </c>
      <c r="H43">
        <f ca="1"/>
        <v>22</v>
      </c>
      <c r="I43" t="e">
        <f ca="1"/>
        <v>#NUM!</v>
      </c>
      <c r="J43" t="str">
        <f ca="1"/>
        <v/>
      </c>
      <c r="K43" t="str">
        <f ca="1"/>
        <v>VACANT</v>
      </c>
      <c r="L43" vm="111">
        <f ca="1"/>
        <v>46049</v>
      </c>
      <c r="M43" t="str">
        <f ca="1"/>
        <v>Done</v>
      </c>
      <c r="N43" vm="117">
        <f ca="1"/>
        <v>46050</v>
      </c>
      <c r="O43" t="str">
        <f ca="1"/>
        <v>Done</v>
      </c>
      <c r="P43" vm="116">
        <f ca="1"/>
        <v>46051</v>
      </c>
      <c r="Q43" t="str">
        <f ca="1"/>
        <v>Done</v>
      </c>
      <c r="R43" vm="122">
        <f ca="1"/>
        <v>46056</v>
      </c>
      <c r="S43" t="str">
        <f ca="1"/>
        <v>Done</v>
      </c>
      <c r="T43" vm="119">
        <f ca="1"/>
        <v>46057</v>
      </c>
      <c r="U43" t="str">
        <f ca="1"/>
        <v>Done</v>
      </c>
      <c r="V43" t="str">
        <f ca="1"/>
        <v xml:space="preserve">Michael </v>
      </c>
      <c r="W43" t="str">
        <f ca="1"/>
        <v>Yes</v>
      </c>
      <c r="X43" t="str">
        <f ca="1"/>
        <v>No</v>
      </c>
      <c r="Y43" t="str">
        <f ca="1"/>
        <v>8</v>
      </c>
      <c r="Z43" t="str">
        <f ca="1"/>
        <v>01</v>
      </c>
      <c r="AA43" t="str">
        <f ca="1"/>
        <v>2034</v>
      </c>
      <c r="AB43" vm="11">
        <f ca="1"/>
        <v>0</v>
      </c>
      <c r="AC43" t="str">
        <f ca="1"/>
        <v/>
      </c>
      <c r="AD43" t="b">
        <f ca="1"/>
        <v>0</v>
      </c>
      <c r="AE43" t="str">
        <f ca="1"/>
        <v/>
      </c>
      <c r="AF43" t="b">
        <f ca="1"/>
        <v>1</v>
      </c>
      <c r="AG43" t="b">
        <f ca="1"/>
        <v>0</v>
      </c>
      <c r="AH43" t="b">
        <f ca="1"/>
        <v>1</v>
      </c>
      <c r="AI43" t="b">
        <f ca="1"/>
        <v>1</v>
      </c>
      <c r="AJ43" t="b">
        <f ca="1"/>
        <v>0</v>
      </c>
      <c r="AK43" t="b">
        <f ca="1"/>
        <v>0</v>
      </c>
      <c r="AL43" t="b">
        <f ca="1"/>
        <v>1</v>
      </c>
      <c r="AM43" t="b">
        <f ca="1"/>
        <v>0</v>
      </c>
      <c r="AN43">
        <f ca="1"/>
        <v>16</v>
      </c>
      <c r="AO43" t="str">
        <f ca="1"/>
        <v>All Tasks Complete</v>
      </c>
      <c r="AP43">
        <f ca="1"/>
        <v>100</v>
      </c>
      <c r="AQ43" t="str">
        <f ca="1"/>
        <v>Inspection</v>
      </c>
      <c r="AR43" t="str">
        <f ca="1"/>
        <v>Paint</v>
      </c>
      <c r="AS43" t="b">
        <f ca="1"/>
        <v>0</v>
      </c>
      <c r="AT43" t="str">
        <f ca="1"/>
        <v>vacant ready</v>
      </c>
      <c r="AU43" t="b">
        <f ca="1"/>
        <v>1</v>
      </c>
      <c r="AV43" t="b">
        <f ca="1"/>
        <v>0</v>
      </c>
      <c r="AW43" t="b">
        <f ca="1"/>
        <v>0</v>
      </c>
      <c r="AX43" t="str">
        <f ca="1"/>
        <v>Apartment Ready</v>
      </c>
      <c r="AY43" t="b">
        <f ca="1"/>
        <v>0</v>
      </c>
      <c r="AZ43" t="str">
        <f ca="1"/>
        <v>🟢 Apartment Ready</v>
      </c>
      <c r="BA43" t="e">
        <f ca="1"/>
        <v>#NUM!</v>
      </c>
      <c r="BB43" t="b">
        <f ca="1"/>
        <v>0</v>
      </c>
      <c r="BC43" t="b">
        <f ca="1"/>
        <v>0</v>
      </c>
      <c r="BD43" t="b">
        <f ca="1"/>
        <v>0</v>
      </c>
      <c r="BE43" t="b">
        <f ca="1"/>
        <v>0</v>
      </c>
    </row>
    <row r="44" spans="3:57" x14ac:dyDescent="0.4">
      <c r="C44" s="1">
        <f ca="1"/>
        <v>68</v>
      </c>
      <c r="D44" s="1" t="str">
        <f ca="1"/>
        <v>Unit 7-TH1-0104</v>
      </c>
      <c r="E44" s="1" t="str">
        <f ca="1"/>
        <v>Vacant ready</v>
      </c>
      <c r="F44" s="1" vm="105">
        <f ca="1"/>
        <v>46048</v>
      </c>
      <c r="G44" s="1" vm="108">
        <f ca="1"/>
        <v>46059</v>
      </c>
      <c r="H44">
        <f ca="1"/>
        <v>22</v>
      </c>
      <c r="I44" t="e">
        <f ca="1"/>
        <v>#NUM!</v>
      </c>
      <c r="J44" t="str">
        <f ca="1"/>
        <v/>
      </c>
      <c r="K44" t="str">
        <f ca="1"/>
        <v>VACANT</v>
      </c>
      <c r="L44" vm="111">
        <f ca="1"/>
        <v>46049</v>
      </c>
      <c r="M44" t="str">
        <f ca="1"/>
        <v>Done</v>
      </c>
      <c r="N44" vm="117">
        <f ca="1"/>
        <v>46050</v>
      </c>
      <c r="O44" t="str">
        <f ca="1"/>
        <v>Done</v>
      </c>
      <c r="P44" vm="116">
        <f ca="1"/>
        <v>46051</v>
      </c>
      <c r="Q44" t="str">
        <f ca="1"/>
        <v>Done</v>
      </c>
      <c r="R44" vm="122">
        <f ca="1"/>
        <v>46056</v>
      </c>
      <c r="S44" t="str">
        <f ca="1"/>
        <v>Done</v>
      </c>
      <c r="T44" vm="119">
        <f ca="1"/>
        <v>46057</v>
      </c>
      <c r="U44" t="str">
        <f ca="1"/>
        <v>Done</v>
      </c>
      <c r="V44" t="str">
        <f ca="1"/>
        <v>Brad</v>
      </c>
      <c r="W44" t="str">
        <f ca="1"/>
        <v xml:space="preserve">Yes stack </v>
      </c>
      <c r="X44" t="str">
        <f ca="1"/>
        <v>No</v>
      </c>
      <c r="Y44" t="str">
        <f ca="1"/>
        <v>7</v>
      </c>
      <c r="Z44" t="str">
        <f ca="1"/>
        <v>TH1</v>
      </c>
      <c r="AA44" t="str">
        <f ca="1"/>
        <v>0104</v>
      </c>
      <c r="AB44" vm="11">
        <f ca="1"/>
        <v>0</v>
      </c>
      <c r="AC44" t="str">
        <f ca="1"/>
        <v/>
      </c>
      <c r="AD44" t="b">
        <f ca="1"/>
        <v>0</v>
      </c>
      <c r="AE44" t="str">
        <f ca="1"/>
        <v/>
      </c>
      <c r="AF44" t="b">
        <f ca="1"/>
        <v>1</v>
      </c>
      <c r="AG44" t="b">
        <f ca="1"/>
        <v>0</v>
      </c>
      <c r="AH44" t="b">
        <f ca="1"/>
        <v>1</v>
      </c>
      <c r="AI44" t="b">
        <f ca="1"/>
        <v>1</v>
      </c>
      <c r="AJ44" t="b">
        <f ca="1"/>
        <v>0</v>
      </c>
      <c r="AK44" t="b">
        <f ca="1"/>
        <v>0</v>
      </c>
      <c r="AL44" t="b">
        <f ca="1"/>
        <v>1</v>
      </c>
      <c r="AM44" t="b">
        <f ca="1"/>
        <v>0</v>
      </c>
      <c r="AN44">
        <f ca="1"/>
        <v>16</v>
      </c>
      <c r="AO44" t="str">
        <f ca="1"/>
        <v>All Tasks Complete</v>
      </c>
      <c r="AP44">
        <f ca="1"/>
        <v>100</v>
      </c>
      <c r="AQ44" t="str">
        <f ca="1"/>
        <v>Inspection</v>
      </c>
      <c r="AR44" t="str">
        <f ca="1"/>
        <v>Paint</v>
      </c>
      <c r="AS44" t="b">
        <f ca="1"/>
        <v>0</v>
      </c>
      <c r="AT44" t="str">
        <f ca="1"/>
        <v>vacant ready</v>
      </c>
      <c r="AU44" t="b">
        <f ca="1"/>
        <v>1</v>
      </c>
      <c r="AV44" t="b">
        <f ca="1"/>
        <v>0</v>
      </c>
      <c r="AW44" t="b">
        <f ca="1"/>
        <v>0</v>
      </c>
      <c r="AX44" t="str">
        <f ca="1"/>
        <v>Apartment Ready</v>
      </c>
      <c r="AY44" t="b">
        <f ca="1"/>
        <v>0</v>
      </c>
      <c r="AZ44" t="str">
        <f ca="1"/>
        <v>🟢 Apartment Ready</v>
      </c>
      <c r="BA44" t="e">
        <f ca="1"/>
        <v>#NUM!</v>
      </c>
      <c r="BB44" t="b">
        <f ca="1"/>
        <v>0</v>
      </c>
      <c r="BC44" t="b">
        <f ca="1"/>
        <v>0</v>
      </c>
      <c r="BD44" t="b">
        <f ca="1"/>
        <v>0</v>
      </c>
      <c r="BE44" t="b">
        <f ca="1"/>
        <v>0</v>
      </c>
    </row>
    <row r="45" spans="3:57" x14ac:dyDescent="0.4">
      <c r="C45" s="1">
        <f ca="1"/>
        <v>67</v>
      </c>
      <c r="D45" s="1" t="str">
        <f ca="1"/>
        <v>Unit 7-02-0116</v>
      </c>
      <c r="E45" s="1" t="str">
        <f ca="1"/>
        <v>Vacant ready</v>
      </c>
      <c r="F45" s="1" vm="123">
        <f ca="1"/>
        <v>46046</v>
      </c>
      <c r="G45" s="1" vm="119">
        <f ca="1"/>
        <v>46057</v>
      </c>
      <c r="H45">
        <f ca="1"/>
        <v>24</v>
      </c>
      <c r="I45" t="e">
        <f ca="1"/>
        <v>#NUM!</v>
      </c>
      <c r="J45" t="str">
        <f ca="1"/>
        <v/>
      </c>
      <c r="K45" t="str">
        <f ca="1"/>
        <v>VACANT</v>
      </c>
      <c r="L45" vm="105">
        <f ca="1"/>
        <v>46048</v>
      </c>
      <c r="M45" t="str">
        <f ca="1"/>
        <v>Done</v>
      </c>
      <c r="N45" vm="111">
        <f ca="1"/>
        <v>46049</v>
      </c>
      <c r="O45" t="str">
        <f ca="1"/>
        <v>Done</v>
      </c>
      <c r="P45" vm="117">
        <f ca="1"/>
        <v>46050</v>
      </c>
      <c r="Q45" t="str">
        <f ca="1"/>
        <v>Done</v>
      </c>
      <c r="R45" vm="121">
        <f ca="1"/>
        <v>46055</v>
      </c>
      <c r="S45" t="str">
        <f ca="1"/>
        <v>Done</v>
      </c>
      <c r="T45" vm="122">
        <f ca="1"/>
        <v>46056</v>
      </c>
      <c r="U45" t="str">
        <f ca="1"/>
        <v>Done</v>
      </c>
      <c r="V45" t="str">
        <f ca="1"/>
        <v>Brad</v>
      </c>
      <c r="W45" t="str">
        <f ca="1"/>
        <v>Yes</v>
      </c>
      <c r="X45" t="str">
        <f ca="1"/>
        <v>No</v>
      </c>
      <c r="Y45" t="str">
        <f ca="1"/>
        <v>7</v>
      </c>
      <c r="Z45" t="str">
        <f ca="1"/>
        <v>02</v>
      </c>
      <c r="AA45" t="str">
        <f ca="1"/>
        <v>0116</v>
      </c>
      <c r="AB45" vm="11">
        <f ca="1"/>
        <v>0</v>
      </c>
      <c r="AC45" t="str">
        <f ca="1"/>
        <v/>
      </c>
      <c r="AD45" t="b">
        <f ca="1"/>
        <v>0</v>
      </c>
      <c r="AE45" t="str">
        <f ca="1"/>
        <v/>
      </c>
      <c r="AF45" t="b">
        <f ca="1"/>
        <v>1</v>
      </c>
      <c r="AG45" t="b">
        <f ca="1"/>
        <v>0</v>
      </c>
      <c r="AH45" t="b">
        <f ca="1"/>
        <v>1</v>
      </c>
      <c r="AI45" t="b">
        <f ca="1"/>
        <v>1</v>
      </c>
      <c r="AJ45" t="b">
        <f ca="1"/>
        <v>0</v>
      </c>
      <c r="AK45" t="b">
        <f ca="1"/>
        <v>0</v>
      </c>
      <c r="AL45" t="b">
        <f ca="1"/>
        <v>1</v>
      </c>
      <c r="AM45" t="b">
        <f ca="1"/>
        <v>0</v>
      </c>
      <c r="AN45">
        <f ca="1"/>
        <v>16</v>
      </c>
      <c r="AO45" t="str">
        <f ca="1"/>
        <v>All Tasks Complete</v>
      </c>
      <c r="AP45">
        <f ca="1"/>
        <v>100</v>
      </c>
      <c r="AQ45" t="str">
        <f ca="1"/>
        <v>Inspection</v>
      </c>
      <c r="AR45" t="str">
        <f ca="1"/>
        <v>Paint</v>
      </c>
      <c r="AS45" t="b">
        <f ca="1"/>
        <v>0</v>
      </c>
      <c r="AT45" t="str">
        <f ca="1"/>
        <v>vacant ready</v>
      </c>
      <c r="AU45" t="b">
        <f ca="1"/>
        <v>1</v>
      </c>
      <c r="AV45" t="b">
        <f ca="1"/>
        <v>0</v>
      </c>
      <c r="AW45" t="b">
        <f ca="1"/>
        <v>0</v>
      </c>
      <c r="AX45" t="str">
        <f ca="1"/>
        <v>Apartment Ready</v>
      </c>
      <c r="AY45" t="b">
        <f ca="1"/>
        <v>0</v>
      </c>
      <c r="AZ45" t="str">
        <f ca="1"/>
        <v>🟢 Apartment Ready</v>
      </c>
      <c r="BA45" t="e">
        <f ca="1"/>
        <v>#NUM!</v>
      </c>
      <c r="BB45" t="b">
        <f ca="1"/>
        <v>0</v>
      </c>
      <c r="BC45" t="b">
        <f ca="1"/>
        <v>0</v>
      </c>
      <c r="BD45" t="b">
        <f ca="1"/>
        <v>0</v>
      </c>
      <c r="BE45" t="b">
        <f ca="1"/>
        <v>0</v>
      </c>
    </row>
    <row r="46" spans="3:57" x14ac:dyDescent="0.4">
      <c r="C46" s="1">
        <f ca="1"/>
        <v>70</v>
      </c>
      <c r="D46" s="1" t="str">
        <f ca="1"/>
        <v>Unit 8-01-1048</v>
      </c>
      <c r="E46" s="1" t="str">
        <f ca="1"/>
        <v>Vacant ready</v>
      </c>
      <c r="F46" s="1" vm="116">
        <f ca="1"/>
        <v>46051</v>
      </c>
      <c r="G46" s="1" vm="124">
        <f ca="1"/>
        <v>46062</v>
      </c>
      <c r="H46">
        <f ca="1"/>
        <v>19</v>
      </c>
      <c r="I46" t="e">
        <f ca="1"/>
        <v>#NUM!</v>
      </c>
      <c r="J46" t="str">
        <f ca="1"/>
        <v/>
      </c>
      <c r="K46" t="str">
        <f ca="1"/>
        <v>VACANT</v>
      </c>
      <c r="L46" vm="120">
        <f ca="1"/>
        <v>46052</v>
      </c>
      <c r="M46" t="str">
        <f ca="1"/>
        <v>Done</v>
      </c>
      <c r="N46" vm="121">
        <f ca="1"/>
        <v>46055</v>
      </c>
      <c r="O46" t="str">
        <f ca="1"/>
        <v>Done</v>
      </c>
      <c r="P46" vm="122">
        <f ca="1"/>
        <v>46056</v>
      </c>
      <c r="Q46" t="str">
        <f ca="1"/>
        <v>Done</v>
      </c>
      <c r="R46" vm="108">
        <f ca="1"/>
        <v>46059</v>
      </c>
      <c r="S46" t="str">
        <f ca="1"/>
        <v>Done</v>
      </c>
      <c r="T46" vm="124">
        <f ca="1"/>
        <v>46062</v>
      </c>
      <c r="U46" t="str">
        <f ca="1"/>
        <v>Done</v>
      </c>
      <c r="V46" t="str">
        <f ca="1"/>
        <v xml:space="preserve">Michael </v>
      </c>
      <c r="W46" t="str">
        <f ca="1"/>
        <v>Yes</v>
      </c>
      <c r="X46" t="str">
        <f ca="1"/>
        <v>No</v>
      </c>
      <c r="Y46" t="str">
        <f ca="1"/>
        <v>8</v>
      </c>
      <c r="Z46" t="str">
        <f ca="1"/>
        <v>01</v>
      </c>
      <c r="AA46" t="str">
        <f ca="1"/>
        <v>1048</v>
      </c>
      <c r="AB46" vm="11">
        <f ca="1"/>
        <v>0</v>
      </c>
      <c r="AC46" t="str">
        <f ca="1"/>
        <v/>
      </c>
      <c r="AD46" t="b">
        <f ca="1"/>
        <v>0</v>
      </c>
      <c r="AE46" t="str">
        <f ca="1"/>
        <v/>
      </c>
      <c r="AF46" t="b">
        <f ca="1"/>
        <v>1</v>
      </c>
      <c r="AG46" t="b">
        <f ca="1"/>
        <v>0</v>
      </c>
      <c r="AH46" t="b">
        <f ca="1"/>
        <v>1</v>
      </c>
      <c r="AI46" t="b">
        <f ca="1"/>
        <v>1</v>
      </c>
      <c r="AJ46" t="b">
        <f ca="1"/>
        <v>0</v>
      </c>
      <c r="AK46" t="b">
        <f ca="1"/>
        <v>0</v>
      </c>
      <c r="AL46" t="b">
        <f ca="1"/>
        <v>1</v>
      </c>
      <c r="AM46" t="b">
        <f ca="1"/>
        <v>0</v>
      </c>
      <c r="AN46">
        <f ca="1"/>
        <v>13</v>
      </c>
      <c r="AO46" t="str">
        <f ca="1"/>
        <v>All Tasks Complete</v>
      </c>
      <c r="AP46">
        <f ca="1"/>
        <v>100</v>
      </c>
      <c r="AQ46" t="str">
        <f ca="1"/>
        <v>Inspection</v>
      </c>
      <c r="AR46" t="str">
        <f ca="1"/>
        <v>Paint</v>
      </c>
      <c r="AS46" t="b">
        <f ca="1"/>
        <v>0</v>
      </c>
      <c r="AT46" t="str">
        <f ca="1"/>
        <v>vacant ready</v>
      </c>
      <c r="AU46" t="b">
        <f ca="1"/>
        <v>1</v>
      </c>
      <c r="AV46" t="b">
        <f ca="1"/>
        <v>0</v>
      </c>
      <c r="AW46" t="b">
        <f ca="1"/>
        <v>0</v>
      </c>
      <c r="AX46" t="str">
        <f ca="1"/>
        <v>Apartment Ready</v>
      </c>
      <c r="AY46" t="b">
        <f ca="1"/>
        <v>0</v>
      </c>
      <c r="AZ46" t="str">
        <f ca="1"/>
        <v>🟢 Apartment Ready</v>
      </c>
      <c r="BA46" t="e">
        <f ca="1"/>
        <v>#NUM!</v>
      </c>
      <c r="BB46" t="b">
        <f ca="1"/>
        <v>0</v>
      </c>
      <c r="BC46" t="b">
        <f ca="1"/>
        <v>0</v>
      </c>
      <c r="BD46" t="b">
        <f ca="1"/>
        <v>0</v>
      </c>
      <c r="BE46" t="b">
        <f ca="1"/>
        <v>0</v>
      </c>
    </row>
    <row r="47" spans="3:57" x14ac:dyDescent="0.4">
      <c r="C47" s="1">
        <f ca="1"/>
        <v>71</v>
      </c>
      <c r="D47" s="1" t="str">
        <f ca="1"/>
        <v>Unit 5-18-0346</v>
      </c>
      <c r="E47" s="1" t="str">
        <f ca="1"/>
        <v>Vacant ready</v>
      </c>
      <c r="F47" s="1" vm="121">
        <f ca="1"/>
        <v>46055</v>
      </c>
      <c r="G47" s="1" vm="125">
        <f ca="1"/>
        <v>46065</v>
      </c>
      <c r="H47">
        <f ca="1"/>
        <v>15</v>
      </c>
      <c r="I47" t="e">
        <f ca="1"/>
        <v>#NUM!</v>
      </c>
      <c r="J47" t="str">
        <f ca="1"/>
        <v/>
      </c>
      <c r="K47" t="str">
        <f ca="1"/>
        <v>VACANT</v>
      </c>
      <c r="L47" vm="122">
        <f ca="1"/>
        <v>46056</v>
      </c>
      <c r="M47" t="str">
        <f ca="1"/>
        <v>Done</v>
      </c>
      <c r="N47" vm="119">
        <f ca="1"/>
        <v>46057</v>
      </c>
      <c r="O47" t="str">
        <f ca="1"/>
        <v>Done</v>
      </c>
      <c r="P47" vm="126">
        <f ca="1"/>
        <v>46058</v>
      </c>
      <c r="Q47" t="str">
        <f ca="1"/>
        <v>Done</v>
      </c>
      <c r="R47" vm="127">
        <f ca="1"/>
        <v>46063</v>
      </c>
      <c r="S47" t="str">
        <f ca="1"/>
        <v>Done</v>
      </c>
      <c r="T47" vm="128">
        <f ca="1"/>
        <v>46064</v>
      </c>
      <c r="U47" t="str">
        <f ca="1"/>
        <v>Done</v>
      </c>
      <c r="V47" t="str">
        <f ca="1"/>
        <v>Total</v>
      </c>
      <c r="W47" t="str">
        <f ca="1"/>
        <v>Yes</v>
      </c>
      <c r="X47" t="str">
        <f ca="1"/>
        <v>No</v>
      </c>
      <c r="Y47" t="str">
        <f ca="1"/>
        <v>5</v>
      </c>
      <c r="Z47" t="str">
        <f ca="1"/>
        <v>18</v>
      </c>
      <c r="AA47" t="str">
        <f ca="1"/>
        <v>0346</v>
      </c>
      <c r="AB47" vm="11">
        <f ca="1"/>
        <v>0</v>
      </c>
      <c r="AC47" t="str">
        <f ca="1"/>
        <v/>
      </c>
      <c r="AD47" t="b">
        <f ca="1"/>
        <v>0</v>
      </c>
      <c r="AE47" t="str">
        <f ca="1"/>
        <v/>
      </c>
      <c r="AF47" t="b">
        <f ca="1"/>
        <v>0</v>
      </c>
      <c r="AG47" t="b">
        <f ca="1"/>
        <v>0</v>
      </c>
      <c r="AH47" t="b">
        <f ca="1"/>
        <v>1</v>
      </c>
      <c r="AI47" t="b">
        <f ca="1"/>
        <v>1</v>
      </c>
      <c r="AJ47" t="b">
        <f ca="1"/>
        <v>0</v>
      </c>
      <c r="AK47" t="b">
        <f ca="1"/>
        <v>0</v>
      </c>
      <c r="AL47" t="b">
        <f ca="1"/>
        <v>1</v>
      </c>
      <c r="AM47" t="b">
        <f ca="1"/>
        <v>0</v>
      </c>
      <c r="AN47">
        <f ca="1"/>
        <v>11</v>
      </c>
      <c r="AO47" t="str">
        <f ca="1"/>
        <v>All Tasks Complete</v>
      </c>
      <c r="AP47">
        <f ca="1"/>
        <v>100</v>
      </c>
      <c r="AQ47" t="str">
        <f ca="1"/>
        <v>Inspection</v>
      </c>
      <c r="AR47" t="str">
        <f ca="1"/>
        <v>Paint</v>
      </c>
      <c r="AS47" t="b">
        <f ca="1"/>
        <v>0</v>
      </c>
      <c r="AT47" t="str">
        <f ca="1"/>
        <v>vacant ready</v>
      </c>
      <c r="AU47" t="b">
        <f ca="1"/>
        <v>1</v>
      </c>
      <c r="AV47" t="b">
        <f ca="1"/>
        <v>0</v>
      </c>
      <c r="AW47" t="b">
        <f ca="1"/>
        <v>0</v>
      </c>
      <c r="AX47" t="str">
        <f ca="1"/>
        <v>Apartment Ready</v>
      </c>
      <c r="AY47" t="b">
        <f ca="1"/>
        <v>0</v>
      </c>
      <c r="AZ47" t="str">
        <f ca="1"/>
        <v>🟢 Apartment Ready</v>
      </c>
      <c r="BA47" t="e">
        <f ca="1"/>
        <v>#NUM!</v>
      </c>
      <c r="BB47" t="b">
        <f ca="1"/>
        <v>0</v>
      </c>
      <c r="BC47" t="b">
        <f ca="1"/>
        <v>0</v>
      </c>
      <c r="BD47" t="b">
        <f ca="1"/>
        <v>0</v>
      </c>
      <c r="BE47" t="b">
        <f ca="1"/>
        <v>0</v>
      </c>
    </row>
    <row r="48" spans="3:57" x14ac:dyDescent="0.4">
      <c r="C48" s="1">
        <f ca="1"/>
        <v>9</v>
      </c>
      <c r="D48" s="1" t="str">
        <f ca="1"/>
        <v>Unit 5-18-0206</v>
      </c>
      <c r="E48" s="1" t="str">
        <f ca="1"/>
        <v>Vacant not ready</v>
      </c>
      <c r="F48" s="1" vm="114">
        <f ca="1"/>
        <v>46053</v>
      </c>
      <c r="G48" s="1" vm="128">
        <f ca="1"/>
        <v>46064</v>
      </c>
      <c r="H48">
        <f ca="1"/>
        <v>17</v>
      </c>
      <c r="I48" vm="129">
        <f ca="1"/>
        <v>46080</v>
      </c>
      <c r="J48">
        <f ca="1"/>
        <v>-10</v>
      </c>
      <c r="K48" t="str">
        <f ca="1"/>
        <v>SMI</v>
      </c>
      <c r="L48" vm="121">
        <f ca="1"/>
        <v>46055</v>
      </c>
      <c r="M48" t="str">
        <f ca="1"/>
        <v>Done</v>
      </c>
      <c r="N48" vm="122">
        <f ca="1"/>
        <v>46056</v>
      </c>
      <c r="O48" t="str">
        <f ca="1"/>
        <v>In Progress</v>
      </c>
      <c r="P48" vm="119">
        <f ca="1"/>
        <v>46057</v>
      </c>
      <c r="Q48" t="str">
        <f ca="1"/>
        <v>In Progress</v>
      </c>
      <c r="R48" vm="124">
        <f ca="1"/>
        <v>46062</v>
      </c>
      <c r="S48" t="str">
        <f ca="1"/>
        <v>In Progress</v>
      </c>
      <c r="T48" vm="127">
        <f ca="1"/>
        <v>46063</v>
      </c>
      <c r="U48" t="str">
        <f ca="1"/>
        <v>Scheduled</v>
      </c>
      <c r="V48" t="str">
        <f ca="1"/>
        <v>Total</v>
      </c>
      <c r="W48" t="str">
        <f ca="1"/>
        <v>Yes</v>
      </c>
      <c r="X48" t="str">
        <f ca="1"/>
        <v>No</v>
      </c>
      <c r="Y48" t="str">
        <f ca="1"/>
        <v>5</v>
      </c>
      <c r="Z48" t="str">
        <f ca="1"/>
        <v>18</v>
      </c>
      <c r="AA48" t="str">
        <f ca="1"/>
        <v>0206</v>
      </c>
      <c r="AB48" vm="11">
        <f ca="1"/>
        <v>0</v>
      </c>
      <c r="AC48" t="str">
        <f ca="1"/>
        <v/>
      </c>
      <c r="AD48" t="b">
        <f ca="1"/>
        <v>0</v>
      </c>
      <c r="AE48" t="str">
        <f ca="1"/>
        <v/>
      </c>
      <c r="AF48" t="b">
        <f ca="1"/>
        <v>0</v>
      </c>
      <c r="AG48" t="b">
        <f ca="1"/>
        <v>1</v>
      </c>
      <c r="AH48" t="b">
        <f ca="1"/>
        <v>1</v>
      </c>
      <c r="AI48" t="b">
        <f ca="1"/>
        <v>0</v>
      </c>
      <c r="AJ48" t="b">
        <f ca="1"/>
        <v>1</v>
      </c>
      <c r="AK48" t="b">
        <f ca="1"/>
        <v>0</v>
      </c>
      <c r="AL48" t="b">
        <f ca="1"/>
        <v>1</v>
      </c>
      <c r="AM48" t="b">
        <f ca="1"/>
        <v>0</v>
      </c>
      <c r="AN48">
        <f ca="1"/>
        <v>11</v>
      </c>
      <c r="AO48" t="str">
        <f ca="1"/>
        <v>In Progress</v>
      </c>
      <c r="AP48">
        <f ca="1"/>
        <v>20</v>
      </c>
      <c r="AQ48" t="str">
        <f ca="1"/>
        <v>Paint</v>
      </c>
      <c r="AR48" t="str">
        <f ca="1"/>
        <v>MR</v>
      </c>
      <c r="AS48" t="b">
        <f ca="1"/>
        <v>0</v>
      </c>
      <c r="AT48" t="str">
        <f ca="1"/>
        <v>vacant not ready</v>
      </c>
      <c r="AU48" t="b">
        <f ca="1"/>
        <v>0</v>
      </c>
      <c r="AV48" t="b">
        <f ca="1"/>
        <v>0</v>
      </c>
      <c r="AW48" t="b">
        <f ca="1"/>
        <v>0</v>
      </c>
      <c r="AX48" t="str">
        <f ca="1"/>
        <v>In Progress</v>
      </c>
      <c r="AY48" t="b">
        <f ca="1"/>
        <v>0</v>
      </c>
      <c r="AZ48" t="str">
        <f ca="1"/>
        <v>📅 Scheduled to Move In</v>
      </c>
      <c r="BA48">
        <f ca="1"/>
        <v>10</v>
      </c>
      <c r="BB48" t="b">
        <f ca="1"/>
        <v>0</v>
      </c>
      <c r="BC48" t="b">
        <f ca="1"/>
        <v>0</v>
      </c>
      <c r="BD48" t="b">
        <f ca="1"/>
        <v>0</v>
      </c>
      <c r="BE48" t="b">
        <f ca="1"/>
        <v>1</v>
      </c>
    </row>
    <row r="49" spans="3:57" x14ac:dyDescent="0.4">
      <c r="C49" s="1">
        <f ca="1"/>
        <v>2</v>
      </c>
      <c r="D49" s="1" t="str">
        <f ca="1"/>
        <v>Unit 8-01-3008</v>
      </c>
      <c r="E49" s="1" t="str">
        <f ca="1"/>
        <v>Vacant not ready</v>
      </c>
      <c r="F49" s="1" vm="119">
        <f ca="1"/>
        <v>46057</v>
      </c>
      <c r="G49" s="1" vm="130">
        <f ca="1"/>
        <v>46067</v>
      </c>
      <c r="H49">
        <f ca="1"/>
        <v>13</v>
      </c>
      <c r="I49" vm="131">
        <f ca="1"/>
        <v>46072</v>
      </c>
      <c r="J49">
        <f ca="1"/>
        <v>-2</v>
      </c>
      <c r="K49" t="str">
        <f ca="1"/>
        <v>SMI</v>
      </c>
      <c r="L49" vm="126">
        <f ca="1"/>
        <v>46058</v>
      </c>
      <c r="M49" t="str">
        <f ca="1"/>
        <v>Done</v>
      </c>
      <c r="N49" vm="108">
        <f ca="1"/>
        <v>46059</v>
      </c>
      <c r="O49" t="str">
        <f ca="1"/>
        <v>In Progress</v>
      </c>
      <c r="P49" vm="124">
        <f ca="1"/>
        <v>46062</v>
      </c>
      <c r="Q49" t="str">
        <f ca="1"/>
        <v>Scheduled</v>
      </c>
      <c r="R49" vm="125">
        <f ca="1"/>
        <v>46065</v>
      </c>
      <c r="S49" t="str">
        <f ca="1"/>
        <v>In Progress</v>
      </c>
      <c r="T49" vm="112">
        <f ca="1"/>
        <v>46066</v>
      </c>
      <c r="U49" t="str">
        <f ca="1"/>
        <v>Scheduled</v>
      </c>
      <c r="V49" t="str">
        <f ca="1"/>
        <v xml:space="preserve">Michael </v>
      </c>
      <c r="W49" t="str">
        <f ca="1"/>
        <v>No</v>
      </c>
      <c r="X49" t="str">
        <f ca="1"/>
        <v>No</v>
      </c>
      <c r="Y49" t="str">
        <f ca="1"/>
        <v>8</v>
      </c>
      <c r="Z49" t="str">
        <f ca="1"/>
        <v>01</v>
      </c>
      <c r="AA49" t="str">
        <f ca="1"/>
        <v>3008</v>
      </c>
      <c r="AB49" vm="11">
        <f ca="1"/>
        <v>0</v>
      </c>
      <c r="AC49" t="str">
        <f ca="1"/>
        <v/>
      </c>
      <c r="AD49" t="b">
        <f ca="1"/>
        <v>0</v>
      </c>
      <c r="AE49" t="str">
        <f ca="1"/>
        <v/>
      </c>
      <c r="AF49" t="b">
        <f ca="1"/>
        <v>1</v>
      </c>
      <c r="AG49" t="b">
        <f ca="1"/>
        <v>1</v>
      </c>
      <c r="AH49" t="b">
        <f ca="1"/>
        <v>1</v>
      </c>
      <c r="AI49" t="b">
        <f ca="1"/>
        <v>0</v>
      </c>
      <c r="AJ49" t="b">
        <f ca="1"/>
        <v>1</v>
      </c>
      <c r="AK49" t="b">
        <f ca="1"/>
        <v>0</v>
      </c>
      <c r="AL49" t="b">
        <f ca="1"/>
        <v>1</v>
      </c>
      <c r="AM49" t="b">
        <f ca="1"/>
        <v>0</v>
      </c>
      <c r="AN49">
        <f ca="1"/>
        <v>9</v>
      </c>
      <c r="AO49" t="str">
        <f ca="1"/>
        <v>In Progress</v>
      </c>
      <c r="AP49">
        <f ca="1"/>
        <v>20</v>
      </c>
      <c r="AQ49" t="str">
        <f ca="1"/>
        <v>Paint</v>
      </c>
      <c r="AR49" t="str">
        <f ca="1"/>
        <v>MR</v>
      </c>
      <c r="AS49" t="b">
        <f ca="1"/>
        <v>0</v>
      </c>
      <c r="AT49" t="str">
        <f ca="1"/>
        <v>vacant not ready</v>
      </c>
      <c r="AU49" t="b">
        <f ca="1"/>
        <v>0</v>
      </c>
      <c r="AV49" t="b">
        <f ca="1"/>
        <v>0</v>
      </c>
      <c r="AW49" t="b">
        <f ca="1"/>
        <v>0</v>
      </c>
      <c r="AX49" t="str">
        <f ca="1"/>
        <v>In Progress</v>
      </c>
      <c r="AY49" t="b">
        <f ca="1"/>
        <v>0</v>
      </c>
      <c r="AZ49" t="str">
        <f ca="1"/>
        <v>📅 Scheduled to Move In</v>
      </c>
      <c r="BA49">
        <f ca="1"/>
        <v>2</v>
      </c>
      <c r="BB49" t="b">
        <f ca="1"/>
        <v>0</v>
      </c>
      <c r="BC49" t="b">
        <f ca="1"/>
        <v>0</v>
      </c>
      <c r="BD49" t="b">
        <f ca="1"/>
        <v>1</v>
      </c>
      <c r="BE49" t="b">
        <f ca="1"/>
        <v>1</v>
      </c>
    </row>
    <row r="50" spans="3:57" x14ac:dyDescent="0.4">
      <c r="C50" s="1">
        <f ca="1"/>
        <v>3</v>
      </c>
      <c r="D50" s="1" t="str">
        <f ca="1"/>
        <v>Unit 5-18-0131</v>
      </c>
      <c r="E50" s="1" t="str">
        <f ca="1"/>
        <v>Vacant not ready</v>
      </c>
      <c r="F50" s="1" vm="126">
        <f ca="1"/>
        <v>46058</v>
      </c>
      <c r="G50" s="1" vm="132">
        <f ca="1"/>
        <v>46068</v>
      </c>
      <c r="H50">
        <f ca="1"/>
        <v>12</v>
      </c>
      <c r="I50" vm="131">
        <f ca="1"/>
        <v>46072</v>
      </c>
      <c r="J50">
        <f ca="1"/>
        <v>-2</v>
      </c>
      <c r="K50" t="str">
        <f ca="1"/>
        <v>SMI</v>
      </c>
      <c r="L50" vm="108">
        <f ca="1"/>
        <v>46059</v>
      </c>
      <c r="M50" t="str">
        <f ca="1"/>
        <v>Done</v>
      </c>
      <c r="N50" vm="124">
        <f ca="1"/>
        <v>46062</v>
      </c>
      <c r="O50" t="str">
        <f ca="1"/>
        <v>In Progress</v>
      </c>
      <c r="P50" vm="127">
        <f ca="1"/>
        <v>46063</v>
      </c>
      <c r="Q50" t="str">
        <f ca="1"/>
        <v>In Progress</v>
      </c>
      <c r="R50" vm="112">
        <f ca="1"/>
        <v>46066</v>
      </c>
      <c r="S50" t="str">
        <f ca="1"/>
        <v>In Progress</v>
      </c>
      <c r="T50" vm="133">
        <f ca="1"/>
        <v>46069</v>
      </c>
      <c r="U50" t="str">
        <f ca="1"/>
        <v>Scheduled</v>
      </c>
      <c r="V50" t="str">
        <f ca="1"/>
        <v>Total</v>
      </c>
      <c r="W50" t="str">
        <f ca="1"/>
        <v>No</v>
      </c>
      <c r="X50" t="str">
        <f ca="1"/>
        <v>No</v>
      </c>
      <c r="Y50" t="str">
        <f ca="1"/>
        <v>5</v>
      </c>
      <c r="Z50" t="str">
        <f ca="1"/>
        <v>18</v>
      </c>
      <c r="AA50" t="str">
        <f ca="1"/>
        <v>0131</v>
      </c>
      <c r="AB50" vm="11">
        <f ca="1"/>
        <v>0</v>
      </c>
      <c r="AC50" t="str">
        <f ca="1"/>
        <v/>
      </c>
      <c r="AD50" t="b">
        <f ca="1"/>
        <v>0</v>
      </c>
      <c r="AE50" t="str">
        <f ca="1"/>
        <v/>
      </c>
      <c r="AF50" t="b">
        <f ca="1"/>
        <v>0</v>
      </c>
      <c r="AG50" t="b">
        <f ca="1"/>
        <v>1</v>
      </c>
      <c r="AH50" t="b">
        <f ca="1"/>
        <v>1</v>
      </c>
      <c r="AI50" t="b">
        <f ca="1"/>
        <v>0</v>
      </c>
      <c r="AJ50" t="b">
        <f ca="1"/>
        <v>1</v>
      </c>
      <c r="AK50" t="b">
        <f ca="1"/>
        <v>0</v>
      </c>
      <c r="AL50" t="b">
        <f ca="1"/>
        <v>1</v>
      </c>
      <c r="AM50" t="b">
        <f ca="1"/>
        <v>0</v>
      </c>
      <c r="AN50">
        <f ca="1"/>
        <v>8</v>
      </c>
      <c r="AO50" t="str">
        <f ca="1"/>
        <v>In Progress</v>
      </c>
      <c r="AP50">
        <f ca="1"/>
        <v>20</v>
      </c>
      <c r="AQ50" t="str">
        <f ca="1"/>
        <v>Paint</v>
      </c>
      <c r="AR50" t="str">
        <f ca="1"/>
        <v>MR</v>
      </c>
      <c r="AS50" t="b">
        <f ca="1"/>
        <v>0</v>
      </c>
      <c r="AT50" t="str">
        <f ca="1"/>
        <v>vacant not ready</v>
      </c>
      <c r="AU50" t="b">
        <f ca="1"/>
        <v>0</v>
      </c>
      <c r="AV50" t="b">
        <f ca="1"/>
        <v>0</v>
      </c>
      <c r="AW50" t="b">
        <f ca="1"/>
        <v>0</v>
      </c>
      <c r="AX50" t="str">
        <f ca="1"/>
        <v>In Progress</v>
      </c>
      <c r="AY50" t="b">
        <f ca="1"/>
        <v>0</v>
      </c>
      <c r="AZ50" t="str">
        <f ca="1"/>
        <v>📅 Scheduled to Move In</v>
      </c>
      <c r="BA50">
        <f ca="1"/>
        <v>2</v>
      </c>
      <c r="BB50" t="b">
        <f ca="1"/>
        <v>0</v>
      </c>
      <c r="BC50" t="b">
        <f ca="1"/>
        <v>0</v>
      </c>
      <c r="BD50" t="b">
        <f ca="1"/>
        <v>1</v>
      </c>
      <c r="BE50" t="b">
        <f ca="1"/>
        <v>1</v>
      </c>
    </row>
    <row r="51" spans="3:57" x14ac:dyDescent="0.4">
      <c r="C51" s="1">
        <f ca="1"/>
        <v>4</v>
      </c>
      <c r="D51" s="1" t="str">
        <f ca="1"/>
        <v>Unit 8-01-1049</v>
      </c>
      <c r="E51" s="1" t="str">
        <f ca="1"/>
        <v>Vacant not ready</v>
      </c>
      <c r="F51" s="1" vm="126">
        <f ca="1"/>
        <v>46058</v>
      </c>
      <c r="G51" s="1" vm="132">
        <f ca="1"/>
        <v>46068</v>
      </c>
      <c r="H51">
        <f ca="1"/>
        <v>12</v>
      </c>
      <c r="I51" vm="134">
        <f ca="1"/>
        <v>46073</v>
      </c>
      <c r="J51">
        <f ca="1"/>
        <v>-3</v>
      </c>
      <c r="K51" t="str">
        <f ca="1"/>
        <v>SMI</v>
      </c>
      <c r="L51" vm="108">
        <f ca="1"/>
        <v>46059</v>
      </c>
      <c r="M51" t="str">
        <f ca="1"/>
        <v>Done</v>
      </c>
      <c r="N51" vm="124">
        <f ca="1"/>
        <v>46062</v>
      </c>
      <c r="O51" t="str">
        <f ca="1"/>
        <v>In Progress</v>
      </c>
      <c r="P51" vm="127">
        <f ca="1"/>
        <v>46063</v>
      </c>
      <c r="Q51" t="str">
        <f ca="1"/>
        <v>Scheduled</v>
      </c>
      <c r="R51" vm="112">
        <f ca="1"/>
        <v>46066</v>
      </c>
      <c r="S51" t="str">
        <f ca="1"/>
        <v>In Progress</v>
      </c>
      <c r="T51" vm="133">
        <f ca="1"/>
        <v>46069</v>
      </c>
      <c r="U51" t="str">
        <f ca="1"/>
        <v>Scheduled</v>
      </c>
      <c r="V51" t="str">
        <f ca="1"/>
        <v xml:space="preserve">Michael </v>
      </c>
      <c r="W51" t="str">
        <f ca="1"/>
        <v>Yes</v>
      </c>
      <c r="X51" t="str">
        <f ca="1"/>
        <v>No</v>
      </c>
      <c r="Y51" t="str">
        <f ca="1"/>
        <v>8</v>
      </c>
      <c r="Z51" t="str">
        <f ca="1"/>
        <v>01</v>
      </c>
      <c r="AA51" t="str">
        <f ca="1"/>
        <v>1049</v>
      </c>
      <c r="AB51" vm="11">
        <f ca="1"/>
        <v>0</v>
      </c>
      <c r="AC51" t="str">
        <f ca="1"/>
        <v/>
      </c>
      <c r="AD51" t="b">
        <f ca="1"/>
        <v>0</v>
      </c>
      <c r="AE51" t="str">
        <f ca="1"/>
        <v/>
      </c>
      <c r="AF51" t="b">
        <f ca="1"/>
        <v>1</v>
      </c>
      <c r="AG51" t="b">
        <f ca="1"/>
        <v>1</v>
      </c>
      <c r="AH51" t="b">
        <f ca="1"/>
        <v>1</v>
      </c>
      <c r="AI51" t="b">
        <f ca="1"/>
        <v>0</v>
      </c>
      <c r="AJ51" t="b">
        <f ca="1"/>
        <v>1</v>
      </c>
      <c r="AK51" t="b">
        <f ca="1"/>
        <v>0</v>
      </c>
      <c r="AL51" t="b">
        <f ca="1"/>
        <v>1</v>
      </c>
      <c r="AM51" t="b">
        <f ca="1"/>
        <v>0</v>
      </c>
      <c r="AN51">
        <f ca="1"/>
        <v>8</v>
      </c>
      <c r="AO51" t="str">
        <f ca="1"/>
        <v>In Progress</v>
      </c>
      <c r="AP51">
        <f ca="1"/>
        <v>20</v>
      </c>
      <c r="AQ51" t="str">
        <f ca="1"/>
        <v>Paint</v>
      </c>
      <c r="AR51" t="str">
        <f ca="1"/>
        <v>MR</v>
      </c>
      <c r="AS51" t="b">
        <f ca="1"/>
        <v>0</v>
      </c>
      <c r="AT51" t="str">
        <f ca="1"/>
        <v>vacant not ready</v>
      </c>
      <c r="AU51" t="b">
        <f ca="1"/>
        <v>0</v>
      </c>
      <c r="AV51" t="b">
        <f ca="1"/>
        <v>0</v>
      </c>
      <c r="AW51" t="b">
        <f ca="1"/>
        <v>0</v>
      </c>
      <c r="AX51" t="str">
        <f ca="1"/>
        <v>In Progress</v>
      </c>
      <c r="AY51" t="b">
        <f ca="1"/>
        <v>0</v>
      </c>
      <c r="AZ51" t="str">
        <f ca="1"/>
        <v>📅 Scheduled to Move In</v>
      </c>
      <c r="BA51">
        <f ca="1"/>
        <v>3</v>
      </c>
      <c r="BB51" t="b">
        <f ca="1"/>
        <v>0</v>
      </c>
      <c r="BC51" t="b">
        <f ca="1"/>
        <v>0</v>
      </c>
      <c r="BD51" t="b">
        <f ca="1"/>
        <v>0</v>
      </c>
      <c r="BE51" t="b">
        <f ca="1"/>
        <v>1</v>
      </c>
    </row>
    <row r="52" spans="3:57" x14ac:dyDescent="0.4">
      <c r="C52" s="1">
        <f ca="1"/>
        <v>7</v>
      </c>
      <c r="D52" s="1" t="str">
        <f ca="1"/>
        <v>Unit 5-17-0114</v>
      </c>
      <c r="E52" s="1" t="str">
        <f ca="1"/>
        <v>Vacant not ready</v>
      </c>
      <c r="F52" s="1" vm="126">
        <f ca="1"/>
        <v>46058</v>
      </c>
      <c r="G52" s="1" vm="132">
        <f ca="1"/>
        <v>46068</v>
      </c>
      <c r="H52">
        <f ca="1"/>
        <v>12</v>
      </c>
      <c r="I52" vm="135">
        <f ca="1"/>
        <v>46078</v>
      </c>
      <c r="J52">
        <f ca="1"/>
        <v>-8</v>
      </c>
      <c r="K52" t="str">
        <f ca="1"/>
        <v>SMI</v>
      </c>
      <c r="L52" vm="108">
        <f ca="1"/>
        <v>46059</v>
      </c>
      <c r="M52" t="str">
        <f ca="1"/>
        <v>Done</v>
      </c>
      <c r="N52" vm="124">
        <f ca="1"/>
        <v>46062</v>
      </c>
      <c r="O52" t="str">
        <f ca="1"/>
        <v>In Progress</v>
      </c>
      <c r="P52" vm="127">
        <f ca="1"/>
        <v>46063</v>
      </c>
      <c r="Q52" t="str">
        <f ca="1"/>
        <v>In Progress</v>
      </c>
      <c r="R52" vm="112">
        <f ca="1"/>
        <v>46066</v>
      </c>
      <c r="S52" t="str">
        <f ca="1"/>
        <v>In Progress</v>
      </c>
      <c r="T52" vm="133">
        <f ca="1"/>
        <v>46069</v>
      </c>
      <c r="U52" t="str">
        <f ca="1"/>
        <v>Scheduled</v>
      </c>
      <c r="V52" t="str">
        <f ca="1"/>
        <v>Total</v>
      </c>
      <c r="W52" t="str">
        <f ca="1"/>
        <v>Yes</v>
      </c>
      <c r="X52" t="str">
        <f ca="1"/>
        <v>No</v>
      </c>
      <c r="Y52" t="str">
        <f ca="1"/>
        <v>5</v>
      </c>
      <c r="Z52" t="str">
        <f ca="1"/>
        <v>17</v>
      </c>
      <c r="AA52" t="str">
        <f ca="1"/>
        <v>0114</v>
      </c>
      <c r="AB52" vm="11">
        <f ca="1"/>
        <v>0</v>
      </c>
      <c r="AC52" t="str">
        <f ca="1"/>
        <v/>
      </c>
      <c r="AD52" t="b">
        <f ca="1"/>
        <v>0</v>
      </c>
      <c r="AE52" t="str">
        <f ca="1"/>
        <v/>
      </c>
      <c r="AF52" t="b">
        <f ca="1"/>
        <v>0</v>
      </c>
      <c r="AG52" t="b">
        <f ca="1"/>
        <v>1</v>
      </c>
      <c r="AH52" t="b">
        <f ca="1"/>
        <v>1</v>
      </c>
      <c r="AI52" t="b">
        <f ca="1"/>
        <v>0</v>
      </c>
      <c r="AJ52" t="b">
        <f ca="1"/>
        <v>1</v>
      </c>
      <c r="AK52" t="b">
        <f ca="1"/>
        <v>0</v>
      </c>
      <c r="AL52" t="b">
        <f ca="1"/>
        <v>1</v>
      </c>
      <c r="AM52" t="b">
        <f ca="1"/>
        <v>0</v>
      </c>
      <c r="AN52">
        <f ca="1"/>
        <v>8</v>
      </c>
      <c r="AO52" t="str">
        <f ca="1"/>
        <v>In Progress</v>
      </c>
      <c r="AP52">
        <f ca="1"/>
        <v>20</v>
      </c>
      <c r="AQ52" t="str">
        <f ca="1"/>
        <v>Paint</v>
      </c>
      <c r="AR52" t="str">
        <f ca="1"/>
        <v>MR</v>
      </c>
      <c r="AS52" t="b">
        <f ca="1"/>
        <v>0</v>
      </c>
      <c r="AT52" t="str">
        <f ca="1"/>
        <v>vacant not ready</v>
      </c>
      <c r="AU52" t="b">
        <f ca="1"/>
        <v>0</v>
      </c>
      <c r="AV52" t="b">
        <f ca="1"/>
        <v>0</v>
      </c>
      <c r="AW52" t="b">
        <f ca="1"/>
        <v>0</v>
      </c>
      <c r="AX52" t="str">
        <f ca="1"/>
        <v>In Progress</v>
      </c>
      <c r="AY52" t="b">
        <f ca="1"/>
        <v>0</v>
      </c>
      <c r="AZ52" t="str">
        <f ca="1"/>
        <v>📅 Scheduled to Move In</v>
      </c>
      <c r="BA52">
        <f ca="1"/>
        <v>8</v>
      </c>
      <c r="BB52" t="b">
        <f ca="1"/>
        <v>0</v>
      </c>
      <c r="BC52" t="b">
        <f ca="1"/>
        <v>0</v>
      </c>
      <c r="BD52" t="b">
        <f ca="1"/>
        <v>0</v>
      </c>
      <c r="BE52" t="b">
        <f ca="1"/>
        <v>1</v>
      </c>
    </row>
    <row r="53" spans="3:57" x14ac:dyDescent="0.4">
      <c r="C53" s="1">
        <f ca="1"/>
        <v>5</v>
      </c>
      <c r="D53" s="1" t="str">
        <f ca="1"/>
        <v>Unit 5-15-0102</v>
      </c>
      <c r="E53" s="1" t="str">
        <f ca="1"/>
        <v>Vacant not ready</v>
      </c>
      <c r="F53" s="1" vm="108">
        <f ca="1"/>
        <v>46059</v>
      </c>
      <c r="G53" s="1" vm="133">
        <f ca="1"/>
        <v>46069</v>
      </c>
      <c r="H53">
        <f ca="1"/>
        <v>11</v>
      </c>
      <c r="I53" vm="136">
        <f ca="1"/>
        <v>46074</v>
      </c>
      <c r="J53">
        <f ca="1"/>
        <v>-4</v>
      </c>
      <c r="K53" t="str">
        <f ca="1"/>
        <v>SMI</v>
      </c>
      <c r="L53" vm="124">
        <f ca="1"/>
        <v>46062</v>
      </c>
      <c r="M53" t="str">
        <f ca="1"/>
        <v>Done</v>
      </c>
      <c r="N53" vm="127">
        <f ca="1"/>
        <v>46063</v>
      </c>
      <c r="O53" t="str">
        <f ca="1"/>
        <v>In Progress</v>
      </c>
      <c r="P53" vm="128">
        <f ca="1"/>
        <v>46064</v>
      </c>
      <c r="Q53" t="str">
        <f ca="1"/>
        <v>In Progress</v>
      </c>
      <c r="R53" vm="133">
        <f ca="1"/>
        <v>46069</v>
      </c>
      <c r="S53" t="str">
        <f ca="1"/>
        <v>In Progress</v>
      </c>
      <c r="T53" vm="100">
        <f ca="1"/>
        <v>46070</v>
      </c>
      <c r="U53" t="str">
        <f ca="1"/>
        <v>Scheduled</v>
      </c>
      <c r="V53" t="str">
        <f ca="1"/>
        <v>Total</v>
      </c>
      <c r="W53" t="str">
        <f ca="1"/>
        <v>Yes</v>
      </c>
      <c r="X53" t="str">
        <f ca="1"/>
        <v>No</v>
      </c>
      <c r="Y53" t="str">
        <f ca="1"/>
        <v>5</v>
      </c>
      <c r="Z53" t="str">
        <f ca="1"/>
        <v>15</v>
      </c>
      <c r="AA53" t="str">
        <f ca="1"/>
        <v>0102</v>
      </c>
      <c r="AB53" vm="11">
        <f ca="1"/>
        <v>0</v>
      </c>
      <c r="AC53" t="str">
        <f ca="1"/>
        <v/>
      </c>
      <c r="AD53" t="b">
        <f ca="1"/>
        <v>0</v>
      </c>
      <c r="AE53" t="str">
        <f ca="1"/>
        <v/>
      </c>
      <c r="AF53" t="b">
        <f ca="1"/>
        <v>0</v>
      </c>
      <c r="AG53" t="b">
        <f ca="1"/>
        <v>1</v>
      </c>
      <c r="AH53" t="b">
        <f ca="1"/>
        <v>1</v>
      </c>
      <c r="AI53" t="b">
        <f ca="1"/>
        <v>0</v>
      </c>
      <c r="AJ53" t="b">
        <f ca="1"/>
        <v>1</v>
      </c>
      <c r="AK53" t="b">
        <f ca="1"/>
        <v>0</v>
      </c>
      <c r="AL53" t="b">
        <f ca="1"/>
        <v>1</v>
      </c>
      <c r="AM53" t="b">
        <f ca="1"/>
        <v>0</v>
      </c>
      <c r="AN53">
        <f ca="1"/>
        <v>7</v>
      </c>
      <c r="AO53" t="str">
        <f ca="1"/>
        <v>In Progress</v>
      </c>
      <c r="AP53">
        <f ca="1"/>
        <v>20</v>
      </c>
      <c r="AQ53" t="str">
        <f ca="1"/>
        <v>Paint</v>
      </c>
      <c r="AR53" t="str">
        <f ca="1"/>
        <v>MR</v>
      </c>
      <c r="AS53" t="b">
        <f ca="1"/>
        <v>0</v>
      </c>
      <c r="AT53" t="str">
        <f ca="1"/>
        <v>vacant not ready</v>
      </c>
      <c r="AU53" t="b">
        <f ca="1"/>
        <v>0</v>
      </c>
      <c r="AV53" t="b">
        <f ca="1"/>
        <v>0</v>
      </c>
      <c r="AW53" t="b">
        <f ca="1"/>
        <v>0</v>
      </c>
      <c r="AX53" t="str">
        <f ca="1"/>
        <v>In Progress</v>
      </c>
      <c r="AY53" t="b">
        <f ca="1"/>
        <v>0</v>
      </c>
      <c r="AZ53" t="str">
        <f ca="1"/>
        <v>📅 Scheduled to Move In</v>
      </c>
      <c r="BA53">
        <f ca="1"/>
        <v>4</v>
      </c>
      <c r="BB53" t="b">
        <f ca="1"/>
        <v>0</v>
      </c>
      <c r="BC53" t="b">
        <f ca="1"/>
        <v>0</v>
      </c>
      <c r="BD53" t="b">
        <f ca="1"/>
        <v>0</v>
      </c>
      <c r="BE53" t="b">
        <f ca="1"/>
        <v>1</v>
      </c>
    </row>
    <row r="54" spans="3:57" x14ac:dyDescent="0.4">
      <c r="C54" s="1">
        <f ca="1"/>
        <v>14</v>
      </c>
      <c r="D54" s="1" t="str">
        <f ca="1"/>
        <v>Unit 5-02-0306</v>
      </c>
      <c r="E54" s="1" t="str">
        <f ca="1"/>
        <v>Vacant not ready</v>
      </c>
      <c r="F54" s="1" vm="124">
        <f ca="1"/>
        <v>46062</v>
      </c>
      <c r="G54" s="1" vm="131">
        <f ca="1"/>
        <v>46072</v>
      </c>
      <c r="H54">
        <f ca="1"/>
        <v>8</v>
      </c>
      <c r="I54" vm="137">
        <f ca="1"/>
        <v>46087</v>
      </c>
      <c r="J54">
        <f ca="1"/>
        <v>-17</v>
      </c>
      <c r="K54" t="str">
        <f ca="1"/>
        <v>SMI</v>
      </c>
      <c r="L54" vm="127">
        <f ca="1"/>
        <v>46063</v>
      </c>
      <c r="M54" t="str">
        <f ca="1"/>
        <v>Done</v>
      </c>
      <c r="N54" vm="128">
        <f ca="1"/>
        <v>46064</v>
      </c>
      <c r="O54" t="str">
        <f ca="1"/>
        <v>In Progress</v>
      </c>
      <c r="P54" vm="125">
        <f ca="1"/>
        <v>46065</v>
      </c>
      <c r="Q54" t="str">
        <f ca="1"/>
        <v>In Progress</v>
      </c>
      <c r="R54" vm="100">
        <f ca="1"/>
        <v>46070</v>
      </c>
      <c r="S54" t="str">
        <f ca="1"/>
        <v>In Progress</v>
      </c>
      <c r="T54" vm="115">
        <f ca="1"/>
        <v>46071</v>
      </c>
      <c r="U54" t="str">
        <f ca="1"/>
        <v>Scheduled</v>
      </c>
      <c r="V54" t="str">
        <f ca="1"/>
        <v>Total</v>
      </c>
      <c r="W54" t="str">
        <f ca="1"/>
        <v>Yes</v>
      </c>
      <c r="X54" t="str">
        <f ca="1"/>
        <v>No</v>
      </c>
      <c r="Y54" t="str">
        <f ca="1"/>
        <v>5</v>
      </c>
      <c r="Z54" t="str">
        <f ca="1"/>
        <v>02</v>
      </c>
      <c r="AA54" t="str">
        <f ca="1"/>
        <v>0306</v>
      </c>
      <c r="AB54" vm="11">
        <f ca="1"/>
        <v>0</v>
      </c>
      <c r="AC54" t="str">
        <f ca="1"/>
        <v/>
      </c>
      <c r="AD54" t="b">
        <f ca="1"/>
        <v>0</v>
      </c>
      <c r="AE54" t="str">
        <f ca="1"/>
        <v/>
      </c>
      <c r="AF54" t="b">
        <f ca="1"/>
        <v>0</v>
      </c>
      <c r="AG54" t="b">
        <f ca="1"/>
        <v>1</v>
      </c>
      <c r="AH54" t="b">
        <f ca="1"/>
        <v>1</v>
      </c>
      <c r="AI54" t="b">
        <f ca="1"/>
        <v>0</v>
      </c>
      <c r="AJ54" t="b">
        <f ca="1"/>
        <v>1</v>
      </c>
      <c r="AK54" t="b">
        <f ca="1"/>
        <v>0</v>
      </c>
      <c r="AL54" t="b">
        <f ca="1"/>
        <v>1</v>
      </c>
      <c r="AM54" t="b">
        <f ca="1"/>
        <v>0</v>
      </c>
      <c r="AN54">
        <f ca="1"/>
        <v>6</v>
      </c>
      <c r="AO54" t="str">
        <f ca="1"/>
        <v>In Progress</v>
      </c>
      <c r="AP54">
        <f ca="1"/>
        <v>20</v>
      </c>
      <c r="AQ54" t="str">
        <f ca="1"/>
        <v>Paint</v>
      </c>
      <c r="AR54" t="str">
        <f ca="1"/>
        <v>MR</v>
      </c>
      <c r="AS54" t="b">
        <f ca="1"/>
        <v>0</v>
      </c>
      <c r="AT54" t="str">
        <f ca="1"/>
        <v>vacant not ready</v>
      </c>
      <c r="AU54" t="b">
        <f ca="1"/>
        <v>0</v>
      </c>
      <c r="AV54" t="b">
        <f ca="1"/>
        <v>0</v>
      </c>
      <c r="AW54" t="b">
        <f ca="1"/>
        <v>0</v>
      </c>
      <c r="AX54" t="str">
        <f ca="1"/>
        <v>In Progress</v>
      </c>
      <c r="AY54" t="b">
        <f ca="1"/>
        <v>0</v>
      </c>
      <c r="AZ54" t="str">
        <f ca="1"/>
        <v>📅 Scheduled to Move In</v>
      </c>
      <c r="BA54">
        <f ca="1"/>
        <v>17</v>
      </c>
      <c r="BB54" t="b">
        <f ca="1"/>
        <v>0</v>
      </c>
      <c r="BC54" t="b">
        <f ca="1"/>
        <v>0</v>
      </c>
      <c r="BD54" t="b">
        <f ca="1"/>
        <v>0</v>
      </c>
      <c r="BE54" t="b">
        <f ca="1"/>
        <v>0</v>
      </c>
    </row>
    <row r="55" spans="3:57" x14ac:dyDescent="0.4">
      <c r="C55" s="1">
        <f ca="1"/>
        <v>72</v>
      </c>
      <c r="D55" s="1" t="str">
        <f ca="1"/>
        <v>Unit 7-02-0201</v>
      </c>
      <c r="E55" s="1" t="str">
        <f ca="1"/>
        <v>Vacant not ready</v>
      </c>
      <c r="F55" s="1" vm="138">
        <f ca="1"/>
        <v>46060</v>
      </c>
      <c r="G55" s="1" vm="100">
        <f ca="1"/>
        <v>46070</v>
      </c>
      <c r="H55">
        <f ca="1"/>
        <v>10</v>
      </c>
      <c r="I55" t="e">
        <f ca="1"/>
        <v>#NUM!</v>
      </c>
      <c r="J55" t="str">
        <f ca="1"/>
        <v/>
      </c>
      <c r="K55" t="str">
        <f ca="1"/>
        <v>VACANT</v>
      </c>
      <c r="L55" vm="124">
        <f ca="1"/>
        <v>46062</v>
      </c>
      <c r="M55" t="str">
        <f ca="1"/>
        <v>Done</v>
      </c>
      <c r="N55" vm="127">
        <f ca="1"/>
        <v>46063</v>
      </c>
      <c r="O55" t="str">
        <f ca="1"/>
        <v>In Progress</v>
      </c>
      <c r="P55" vm="128">
        <f ca="1"/>
        <v>46064</v>
      </c>
      <c r="Q55" t="str">
        <f ca="1"/>
        <v>Scheduled</v>
      </c>
      <c r="R55" vm="133">
        <f ca="1"/>
        <v>46069</v>
      </c>
      <c r="S55" t="str">
        <f ca="1"/>
        <v>In Progress</v>
      </c>
      <c r="T55" vm="100">
        <f ca="1"/>
        <v>46070</v>
      </c>
      <c r="U55" t="str">
        <f ca="1"/>
        <v>Scheduled</v>
      </c>
      <c r="V55" t="str">
        <f ca="1"/>
        <v>Miguel G</v>
      </c>
      <c r="W55" t="str">
        <f ca="1"/>
        <v>Yes</v>
      </c>
      <c r="X55" t="str">
        <f ca="1"/>
        <v>No</v>
      </c>
      <c r="Y55" t="str">
        <f ca="1"/>
        <v>7</v>
      </c>
      <c r="Z55" t="str">
        <f ca="1"/>
        <v>02</v>
      </c>
      <c r="AA55" t="str">
        <f ca="1"/>
        <v>0201</v>
      </c>
      <c r="AB55" vm="11">
        <f ca="1"/>
        <v>0</v>
      </c>
      <c r="AC55" t="str">
        <f ca="1"/>
        <v/>
      </c>
      <c r="AD55" t="b">
        <f ca="1"/>
        <v>0</v>
      </c>
      <c r="AE55" t="str">
        <f ca="1"/>
        <v/>
      </c>
      <c r="AF55" t="b">
        <f ca="1"/>
        <v>1</v>
      </c>
      <c r="AG55" t="b">
        <f ca="1"/>
        <v>0</v>
      </c>
      <c r="AH55" t="b">
        <f ca="1"/>
        <v>1</v>
      </c>
      <c r="AI55" t="b">
        <f ca="1"/>
        <v>1</v>
      </c>
      <c r="AJ55" t="b">
        <f ca="1"/>
        <v>0</v>
      </c>
      <c r="AK55" t="b">
        <f ca="1"/>
        <v>0</v>
      </c>
      <c r="AL55" t="b">
        <f ca="1"/>
        <v>1</v>
      </c>
      <c r="AM55" t="b">
        <f ca="1"/>
        <v>0</v>
      </c>
      <c r="AN55">
        <f ca="1"/>
        <v>6</v>
      </c>
      <c r="AO55" t="str">
        <f ca="1"/>
        <v>In Progress</v>
      </c>
      <c r="AP55">
        <f ca="1"/>
        <v>20</v>
      </c>
      <c r="AQ55" t="str">
        <f ca="1"/>
        <v>Paint</v>
      </c>
      <c r="AR55" t="str">
        <f ca="1"/>
        <v>MR</v>
      </c>
      <c r="AS55" t="b">
        <f ca="1"/>
        <v>1</v>
      </c>
      <c r="AT55" t="str">
        <f ca="1"/>
        <v>vacant not ready</v>
      </c>
      <c r="AU55" t="b">
        <f ca="1"/>
        <v>0</v>
      </c>
      <c r="AV55" t="b">
        <f ca="1"/>
        <v>0</v>
      </c>
      <c r="AW55" t="b">
        <f ca="1"/>
        <v>1</v>
      </c>
      <c r="AX55" t="str">
        <f ca="1"/>
        <v>Work Stalled</v>
      </c>
      <c r="AY55" t="b">
        <f ca="1"/>
        <v>0</v>
      </c>
      <c r="AZ55" t="str">
        <f ca="1"/>
        <v>⏸️ Work Stalled</v>
      </c>
      <c r="BA55" t="e">
        <f ca="1"/>
        <v>#NUM!</v>
      </c>
      <c r="BB55" t="b">
        <f ca="1"/>
        <v>0</v>
      </c>
      <c r="BC55" t="b">
        <f ca="1"/>
        <v>0</v>
      </c>
      <c r="BD55" t="b">
        <f ca="1"/>
        <v>0</v>
      </c>
      <c r="BE55" t="b">
        <f ca="1"/>
        <v>1</v>
      </c>
    </row>
    <row r="56" spans="3:57" x14ac:dyDescent="0.4">
      <c r="C56" s="1">
        <f ca="1"/>
        <v>73</v>
      </c>
      <c r="D56" s="1" t="str">
        <f ca="1"/>
        <v>Unit 5-18-0310</v>
      </c>
      <c r="E56" s="1" t="str">
        <f ca="1"/>
        <v>Vacant not ready</v>
      </c>
      <c r="F56" s="1" vm="138">
        <f ca="1"/>
        <v>46060</v>
      </c>
      <c r="G56" s="1" vm="100">
        <f ca="1"/>
        <v>46070</v>
      </c>
      <c r="H56">
        <f ca="1"/>
        <v>10</v>
      </c>
      <c r="I56" t="e">
        <f ca="1"/>
        <v>#NUM!</v>
      </c>
      <c r="J56" t="str">
        <f ca="1"/>
        <v/>
      </c>
      <c r="K56" t="str">
        <f ca="1"/>
        <v>VACANT</v>
      </c>
      <c r="L56" vm="124">
        <f ca="1"/>
        <v>46062</v>
      </c>
      <c r="M56" t="str">
        <f ca="1"/>
        <v>Done</v>
      </c>
      <c r="N56" vm="127">
        <f ca="1"/>
        <v>46063</v>
      </c>
      <c r="O56" t="str">
        <f ca="1"/>
        <v>In Progress</v>
      </c>
      <c r="P56" vm="128">
        <f ca="1"/>
        <v>46064</v>
      </c>
      <c r="Q56" t="str">
        <f ca="1"/>
        <v>In Progress</v>
      </c>
      <c r="R56" vm="133">
        <f ca="1"/>
        <v>46069</v>
      </c>
      <c r="S56" t="str">
        <f ca="1"/>
        <v>In Progress</v>
      </c>
      <c r="T56" vm="100">
        <f ca="1"/>
        <v>46070</v>
      </c>
      <c r="U56" t="str">
        <f ca="1"/>
        <v>Scheduled</v>
      </c>
      <c r="V56" t="str">
        <f ca="1"/>
        <v>Total</v>
      </c>
      <c r="W56" t="str">
        <f ca="1"/>
        <v>No</v>
      </c>
      <c r="X56" t="str">
        <f ca="1"/>
        <v>No</v>
      </c>
      <c r="Y56" t="str">
        <f ca="1"/>
        <v>5</v>
      </c>
      <c r="Z56" t="str">
        <f ca="1"/>
        <v>18</v>
      </c>
      <c r="AA56" t="str">
        <f ca="1"/>
        <v>0310</v>
      </c>
      <c r="AB56" vm="11">
        <f ca="1"/>
        <v>0</v>
      </c>
      <c r="AC56" t="str">
        <f ca="1"/>
        <v/>
      </c>
      <c r="AD56" t="b">
        <f ca="1"/>
        <v>0</v>
      </c>
      <c r="AE56" t="str">
        <f ca="1"/>
        <v/>
      </c>
      <c r="AF56" t="b">
        <f ca="1"/>
        <v>0</v>
      </c>
      <c r="AG56" t="b">
        <f ca="1"/>
        <v>0</v>
      </c>
      <c r="AH56" t="b">
        <f ca="1"/>
        <v>1</v>
      </c>
      <c r="AI56" t="b">
        <f ca="1"/>
        <v>1</v>
      </c>
      <c r="AJ56" t="b">
        <f ca="1"/>
        <v>0</v>
      </c>
      <c r="AK56" t="b">
        <f ca="1"/>
        <v>0</v>
      </c>
      <c r="AL56" t="b">
        <f ca="1"/>
        <v>1</v>
      </c>
      <c r="AM56" t="b">
        <f ca="1"/>
        <v>0</v>
      </c>
      <c r="AN56">
        <f ca="1"/>
        <v>6</v>
      </c>
      <c r="AO56" t="str">
        <f ca="1"/>
        <v>In Progress</v>
      </c>
      <c r="AP56">
        <f ca="1"/>
        <v>20</v>
      </c>
      <c r="AQ56" t="str">
        <f ca="1"/>
        <v>Paint</v>
      </c>
      <c r="AR56" t="str">
        <f ca="1"/>
        <v>MR</v>
      </c>
      <c r="AS56" t="b">
        <f ca="1"/>
        <v>1</v>
      </c>
      <c r="AT56" t="str">
        <f ca="1"/>
        <v>vacant not ready</v>
      </c>
      <c r="AU56" t="b">
        <f ca="1"/>
        <v>0</v>
      </c>
      <c r="AV56" t="b">
        <f ca="1"/>
        <v>0</v>
      </c>
      <c r="AW56" t="b">
        <f ca="1"/>
        <v>1</v>
      </c>
      <c r="AX56" t="str">
        <f ca="1"/>
        <v>Work Stalled</v>
      </c>
      <c r="AY56" t="b">
        <f ca="1"/>
        <v>1</v>
      </c>
      <c r="AZ56" t="str">
        <f ca="1"/>
        <v>⏸️ Work Stalled</v>
      </c>
      <c r="BA56" t="e">
        <f ca="1"/>
        <v>#NUM!</v>
      </c>
      <c r="BB56" t="b">
        <f ca="1"/>
        <v>0</v>
      </c>
      <c r="BC56" t="b">
        <f ca="1"/>
        <v>0</v>
      </c>
      <c r="BD56" t="b">
        <f ca="1"/>
        <v>0</v>
      </c>
      <c r="BE56" t="b">
        <f ca="1"/>
        <v>1</v>
      </c>
    </row>
    <row r="57" spans="3:57" x14ac:dyDescent="0.4">
      <c r="C57" s="1">
        <f ca="1"/>
        <v>74</v>
      </c>
      <c r="D57" s="1" t="str">
        <f ca="1"/>
        <v>Unit 8-01-3107</v>
      </c>
      <c r="E57" s="1" t="str">
        <f ca="1"/>
        <v>Vacant not ready</v>
      </c>
      <c r="F57" s="1" vm="139">
        <f ca="1"/>
        <v>46061</v>
      </c>
      <c r="G57" s="1" vm="115">
        <f ca="1"/>
        <v>46071</v>
      </c>
      <c r="H57">
        <f ca="1"/>
        <v>9</v>
      </c>
      <c r="I57" t="e">
        <f ca="1"/>
        <v>#NUM!</v>
      </c>
      <c r="J57" t="str">
        <f ca="1"/>
        <v/>
      </c>
      <c r="K57" t="str">
        <f ca="1"/>
        <v>VACANT</v>
      </c>
      <c r="L57" vm="124">
        <f ca="1"/>
        <v>46062</v>
      </c>
      <c r="M57" t="str">
        <f ca="1"/>
        <v>Done</v>
      </c>
      <c r="N57" vm="127">
        <f ca="1"/>
        <v>46063</v>
      </c>
      <c r="O57" t="str">
        <f ca="1"/>
        <v>In Progress</v>
      </c>
      <c r="P57" vm="128">
        <f ca="1"/>
        <v>46064</v>
      </c>
      <c r="Q57" t="str">
        <f ca="1"/>
        <v>Scheduled</v>
      </c>
      <c r="R57" vm="133">
        <f ca="1"/>
        <v>46069</v>
      </c>
      <c r="S57" t="str">
        <f ca="1"/>
        <v>In Progress</v>
      </c>
      <c r="T57" vm="100">
        <f ca="1"/>
        <v>46070</v>
      </c>
      <c r="U57" t="str">
        <f ca="1"/>
        <v>Scheduled</v>
      </c>
      <c r="V57" t="str">
        <f ca="1"/>
        <v>Miguel G</v>
      </c>
      <c r="W57" t="str">
        <f ca="1"/>
        <v>Yes</v>
      </c>
      <c r="X57" t="str">
        <f ca="1"/>
        <v>No</v>
      </c>
      <c r="Y57" t="str">
        <f ca="1"/>
        <v>8</v>
      </c>
      <c r="Z57" t="str">
        <f ca="1"/>
        <v>01</v>
      </c>
      <c r="AA57" t="str">
        <f ca="1"/>
        <v>3107</v>
      </c>
      <c r="AB57" vm="11">
        <f ca="1"/>
        <v>0</v>
      </c>
      <c r="AC57" t="str">
        <f ca="1"/>
        <v/>
      </c>
      <c r="AD57" t="b">
        <f ca="1"/>
        <v>0</v>
      </c>
      <c r="AE57" t="str">
        <f ca="1"/>
        <v/>
      </c>
      <c r="AF57" t="b">
        <f ca="1"/>
        <v>1</v>
      </c>
      <c r="AG57" t="b">
        <f ca="1"/>
        <v>0</v>
      </c>
      <c r="AH57" t="b">
        <f ca="1"/>
        <v>1</v>
      </c>
      <c r="AI57" t="b">
        <f ca="1"/>
        <v>1</v>
      </c>
      <c r="AJ57" t="b">
        <f ca="1"/>
        <v>0</v>
      </c>
      <c r="AK57" t="b">
        <f ca="1"/>
        <v>0</v>
      </c>
      <c r="AL57" t="b">
        <f ca="1"/>
        <v>1</v>
      </c>
      <c r="AM57" t="b">
        <f ca="1"/>
        <v>0</v>
      </c>
      <c r="AN57">
        <f ca="1"/>
        <v>6</v>
      </c>
      <c r="AO57" t="str">
        <f ca="1"/>
        <v>In Progress</v>
      </c>
      <c r="AP57">
        <f ca="1"/>
        <v>20</v>
      </c>
      <c r="AQ57" t="str">
        <f ca="1"/>
        <v>Paint</v>
      </c>
      <c r="AR57" t="str">
        <f ca="1"/>
        <v>MR</v>
      </c>
      <c r="AS57" t="b">
        <f ca="1"/>
        <v>1</v>
      </c>
      <c r="AT57" t="str">
        <f ca="1"/>
        <v>vacant not ready</v>
      </c>
      <c r="AU57" t="b">
        <f ca="1"/>
        <v>0</v>
      </c>
      <c r="AV57" t="b">
        <f ca="1"/>
        <v>0</v>
      </c>
      <c r="AW57" t="b">
        <f ca="1"/>
        <v>1</v>
      </c>
      <c r="AX57" t="str">
        <f ca="1"/>
        <v>Work Stalled</v>
      </c>
      <c r="AY57" t="b">
        <f ca="1"/>
        <v>0</v>
      </c>
      <c r="AZ57" t="str">
        <f ca="1"/>
        <v>⏸️ Work Stalled</v>
      </c>
      <c r="BA57" t="e">
        <f ca="1"/>
        <v>#NUM!</v>
      </c>
      <c r="BB57" t="b">
        <f ca="1"/>
        <v>0</v>
      </c>
      <c r="BC57" t="b">
        <f ca="1"/>
        <v>0</v>
      </c>
      <c r="BD57" t="b">
        <f ca="1"/>
        <v>0</v>
      </c>
      <c r="BE57" t="b">
        <f ca="1"/>
        <v>0</v>
      </c>
    </row>
    <row r="58" spans="3:57" x14ac:dyDescent="0.4">
      <c r="C58" s="1">
        <f ca="1"/>
        <v>75</v>
      </c>
      <c r="D58" s="1" t="str">
        <f ca="1"/>
        <v>Unit 7-10-0306</v>
      </c>
      <c r="E58" s="1" t="str">
        <f ca="1"/>
        <v>Vacant not ready</v>
      </c>
      <c r="F58" s="1" vm="124">
        <f ca="1"/>
        <v>46062</v>
      </c>
      <c r="G58" s="1" vm="131">
        <f ca="1"/>
        <v>46072</v>
      </c>
      <c r="H58">
        <f ca="1"/>
        <v>8</v>
      </c>
      <c r="I58" t="e">
        <f ca="1"/>
        <v>#NUM!</v>
      </c>
      <c r="J58" t="str">
        <f ca="1"/>
        <v/>
      </c>
      <c r="K58" t="str">
        <f ca="1"/>
        <v>VACANT</v>
      </c>
      <c r="L58" vm="127">
        <f ca="1"/>
        <v>46063</v>
      </c>
      <c r="M58" t="str">
        <f ca="1"/>
        <v>Done</v>
      </c>
      <c r="N58" vm="128">
        <f ca="1"/>
        <v>46064</v>
      </c>
      <c r="O58" t="str">
        <f ca="1"/>
        <v>In Progress</v>
      </c>
      <c r="P58" vm="125">
        <f ca="1"/>
        <v>46065</v>
      </c>
      <c r="Q58" t="str">
        <f ca="1"/>
        <v>Scheduled</v>
      </c>
      <c r="R58" vm="100">
        <f ca="1"/>
        <v>46070</v>
      </c>
      <c r="S58" t="str">
        <f ca="1"/>
        <v>In Progress</v>
      </c>
      <c r="T58" vm="115">
        <f ca="1"/>
        <v>46071</v>
      </c>
      <c r="U58" t="str">
        <f ca="1"/>
        <v>Scheduled</v>
      </c>
      <c r="V58" t="str">
        <f ca="1"/>
        <v>Miguel G</v>
      </c>
      <c r="W58" t="str">
        <f ca="1"/>
        <v xml:space="preserve">Yes stack </v>
      </c>
      <c r="X58" t="str">
        <f ca="1"/>
        <v>No</v>
      </c>
      <c r="Y58" t="str">
        <f ca="1"/>
        <v>7</v>
      </c>
      <c r="Z58" t="str">
        <f ca="1"/>
        <v>10</v>
      </c>
      <c r="AA58" t="str">
        <f ca="1"/>
        <v>0306</v>
      </c>
      <c r="AB58" vm="11">
        <f ca="1"/>
        <v>0</v>
      </c>
      <c r="AC58" t="str">
        <f ca="1"/>
        <v/>
      </c>
      <c r="AD58" t="b">
        <f ca="1"/>
        <v>0</v>
      </c>
      <c r="AE58" t="str">
        <f ca="1"/>
        <v/>
      </c>
      <c r="AF58" t="b">
        <f ca="1"/>
        <v>1</v>
      </c>
      <c r="AG58" t="b">
        <f ca="1"/>
        <v>0</v>
      </c>
      <c r="AH58" t="b">
        <f ca="1"/>
        <v>1</v>
      </c>
      <c r="AI58" t="b">
        <f ca="1"/>
        <v>1</v>
      </c>
      <c r="AJ58" t="b">
        <f ca="1"/>
        <v>0</v>
      </c>
      <c r="AK58" t="b">
        <f ca="1"/>
        <v>0</v>
      </c>
      <c r="AL58" t="b">
        <f ca="1"/>
        <v>1</v>
      </c>
      <c r="AM58" t="b">
        <f ca="1"/>
        <v>0</v>
      </c>
      <c r="AN58">
        <f ca="1"/>
        <v>6</v>
      </c>
      <c r="AO58" t="str">
        <f ca="1"/>
        <v>In Progress</v>
      </c>
      <c r="AP58">
        <f ca="1"/>
        <v>20</v>
      </c>
      <c r="AQ58" t="str">
        <f ca="1"/>
        <v>Paint</v>
      </c>
      <c r="AR58" t="str">
        <f ca="1"/>
        <v>MR</v>
      </c>
      <c r="AS58" t="b">
        <f ca="1"/>
        <v>1</v>
      </c>
      <c r="AT58" t="str">
        <f ca="1"/>
        <v>vacant not ready</v>
      </c>
      <c r="AU58" t="b">
        <f ca="1"/>
        <v>0</v>
      </c>
      <c r="AV58" t="b">
        <f ca="1"/>
        <v>0</v>
      </c>
      <c r="AW58" t="b">
        <f ca="1"/>
        <v>1</v>
      </c>
      <c r="AX58" t="str">
        <f ca="1"/>
        <v>Work Stalled</v>
      </c>
      <c r="AY58" t="b">
        <f ca="1"/>
        <v>0</v>
      </c>
      <c r="AZ58" t="str">
        <f ca="1"/>
        <v>⏸️ Work Stalled</v>
      </c>
      <c r="BA58" t="e">
        <f ca="1"/>
        <v>#NUM!</v>
      </c>
      <c r="BB58" t="b">
        <f ca="1"/>
        <v>0</v>
      </c>
      <c r="BC58" t="b">
        <f ca="1"/>
        <v>0</v>
      </c>
      <c r="BD58" t="b">
        <f ca="1"/>
        <v>0</v>
      </c>
      <c r="BE58" t="b">
        <f ca="1"/>
        <v>0</v>
      </c>
    </row>
    <row r="59" spans="3:57" x14ac:dyDescent="0.4">
      <c r="C59" s="1">
        <f ca="1"/>
        <v>76</v>
      </c>
      <c r="D59" s="1" t="str">
        <f ca="1"/>
        <v>Unit 5-09-0109</v>
      </c>
      <c r="E59" s="1" t="str">
        <f ca="1"/>
        <v>Vacant not ready</v>
      </c>
      <c r="F59" s="1" vm="127">
        <f ca="1"/>
        <v>46063</v>
      </c>
      <c r="G59" s="1" vm="134">
        <f ca="1"/>
        <v>46073</v>
      </c>
      <c r="H59">
        <f ca="1"/>
        <v>7</v>
      </c>
      <c r="I59" t="e">
        <f ca="1"/>
        <v>#NUM!</v>
      </c>
      <c r="J59" t="str">
        <f ca="1"/>
        <v/>
      </c>
      <c r="K59" t="str">
        <f ca="1"/>
        <v>VACANT</v>
      </c>
      <c r="L59" vm="128">
        <f ca="1"/>
        <v>46064</v>
      </c>
      <c r="M59" t="str">
        <f ca="1"/>
        <v>Done</v>
      </c>
      <c r="N59" vm="125">
        <f ca="1"/>
        <v>46065</v>
      </c>
      <c r="O59" t="str">
        <f ca="1"/>
        <v>In Progress</v>
      </c>
      <c r="P59" vm="112">
        <f ca="1"/>
        <v>46066</v>
      </c>
      <c r="Q59" t="str">
        <f ca="1"/>
        <v>In Progress</v>
      </c>
      <c r="R59" vm="115">
        <f ca="1"/>
        <v>46071</v>
      </c>
      <c r="S59" t="str">
        <f ca="1"/>
        <v>In Progress</v>
      </c>
      <c r="T59" vm="131">
        <f ca="1"/>
        <v>46072</v>
      </c>
      <c r="U59" t="str">
        <f ca="1"/>
        <v>Scheduled</v>
      </c>
      <c r="V59" t="str">
        <f ca="1"/>
        <v>Total</v>
      </c>
      <c r="W59" t="str">
        <f ca="1"/>
        <v>Yes</v>
      </c>
      <c r="X59" t="str">
        <f ca="1"/>
        <v>No</v>
      </c>
      <c r="Y59" t="str">
        <f ca="1"/>
        <v>5</v>
      </c>
      <c r="Z59" t="str">
        <f ca="1"/>
        <v>09</v>
      </c>
      <c r="AA59" t="str">
        <f ca="1"/>
        <v>0109</v>
      </c>
      <c r="AB59" vm="11">
        <f ca="1"/>
        <v>0</v>
      </c>
      <c r="AC59" t="str">
        <f ca="1"/>
        <v/>
      </c>
      <c r="AD59" t="b">
        <f ca="1"/>
        <v>0</v>
      </c>
      <c r="AE59" t="str">
        <f ca="1"/>
        <v/>
      </c>
      <c r="AF59" t="b">
        <f ca="1"/>
        <v>0</v>
      </c>
      <c r="AG59" t="b">
        <f ca="1"/>
        <v>0</v>
      </c>
      <c r="AH59" t="b">
        <f ca="1"/>
        <v>1</v>
      </c>
      <c r="AI59" t="b">
        <f ca="1"/>
        <v>1</v>
      </c>
      <c r="AJ59" t="b">
        <f ca="1"/>
        <v>0</v>
      </c>
      <c r="AK59" t="b">
        <f ca="1"/>
        <v>0</v>
      </c>
      <c r="AL59" t="b">
        <f ca="1"/>
        <v>1</v>
      </c>
      <c r="AM59" t="b">
        <f ca="1"/>
        <v>0</v>
      </c>
      <c r="AN59">
        <f ca="1"/>
        <v>5</v>
      </c>
      <c r="AO59" t="str">
        <f ca="1"/>
        <v>In Progress</v>
      </c>
      <c r="AP59">
        <f ca="1"/>
        <v>20</v>
      </c>
      <c r="AQ59" t="str">
        <f ca="1"/>
        <v>Paint</v>
      </c>
      <c r="AR59" t="str">
        <f ca="1"/>
        <v>MR</v>
      </c>
      <c r="AS59" t="b">
        <f ca="1"/>
        <v>1</v>
      </c>
      <c r="AT59" t="str">
        <f ca="1"/>
        <v>vacant not ready</v>
      </c>
      <c r="AU59" t="b">
        <f ca="1"/>
        <v>0</v>
      </c>
      <c r="AV59" t="b">
        <f ca="1"/>
        <v>0</v>
      </c>
      <c r="AW59" t="b">
        <f ca="1"/>
        <v>1</v>
      </c>
      <c r="AX59" t="str">
        <f ca="1"/>
        <v>Work Stalled</v>
      </c>
      <c r="AY59" t="b">
        <f ca="1"/>
        <v>1</v>
      </c>
      <c r="AZ59" t="str">
        <f ca="1"/>
        <v>⏸️ Work Stalled</v>
      </c>
      <c r="BA59" t="e">
        <f ca="1"/>
        <v>#NUM!</v>
      </c>
      <c r="BB59" t="b">
        <f ca="1"/>
        <v>0</v>
      </c>
      <c r="BC59" t="b">
        <f ca="1"/>
        <v>0</v>
      </c>
      <c r="BD59" t="b">
        <f ca="1"/>
        <v>0</v>
      </c>
      <c r="BE59" t="b">
        <f ca="1"/>
        <v>0</v>
      </c>
    </row>
    <row r="60" spans="3:57" x14ac:dyDescent="0.4">
      <c r="C60" s="1">
        <f ca="1"/>
        <v>13</v>
      </c>
      <c r="D60" s="1" t="str">
        <f ca="1"/>
        <v>Unit 5-17-0202</v>
      </c>
      <c r="E60" s="1" t="str">
        <f ca="1"/>
        <v>Vacant not ready</v>
      </c>
      <c r="F60" s="1" vm="128">
        <f ca="1"/>
        <v>46064</v>
      </c>
      <c r="G60" s="1" vm="136">
        <f ca="1"/>
        <v>46074</v>
      </c>
      <c r="H60">
        <f ca="1"/>
        <v>6</v>
      </c>
      <c r="I60" vm="140">
        <f ca="1"/>
        <v>46084</v>
      </c>
      <c r="J60">
        <f ca="1"/>
        <v>-14</v>
      </c>
      <c r="K60" t="str">
        <f ca="1"/>
        <v>SMI</v>
      </c>
      <c r="L60" vm="125">
        <f ca="1"/>
        <v>46065</v>
      </c>
      <c r="M60" t="str">
        <f ca="1"/>
        <v>Done</v>
      </c>
      <c r="N60" vm="112">
        <f ca="1"/>
        <v>46066</v>
      </c>
      <c r="O60" t="str">
        <f ca="1"/>
        <v>In Progress</v>
      </c>
      <c r="P60" vm="133">
        <f ca="1"/>
        <v>46069</v>
      </c>
      <c r="Q60" t="str">
        <f ca="1"/>
        <v>In Progress</v>
      </c>
      <c r="R60" vm="131">
        <f ca="1"/>
        <v>46072</v>
      </c>
      <c r="S60" t="str">
        <f ca="1"/>
        <v>In Progress</v>
      </c>
      <c r="T60" vm="134">
        <f ca="1"/>
        <v>46073</v>
      </c>
      <c r="U60" t="str">
        <f ca="1"/>
        <v>Scheduled</v>
      </c>
      <c r="V60" t="str">
        <f ca="1"/>
        <v>Total</v>
      </c>
      <c r="W60" t="str">
        <f ca="1"/>
        <v>Yes</v>
      </c>
      <c r="X60" t="str">
        <f ca="1"/>
        <v>No</v>
      </c>
      <c r="Y60" t="str">
        <f ca="1"/>
        <v>5</v>
      </c>
      <c r="Z60" t="str">
        <f ca="1"/>
        <v>17</v>
      </c>
      <c r="AA60" t="str">
        <f ca="1"/>
        <v>0202</v>
      </c>
      <c r="AB60" vm="11">
        <f ca="1"/>
        <v>0</v>
      </c>
      <c r="AC60" t="str">
        <f ca="1"/>
        <v/>
      </c>
      <c r="AD60" t="b">
        <f ca="1"/>
        <v>0</v>
      </c>
      <c r="AE60" t="str">
        <f ca="1"/>
        <v/>
      </c>
      <c r="AF60" t="b">
        <f ca="1"/>
        <v>0</v>
      </c>
      <c r="AG60" t="b">
        <f ca="1"/>
        <v>1</v>
      </c>
      <c r="AH60" t="b">
        <f ca="1"/>
        <v>1</v>
      </c>
      <c r="AI60" t="b">
        <f ca="1"/>
        <v>0</v>
      </c>
      <c r="AJ60" t="b">
        <f ca="1"/>
        <v>1</v>
      </c>
      <c r="AK60" t="b">
        <f ca="1"/>
        <v>0</v>
      </c>
      <c r="AL60" t="b">
        <f ca="1"/>
        <v>1</v>
      </c>
      <c r="AM60" t="b">
        <f ca="1"/>
        <v>0</v>
      </c>
      <c r="AN60">
        <f ca="1"/>
        <v>4</v>
      </c>
      <c r="AO60" t="str">
        <f ca="1"/>
        <v>In Progress</v>
      </c>
      <c r="AP60">
        <f ca="1"/>
        <v>20</v>
      </c>
      <c r="AQ60" t="str">
        <f ca="1"/>
        <v>Paint</v>
      </c>
      <c r="AR60" t="str">
        <f ca="1"/>
        <v>MR</v>
      </c>
      <c r="AS60" t="b">
        <f ca="1"/>
        <v>0</v>
      </c>
      <c r="AT60" t="str">
        <f ca="1"/>
        <v>vacant not ready</v>
      </c>
      <c r="AU60" t="b">
        <f ca="1"/>
        <v>0</v>
      </c>
      <c r="AV60" t="b">
        <f ca="1"/>
        <v>0</v>
      </c>
      <c r="AW60" t="b">
        <f ca="1"/>
        <v>0</v>
      </c>
      <c r="AX60" t="str">
        <f ca="1"/>
        <v>In Progress</v>
      </c>
      <c r="AY60" t="b">
        <f ca="1"/>
        <v>0</v>
      </c>
      <c r="AZ60" t="str">
        <f ca="1"/>
        <v>📅 Scheduled to Move In</v>
      </c>
      <c r="BA60">
        <f ca="1"/>
        <v>14</v>
      </c>
      <c r="BB60" t="b">
        <f ca="1"/>
        <v>0</v>
      </c>
      <c r="BC60" t="b">
        <f ca="1"/>
        <v>0</v>
      </c>
      <c r="BD60" t="b">
        <f ca="1"/>
        <v>0</v>
      </c>
      <c r="BE60" t="b">
        <f ca="1"/>
        <v>0</v>
      </c>
    </row>
    <row r="61" spans="3:57" x14ac:dyDescent="0.4">
      <c r="C61" s="1">
        <f ca="1"/>
        <v>8</v>
      </c>
      <c r="D61" s="1" t="str">
        <f ca="1"/>
        <v>Unit 7-03-0109</v>
      </c>
      <c r="E61" s="1" t="str">
        <f ca="1"/>
        <v>Vacant not ready</v>
      </c>
      <c r="F61" s="1" vm="128">
        <f ca="1"/>
        <v>46064</v>
      </c>
      <c r="G61" s="1" vm="136">
        <f ca="1"/>
        <v>46074</v>
      </c>
      <c r="H61">
        <f ca="1"/>
        <v>6</v>
      </c>
      <c r="I61" vm="141">
        <f ca="1"/>
        <v>46079</v>
      </c>
      <c r="J61">
        <f ca="1"/>
        <v>-9</v>
      </c>
      <c r="K61" t="str">
        <f ca="1"/>
        <v>SMI</v>
      </c>
      <c r="L61" vm="125">
        <f ca="1"/>
        <v>46065</v>
      </c>
      <c r="M61" t="str">
        <f ca="1"/>
        <v>Done</v>
      </c>
      <c r="N61" vm="112">
        <f ca="1"/>
        <v>46066</v>
      </c>
      <c r="O61" t="str">
        <f ca="1"/>
        <v>In Progress</v>
      </c>
      <c r="P61" vm="133">
        <f ca="1"/>
        <v>46069</v>
      </c>
      <c r="Q61" t="str">
        <f ca="1"/>
        <v>Scheduled</v>
      </c>
      <c r="R61" vm="131">
        <f ca="1"/>
        <v>46072</v>
      </c>
      <c r="S61" t="str">
        <f ca="1"/>
        <v>In Progress</v>
      </c>
      <c r="T61" vm="134">
        <f ca="1"/>
        <v>46073</v>
      </c>
      <c r="U61" t="str">
        <f ca="1"/>
        <v>Done</v>
      </c>
      <c r="V61" t="str">
        <f ca="1"/>
        <v>Brad</v>
      </c>
      <c r="W61" t="str">
        <f ca="1"/>
        <v>No</v>
      </c>
      <c r="X61" t="str">
        <f ca="1"/>
        <v>No</v>
      </c>
      <c r="Y61" t="str">
        <f ca="1"/>
        <v>7</v>
      </c>
      <c r="Z61" t="str">
        <f ca="1"/>
        <v>03</v>
      </c>
      <c r="AA61" t="str">
        <f ca="1"/>
        <v>0109</v>
      </c>
      <c r="AB61" vm="11">
        <f ca="1"/>
        <v>0</v>
      </c>
      <c r="AC61" t="str">
        <f ca="1"/>
        <v/>
      </c>
      <c r="AD61" t="b">
        <f ca="1"/>
        <v>0</v>
      </c>
      <c r="AE61" t="str">
        <f ca="1"/>
        <v/>
      </c>
      <c r="AF61" t="b">
        <f ca="1"/>
        <v>1</v>
      </c>
      <c r="AG61" t="b">
        <f ca="1"/>
        <v>1</v>
      </c>
      <c r="AH61" t="b">
        <f ca="1"/>
        <v>1</v>
      </c>
      <c r="AI61" t="b">
        <f ca="1"/>
        <v>0</v>
      </c>
      <c r="AJ61" t="b">
        <f ca="1"/>
        <v>1</v>
      </c>
      <c r="AK61" t="b">
        <f ca="1"/>
        <v>0</v>
      </c>
      <c r="AL61" t="b">
        <f ca="1"/>
        <v>1</v>
      </c>
      <c r="AM61" t="b">
        <f ca="1"/>
        <v>0</v>
      </c>
      <c r="AN61">
        <f ca="1"/>
        <v>4</v>
      </c>
      <c r="AO61" t="str">
        <f ca="1"/>
        <v>In Progress</v>
      </c>
      <c r="AP61">
        <f ca="1"/>
        <v>40</v>
      </c>
      <c r="AQ61" t="str">
        <f ca="1"/>
        <v>Paint</v>
      </c>
      <c r="AR61" t="str">
        <f ca="1"/>
        <v>MR</v>
      </c>
      <c r="AS61" t="b">
        <f ca="1"/>
        <v>0</v>
      </c>
      <c r="AT61" t="str">
        <f ca="1"/>
        <v>vacant not ready</v>
      </c>
      <c r="AU61" t="b">
        <f ca="1"/>
        <v>0</v>
      </c>
      <c r="AV61" t="b">
        <f ca="1"/>
        <v>0</v>
      </c>
      <c r="AW61" t="b">
        <f ca="1"/>
        <v>0</v>
      </c>
      <c r="AX61" t="str">
        <f ca="1"/>
        <v>In Progress</v>
      </c>
      <c r="AY61" t="b">
        <f ca="1"/>
        <v>0</v>
      </c>
      <c r="AZ61" t="str">
        <f ca="1"/>
        <v>📅 Scheduled to Move In</v>
      </c>
      <c r="BA61">
        <f ca="1"/>
        <v>9</v>
      </c>
      <c r="BB61" t="b">
        <f ca="1"/>
        <v>0</v>
      </c>
      <c r="BC61" t="b">
        <f ca="1"/>
        <v>0</v>
      </c>
      <c r="BD61" t="b">
        <f ca="1"/>
        <v>0</v>
      </c>
      <c r="BE61" t="b">
        <f ca="1"/>
        <v>0</v>
      </c>
    </row>
    <row r="62" spans="3:57" x14ac:dyDescent="0.4">
      <c r="C62" s="1">
        <f ca="1"/>
        <v>77</v>
      </c>
      <c r="D62" s="1" t="str">
        <f ca="1"/>
        <v>Unit 7-04-0308</v>
      </c>
      <c r="E62" s="1" t="str">
        <f ca="1"/>
        <v xml:space="preserve">On Notice </v>
      </c>
      <c r="F62" s="1" vm="128">
        <f ca="1"/>
        <v>46064</v>
      </c>
      <c r="G62" s="1" vm="142">
        <f ca="1"/>
        <v>46144</v>
      </c>
      <c r="H62">
        <f ca="1"/>
        <v>6</v>
      </c>
      <c r="I62" t="e">
        <f ca="1"/>
        <v>#NUM!</v>
      </c>
      <c r="J62" t="str">
        <f ca="1"/>
        <v/>
      </c>
      <c r="K62" t="str">
        <f ca="1"/>
        <v>VACANT</v>
      </c>
      <c r="L62" t="str">
        <f ca="1"/>
        <v/>
      </c>
      <c r="M62" t="str">
        <f ca="1"/>
        <v>Blocked</v>
      </c>
      <c r="N62" vm="112">
        <f ca="1"/>
        <v>46066</v>
      </c>
      <c r="O62" t="str">
        <f ca="1"/>
        <v>Scheduled</v>
      </c>
      <c r="P62" vm="133">
        <f ca="1"/>
        <v>46069</v>
      </c>
      <c r="Q62" t="str">
        <f ca="1"/>
        <v>Scheduled</v>
      </c>
      <c r="R62" vm="131">
        <f ca="1"/>
        <v>46072</v>
      </c>
      <c r="S62" t="str">
        <f ca="1"/>
        <v>Scheduled</v>
      </c>
      <c r="T62" vm="134">
        <f ca="1"/>
        <v>46073</v>
      </c>
      <c r="U62" t="str">
        <f ca="1"/>
        <v>Scheduled</v>
      </c>
      <c r="V62" t="str">
        <f ca="1"/>
        <v>Miguel G</v>
      </c>
      <c r="W62" vm="11">
        <f ca="1"/>
        <v>0</v>
      </c>
      <c r="X62" t="str">
        <f ca="1"/>
        <v>No</v>
      </c>
      <c r="Y62" t="str">
        <f ca="1"/>
        <v>7</v>
      </c>
      <c r="Z62" t="str">
        <f ca="1"/>
        <v>04</v>
      </c>
      <c r="AA62" t="str">
        <f ca="1"/>
        <v>0308</v>
      </c>
      <c r="AB62" vm="11">
        <f ca="1"/>
        <v>0</v>
      </c>
      <c r="AC62" t="str">
        <f ca="1"/>
        <v/>
      </c>
      <c r="AD62" t="b">
        <f ca="1"/>
        <v>0</v>
      </c>
      <c r="AE62" t="str">
        <f ca="1"/>
        <v/>
      </c>
      <c r="AF62" t="b">
        <f ca="1"/>
        <v>1</v>
      </c>
      <c r="AG62" t="b">
        <f ca="1"/>
        <v>0</v>
      </c>
      <c r="AH62" t="b">
        <f ca="1"/>
        <v>1</v>
      </c>
      <c r="AI62" t="b">
        <f ca="1"/>
        <v>1</v>
      </c>
      <c r="AJ62" t="b">
        <f ca="1"/>
        <v>0</v>
      </c>
      <c r="AK62" t="b">
        <f ca="1"/>
        <v>0</v>
      </c>
      <c r="AL62" t="b">
        <f ca="1"/>
        <v>1</v>
      </c>
      <c r="AM62" t="b">
        <f ca="1"/>
        <v>0</v>
      </c>
      <c r="AN62">
        <f ca="1"/>
        <v>4</v>
      </c>
      <c r="AO62" t="str">
        <f ca="1"/>
        <v>In Progress</v>
      </c>
      <c r="AP62">
        <f ca="1"/>
        <v>0</v>
      </c>
      <c r="AQ62" t="str">
        <f ca="1"/>
        <v>Inspection</v>
      </c>
      <c r="AR62" t="str">
        <f ca="1"/>
        <v>Paint</v>
      </c>
      <c r="AS62" t="b">
        <f ca="1"/>
        <v>1</v>
      </c>
      <c r="AT62" t="str">
        <f ca="1"/>
        <v>on notice</v>
      </c>
      <c r="AU62" t="b">
        <f ca="1"/>
        <v>0</v>
      </c>
      <c r="AV62" t="b">
        <f ca="1"/>
        <v>0</v>
      </c>
      <c r="AW62" t="b">
        <f ca="1"/>
        <v>1</v>
      </c>
      <c r="AX62" t="str">
        <f ca="1"/>
        <v>Work Stalled</v>
      </c>
      <c r="AY62" t="b">
        <f ca="1"/>
        <v>0</v>
      </c>
      <c r="AZ62" t="str">
        <f ca="1"/>
        <v>⏸️ Work Stalled</v>
      </c>
      <c r="BA62" t="e">
        <f ca="1"/>
        <v>#NUM!</v>
      </c>
      <c r="BB62" t="b">
        <f ca="1"/>
        <v>1</v>
      </c>
      <c r="BC62" t="b">
        <f ca="1"/>
        <v>0</v>
      </c>
      <c r="BD62" t="b">
        <f ca="1"/>
        <v>0</v>
      </c>
      <c r="BE62" t="b">
        <f ca="1"/>
        <v>0</v>
      </c>
    </row>
    <row r="63" spans="3:57" x14ac:dyDescent="0.4">
      <c r="C63" s="1">
        <f ca="1"/>
        <v>78</v>
      </c>
      <c r="D63" s="1" t="str">
        <f ca="1"/>
        <v>Unit 5-11-0303</v>
      </c>
      <c r="E63" s="1" t="str">
        <f ca="1"/>
        <v>Vacant not ready</v>
      </c>
      <c r="F63" s="1" vm="125">
        <f ca="1"/>
        <v>46065</v>
      </c>
      <c r="G63" s="1" vm="143">
        <f ca="1"/>
        <v>46075</v>
      </c>
      <c r="H63">
        <f ca="1"/>
        <v>5</v>
      </c>
      <c r="I63" t="e">
        <f ca="1"/>
        <v>#NUM!</v>
      </c>
      <c r="J63" t="str">
        <f ca="1"/>
        <v/>
      </c>
      <c r="K63" t="str">
        <f ca="1"/>
        <v>VACANT</v>
      </c>
      <c r="L63" vm="112">
        <f ca="1"/>
        <v>46066</v>
      </c>
      <c r="M63" t="str">
        <f ca="1"/>
        <v>Done</v>
      </c>
      <c r="N63" vm="133">
        <f ca="1"/>
        <v>46069</v>
      </c>
      <c r="O63" t="str">
        <f ca="1"/>
        <v>In Progress</v>
      </c>
      <c r="P63" vm="100">
        <f ca="1"/>
        <v>46070</v>
      </c>
      <c r="Q63" t="str">
        <f ca="1"/>
        <v>In Progress</v>
      </c>
      <c r="R63" vm="134">
        <f ca="1"/>
        <v>46073</v>
      </c>
      <c r="S63" t="str">
        <f ca="1"/>
        <v>In Progress</v>
      </c>
      <c r="T63" vm="144">
        <f ca="1"/>
        <v>46076</v>
      </c>
      <c r="U63" t="str">
        <f ca="1"/>
        <v>Scheduled</v>
      </c>
      <c r="V63" t="str">
        <f ca="1"/>
        <v>Total</v>
      </c>
      <c r="W63" t="str">
        <f ca="1"/>
        <v>Yes</v>
      </c>
      <c r="X63" t="str">
        <f ca="1"/>
        <v>No</v>
      </c>
      <c r="Y63" t="str">
        <f ca="1"/>
        <v>5</v>
      </c>
      <c r="Z63" t="str">
        <f ca="1"/>
        <v>11</v>
      </c>
      <c r="AA63" t="str">
        <f ca="1"/>
        <v>0303</v>
      </c>
      <c r="AB63" vm="11">
        <f ca="1"/>
        <v>0</v>
      </c>
      <c r="AC63" t="str">
        <f ca="1"/>
        <v/>
      </c>
      <c r="AD63" t="b">
        <f ca="1"/>
        <v>0</v>
      </c>
      <c r="AE63" t="str">
        <f ca="1"/>
        <v/>
      </c>
      <c r="AF63" t="b">
        <f ca="1"/>
        <v>0</v>
      </c>
      <c r="AG63" t="b">
        <f ca="1"/>
        <v>0</v>
      </c>
      <c r="AH63" t="b">
        <f ca="1"/>
        <v>1</v>
      </c>
      <c r="AI63" t="b">
        <f ca="1"/>
        <v>1</v>
      </c>
      <c r="AJ63" t="b">
        <f ca="1"/>
        <v>0</v>
      </c>
      <c r="AK63" t="b">
        <f ca="1"/>
        <v>0</v>
      </c>
      <c r="AL63" t="b">
        <f ca="1"/>
        <v>1</v>
      </c>
      <c r="AM63" t="b">
        <f ca="1"/>
        <v>0</v>
      </c>
      <c r="AN63">
        <f ca="1"/>
        <v>3</v>
      </c>
      <c r="AO63" t="str">
        <f ca="1"/>
        <v>In Progress</v>
      </c>
      <c r="AP63">
        <f ca="1"/>
        <v>20</v>
      </c>
      <c r="AQ63" t="str">
        <f ca="1"/>
        <v>Paint</v>
      </c>
      <c r="AR63" t="str">
        <f ca="1"/>
        <v>MR</v>
      </c>
      <c r="AS63" t="b">
        <f ca="1"/>
        <v>0</v>
      </c>
      <c r="AT63" t="str">
        <f ca="1"/>
        <v>vacant not ready</v>
      </c>
      <c r="AU63" t="b">
        <f ca="1"/>
        <v>0</v>
      </c>
      <c r="AV63" t="b">
        <f ca="1"/>
        <v>0</v>
      </c>
      <c r="AW63" t="b">
        <f ca="1"/>
        <v>1</v>
      </c>
      <c r="AX63" t="str">
        <f ca="1"/>
        <v>In Progress</v>
      </c>
      <c r="AY63" t="b">
        <f ca="1"/>
        <v>1</v>
      </c>
      <c r="AZ63" t="str">
        <f ca="1"/>
        <v>🟡 Needs Attention</v>
      </c>
      <c r="BA63" t="e">
        <f ca="1"/>
        <v>#NUM!</v>
      </c>
      <c r="BB63" t="b">
        <f ca="1"/>
        <v>0</v>
      </c>
      <c r="BC63" t="b">
        <f ca="1"/>
        <v>0</v>
      </c>
      <c r="BD63" t="b">
        <f ca="1"/>
        <v>0</v>
      </c>
      <c r="BE63" t="b">
        <f ca="1"/>
        <v>0</v>
      </c>
    </row>
    <row r="64" spans="3:57" x14ac:dyDescent="0.4">
      <c r="C64" s="1">
        <f ca="1"/>
        <v>79</v>
      </c>
      <c r="D64" s="1" t="str">
        <f ca="1"/>
        <v>Unit 8-01-2041</v>
      </c>
      <c r="E64" s="1" t="str">
        <f ca="1"/>
        <v>Vacant not ready</v>
      </c>
      <c r="F64" s="1" vm="125">
        <f ca="1"/>
        <v>46065</v>
      </c>
      <c r="G64" s="1" vm="100">
        <f ca="1"/>
        <v>46070</v>
      </c>
      <c r="H64">
        <f ca="1"/>
        <v>5</v>
      </c>
      <c r="I64" t="e">
        <f ca="1"/>
        <v>#NUM!</v>
      </c>
      <c r="J64" t="str">
        <f ca="1"/>
        <v/>
      </c>
      <c r="K64" t="str">
        <f ca="1"/>
        <v>VACANT</v>
      </c>
      <c r="L64" vm="112">
        <f ca="1"/>
        <v>46066</v>
      </c>
      <c r="M64" t="str">
        <f ca="1"/>
        <v>Done</v>
      </c>
      <c r="N64" vm="133">
        <f ca="1"/>
        <v>46069</v>
      </c>
      <c r="O64" t="str">
        <f ca="1"/>
        <v>In Progress</v>
      </c>
      <c r="P64" vm="100">
        <f ca="1"/>
        <v>46070</v>
      </c>
      <c r="Q64" t="str">
        <f ca="1"/>
        <v>Scheduled</v>
      </c>
      <c r="R64" vm="134">
        <f ca="1"/>
        <v>46073</v>
      </c>
      <c r="S64" t="str">
        <f ca="1"/>
        <v>In Progress</v>
      </c>
      <c r="T64" vm="144">
        <f ca="1"/>
        <v>46076</v>
      </c>
      <c r="U64" t="str">
        <f ca="1"/>
        <v>Scheduled</v>
      </c>
      <c r="V64" t="str">
        <f ca="1"/>
        <v>Miguel G</v>
      </c>
      <c r="W64" t="str">
        <f ca="1"/>
        <v>Yes</v>
      </c>
      <c r="X64" t="str">
        <f ca="1"/>
        <v>No</v>
      </c>
      <c r="Y64" t="str">
        <f ca="1"/>
        <v>8</v>
      </c>
      <c r="Z64" t="str">
        <f ca="1"/>
        <v>01</v>
      </c>
      <c r="AA64" t="str">
        <f ca="1"/>
        <v>2041</v>
      </c>
      <c r="AB64" vm="11">
        <f ca="1"/>
        <v>0</v>
      </c>
      <c r="AC64" t="str">
        <f ca="1"/>
        <v/>
      </c>
      <c r="AD64" t="b">
        <f ca="1"/>
        <v>0</v>
      </c>
      <c r="AE64" t="str">
        <f ca="1"/>
        <v/>
      </c>
      <c r="AF64" t="b">
        <f ca="1"/>
        <v>1</v>
      </c>
      <c r="AG64" t="b">
        <f ca="1"/>
        <v>0</v>
      </c>
      <c r="AH64" t="b">
        <f ca="1"/>
        <v>1</v>
      </c>
      <c r="AI64" t="b">
        <f ca="1"/>
        <v>1</v>
      </c>
      <c r="AJ64" t="b">
        <f ca="1"/>
        <v>0</v>
      </c>
      <c r="AK64" t="b">
        <f ca="1"/>
        <v>0</v>
      </c>
      <c r="AL64" t="b">
        <f ca="1"/>
        <v>1</v>
      </c>
      <c r="AM64" t="b">
        <f ca="1"/>
        <v>0</v>
      </c>
      <c r="AN64">
        <f ca="1"/>
        <v>3</v>
      </c>
      <c r="AO64" t="str">
        <f ca="1"/>
        <v>In Progress</v>
      </c>
      <c r="AP64">
        <f ca="1"/>
        <v>20</v>
      </c>
      <c r="AQ64" t="str">
        <f ca="1"/>
        <v>Paint</v>
      </c>
      <c r="AR64" t="str">
        <f ca="1"/>
        <v>MR</v>
      </c>
      <c r="AS64" t="b">
        <f ca="1"/>
        <v>0</v>
      </c>
      <c r="AT64" t="str">
        <f ca="1"/>
        <v>vacant not ready</v>
      </c>
      <c r="AU64" t="b">
        <f ca="1"/>
        <v>0</v>
      </c>
      <c r="AV64" t="b">
        <f ca="1"/>
        <v>0</v>
      </c>
      <c r="AW64" t="b">
        <f ca="1"/>
        <v>1</v>
      </c>
      <c r="AX64" t="str">
        <f ca="1"/>
        <v>In Progress</v>
      </c>
      <c r="AY64" t="b">
        <f ca="1"/>
        <v>1</v>
      </c>
      <c r="AZ64" t="str">
        <f ca="1"/>
        <v>🟡 Needs Attention</v>
      </c>
      <c r="BA64" t="e">
        <f ca="1"/>
        <v>#NUM!</v>
      </c>
      <c r="BB64" t="b">
        <f ca="1"/>
        <v>0</v>
      </c>
      <c r="BC64" t="b">
        <f ca="1"/>
        <v>0</v>
      </c>
      <c r="BD64" t="b">
        <f ca="1"/>
        <v>0</v>
      </c>
      <c r="BE64" t="b">
        <f ca="1"/>
        <v>1</v>
      </c>
    </row>
    <row r="65" spans="3:57" x14ac:dyDescent="0.4">
      <c r="C65" s="1">
        <f ca="1"/>
        <v>10</v>
      </c>
      <c r="D65" s="1" t="str">
        <f ca="1"/>
        <v>Unit 7-TH1-0101</v>
      </c>
      <c r="E65" s="1" t="str">
        <f ca="1"/>
        <v>Vacant not ready</v>
      </c>
      <c r="F65" s="1" vm="112">
        <f ca="1"/>
        <v>46066</v>
      </c>
      <c r="G65" s="1" vm="144">
        <f ca="1"/>
        <v>46076</v>
      </c>
      <c r="H65">
        <f ca="1"/>
        <v>4</v>
      </c>
      <c r="I65" vm="4">
        <f ca="1"/>
        <v>46081</v>
      </c>
      <c r="J65">
        <f ca="1"/>
        <v>-11</v>
      </c>
      <c r="K65" t="str">
        <f ca="1"/>
        <v>SMI</v>
      </c>
      <c r="L65" vm="133">
        <f ca="1"/>
        <v>46069</v>
      </c>
      <c r="M65" t="str">
        <f ca="1"/>
        <v>Done</v>
      </c>
      <c r="N65" vm="100">
        <f ca="1"/>
        <v>46070</v>
      </c>
      <c r="O65" t="str">
        <f ca="1"/>
        <v>In Progress</v>
      </c>
      <c r="P65" vm="115">
        <f ca="1"/>
        <v>46071</v>
      </c>
      <c r="Q65" t="str">
        <f ca="1"/>
        <v>Scheduled</v>
      </c>
      <c r="R65" vm="144">
        <f ca="1"/>
        <v>46076</v>
      </c>
      <c r="S65" t="str">
        <f ca="1"/>
        <v>In Progress</v>
      </c>
      <c r="T65" vm="63">
        <f ca="1"/>
        <v>46077</v>
      </c>
      <c r="U65" t="str">
        <f ca="1"/>
        <v>Scheduled</v>
      </c>
      <c r="V65" t="str">
        <f ca="1"/>
        <v xml:space="preserve">Michael </v>
      </c>
      <c r="W65" t="str">
        <f ca="1"/>
        <v xml:space="preserve">Yes stack </v>
      </c>
      <c r="X65" t="str">
        <f ca="1"/>
        <v>No</v>
      </c>
      <c r="Y65" t="str">
        <f ca="1"/>
        <v>7</v>
      </c>
      <c r="Z65" t="str">
        <f ca="1"/>
        <v>TH1</v>
      </c>
      <c r="AA65" t="str">
        <f ca="1"/>
        <v>0101</v>
      </c>
      <c r="AB65" vm="11">
        <f ca="1"/>
        <v>0</v>
      </c>
      <c r="AC65" t="str">
        <f ca="1"/>
        <v/>
      </c>
      <c r="AD65" t="b">
        <f ca="1"/>
        <v>0</v>
      </c>
      <c r="AE65" t="str">
        <f ca="1"/>
        <v/>
      </c>
      <c r="AF65" t="b">
        <f ca="1"/>
        <v>1</v>
      </c>
      <c r="AG65" t="b">
        <f ca="1"/>
        <v>1</v>
      </c>
      <c r="AH65" t="b">
        <f ca="1"/>
        <v>1</v>
      </c>
      <c r="AI65" t="b">
        <f ca="1"/>
        <v>0</v>
      </c>
      <c r="AJ65" t="b">
        <f ca="1"/>
        <v>1</v>
      </c>
      <c r="AK65" t="b">
        <f ca="1"/>
        <v>0</v>
      </c>
      <c r="AL65" t="b">
        <f ca="1"/>
        <v>1</v>
      </c>
      <c r="AM65" t="b">
        <f ca="1"/>
        <v>0</v>
      </c>
      <c r="AN65">
        <f ca="1"/>
        <v>2</v>
      </c>
      <c r="AO65" t="str">
        <f ca="1"/>
        <v>In Progress</v>
      </c>
      <c r="AP65">
        <f ca="1"/>
        <v>20</v>
      </c>
      <c r="AQ65" t="str">
        <f ca="1"/>
        <v>Paint</v>
      </c>
      <c r="AR65" t="str">
        <f ca="1"/>
        <v>MR</v>
      </c>
      <c r="AS65" t="b">
        <f ca="1"/>
        <v>0</v>
      </c>
      <c r="AT65" t="str">
        <f ca="1"/>
        <v>vacant not ready</v>
      </c>
      <c r="AU65" t="b">
        <f ca="1"/>
        <v>0</v>
      </c>
      <c r="AV65" t="b">
        <f ca="1"/>
        <v>0</v>
      </c>
      <c r="AW65" t="b">
        <f ca="1"/>
        <v>0</v>
      </c>
      <c r="AX65" t="str">
        <f ca="1"/>
        <v>In Progress</v>
      </c>
      <c r="AY65" t="b">
        <f ca="1"/>
        <v>0</v>
      </c>
      <c r="AZ65" t="str">
        <f ca="1"/>
        <v>📅 Scheduled to Move In</v>
      </c>
      <c r="BA65">
        <f ca="1"/>
        <v>11</v>
      </c>
      <c r="BB65" t="b">
        <f ca="1"/>
        <v>0</v>
      </c>
      <c r="BC65" t="b">
        <f ca="1"/>
        <v>0</v>
      </c>
      <c r="BD65" t="b">
        <f ca="1"/>
        <v>0</v>
      </c>
      <c r="BE65" t="b">
        <f ca="1"/>
        <v>0</v>
      </c>
    </row>
    <row r="66" spans="3:57" x14ac:dyDescent="0.4">
      <c r="C66" s="1">
        <f ca="1"/>
        <v>81</v>
      </c>
      <c r="D66" s="1" t="str">
        <f ca="1"/>
        <v>Unit 5-18-0125</v>
      </c>
      <c r="E66" s="1" t="str">
        <f ca="1"/>
        <v>Vacant not ready</v>
      </c>
      <c r="F66" s="1" vm="132">
        <f ca="1"/>
        <v>46068</v>
      </c>
      <c r="G66" s="1" vm="4">
        <f ca="1"/>
        <v>46081</v>
      </c>
      <c r="H66">
        <f ca="1"/>
        <v>2</v>
      </c>
      <c r="I66" t="e">
        <f ca="1"/>
        <v>#NUM!</v>
      </c>
      <c r="J66" t="str">
        <f ca="1"/>
        <v/>
      </c>
      <c r="K66" t="str">
        <f ca="1"/>
        <v>VACANT</v>
      </c>
      <c r="L66" vm="133">
        <f ca="1"/>
        <v>46069</v>
      </c>
      <c r="M66" t="str">
        <f ca="1"/>
        <v>Scheduled</v>
      </c>
      <c r="N66" vm="100">
        <f ca="1"/>
        <v>46070</v>
      </c>
      <c r="O66" t="str">
        <f ca="1"/>
        <v>Scheduled</v>
      </c>
      <c r="P66" vm="115">
        <f ca="1"/>
        <v>46071</v>
      </c>
      <c r="Q66" t="str">
        <f ca="1"/>
        <v>Scheduled</v>
      </c>
      <c r="R66" vm="144">
        <f ca="1"/>
        <v>46076</v>
      </c>
      <c r="S66" t="str">
        <f ca="1"/>
        <v>Scheduled</v>
      </c>
      <c r="T66" vm="63">
        <f ca="1"/>
        <v>46077</v>
      </c>
      <c r="U66" t="str">
        <f ca="1"/>
        <v>Scheduled</v>
      </c>
      <c r="V66" t="str">
        <f ca="1"/>
        <v>Total</v>
      </c>
      <c r="W66" vm="11">
        <f ca="1"/>
        <v>0</v>
      </c>
      <c r="X66" t="str">
        <f ca="1"/>
        <v>No</v>
      </c>
      <c r="Y66" t="str">
        <f ca="1"/>
        <v>5</v>
      </c>
      <c r="Z66" t="str">
        <f ca="1"/>
        <v>18</v>
      </c>
      <c r="AA66" t="str">
        <f ca="1"/>
        <v>0125</v>
      </c>
      <c r="AB66" vm="11">
        <f ca="1"/>
        <v>0</v>
      </c>
      <c r="AC66" t="str">
        <f ca="1"/>
        <v/>
      </c>
      <c r="AD66" t="b">
        <f ca="1"/>
        <v>0</v>
      </c>
      <c r="AE66" t="str">
        <f ca="1"/>
        <v/>
      </c>
      <c r="AF66" t="b">
        <f ca="1"/>
        <v>0</v>
      </c>
      <c r="AG66" t="b">
        <f ca="1"/>
        <v>0</v>
      </c>
      <c r="AH66" t="b">
        <f ca="1"/>
        <v>1</v>
      </c>
      <c r="AI66" t="b">
        <f ca="1"/>
        <v>1</v>
      </c>
      <c r="AJ66" t="b">
        <f ca="1"/>
        <v>0</v>
      </c>
      <c r="AK66" t="b">
        <f ca="1"/>
        <v>0</v>
      </c>
      <c r="AL66" t="b">
        <f ca="1"/>
        <v>1</v>
      </c>
      <c r="AM66" t="b">
        <f ca="1"/>
        <v>0</v>
      </c>
      <c r="AN66">
        <f ca="1"/>
        <v>1</v>
      </c>
      <c r="AO66" t="str">
        <f ca="1"/>
        <v>In Progress</v>
      </c>
      <c r="AP66">
        <f ca="1"/>
        <v>0</v>
      </c>
      <c r="AQ66" t="str">
        <f ca="1"/>
        <v>Inspection</v>
      </c>
      <c r="AR66" t="str">
        <f ca="1"/>
        <v>Paint</v>
      </c>
      <c r="AS66" t="b">
        <f ca="1"/>
        <v>0</v>
      </c>
      <c r="AT66" t="str">
        <f ca="1"/>
        <v>vacant not ready</v>
      </c>
      <c r="AU66" t="b">
        <f ca="1"/>
        <v>0</v>
      </c>
      <c r="AV66" t="b">
        <f ca="1"/>
        <v>0</v>
      </c>
      <c r="AW66" t="b">
        <f ca="1"/>
        <v>1</v>
      </c>
      <c r="AX66" t="str">
        <f ca="1"/>
        <v>In Progress</v>
      </c>
      <c r="AY66" t="b">
        <f ca="1"/>
        <v>1</v>
      </c>
      <c r="AZ66" t="str">
        <f ca="1"/>
        <v>🟡 Needs Attention</v>
      </c>
      <c r="BA66" t="e">
        <f ca="1"/>
        <v>#NUM!</v>
      </c>
      <c r="BB66" t="b">
        <f ca="1"/>
        <v>0</v>
      </c>
      <c r="BC66" t="b">
        <f ca="1"/>
        <v>0</v>
      </c>
      <c r="BD66" t="b">
        <f ca="1"/>
        <v>0</v>
      </c>
      <c r="BE66" t="b">
        <f ca="1"/>
        <v>0</v>
      </c>
    </row>
    <row r="67" spans="3:57" x14ac:dyDescent="0.4">
      <c r="C67" s="1">
        <f ca="1"/>
        <v>80</v>
      </c>
      <c r="D67" s="1" t="str">
        <f ca="1"/>
        <v>Unit 7-10-0107</v>
      </c>
      <c r="E67" s="1" t="str">
        <f ca="1"/>
        <v>Vacant not ready</v>
      </c>
      <c r="F67" s="1" vm="132">
        <f ca="1"/>
        <v>46068</v>
      </c>
      <c r="G67" s="1" vm="135">
        <f ca="1"/>
        <v>46078</v>
      </c>
      <c r="H67">
        <f ca="1"/>
        <v>2</v>
      </c>
      <c r="I67" t="e">
        <f ca="1"/>
        <v>#NUM!</v>
      </c>
      <c r="J67" t="str">
        <f ca="1"/>
        <v/>
      </c>
      <c r="K67" t="str">
        <f ca="1"/>
        <v>VACANT</v>
      </c>
      <c r="L67" vm="133">
        <f ca="1"/>
        <v>46069</v>
      </c>
      <c r="M67" t="str">
        <f ca="1"/>
        <v>Done</v>
      </c>
      <c r="N67" vm="100">
        <f ca="1"/>
        <v>46070</v>
      </c>
      <c r="O67" t="str">
        <f ca="1"/>
        <v>In Progress</v>
      </c>
      <c r="P67" vm="115">
        <f ca="1"/>
        <v>46071</v>
      </c>
      <c r="Q67" t="str">
        <f ca="1"/>
        <v>Scheduled</v>
      </c>
      <c r="R67" vm="144">
        <f ca="1"/>
        <v>46076</v>
      </c>
      <c r="S67" t="str">
        <f ca="1"/>
        <v>In Progress</v>
      </c>
      <c r="T67" vm="63">
        <f ca="1"/>
        <v>46077</v>
      </c>
      <c r="U67" t="str">
        <f ca="1"/>
        <v>Done</v>
      </c>
      <c r="V67" t="str">
        <f ca="1"/>
        <v>Miguel G</v>
      </c>
      <c r="W67" t="str">
        <f ca="1"/>
        <v xml:space="preserve">Yes stack </v>
      </c>
      <c r="X67" t="str">
        <f ca="1"/>
        <v>No</v>
      </c>
      <c r="Y67" t="str">
        <f ca="1"/>
        <v>7</v>
      </c>
      <c r="Z67" t="str">
        <f ca="1"/>
        <v>10</v>
      </c>
      <c r="AA67" t="str">
        <f ca="1"/>
        <v>0107</v>
      </c>
      <c r="AB67" vm="11">
        <f ca="1"/>
        <v>0</v>
      </c>
      <c r="AC67" t="str">
        <f ca="1"/>
        <v/>
      </c>
      <c r="AD67" t="b">
        <f ca="1"/>
        <v>0</v>
      </c>
      <c r="AE67" t="str">
        <f ca="1"/>
        <v/>
      </c>
      <c r="AF67" t="b">
        <f ca="1"/>
        <v>1</v>
      </c>
      <c r="AG67" t="b">
        <f ca="1"/>
        <v>0</v>
      </c>
      <c r="AH67" t="b">
        <f ca="1"/>
        <v>1</v>
      </c>
      <c r="AI67" t="b">
        <f ca="1"/>
        <v>1</v>
      </c>
      <c r="AJ67" t="b">
        <f ca="1"/>
        <v>0</v>
      </c>
      <c r="AK67" t="b">
        <f ca="1"/>
        <v>0</v>
      </c>
      <c r="AL67" t="b">
        <f ca="1"/>
        <v>1</v>
      </c>
      <c r="AM67" t="b">
        <f ca="1"/>
        <v>0</v>
      </c>
      <c r="AN67">
        <f ca="1"/>
        <v>1</v>
      </c>
      <c r="AO67" t="str">
        <f ca="1"/>
        <v>In Progress</v>
      </c>
      <c r="AP67">
        <f ca="1"/>
        <v>40</v>
      </c>
      <c r="AQ67" t="str">
        <f ca="1"/>
        <v>Paint</v>
      </c>
      <c r="AR67" t="str">
        <f ca="1"/>
        <v>MR</v>
      </c>
      <c r="AS67" t="b">
        <f ca="1"/>
        <v>0</v>
      </c>
      <c r="AT67" t="str">
        <f ca="1"/>
        <v>vacant not ready</v>
      </c>
      <c r="AU67" t="b">
        <f ca="1"/>
        <v>0</v>
      </c>
      <c r="AV67" t="b">
        <f ca="1"/>
        <v>0</v>
      </c>
      <c r="AW67" t="b">
        <f ca="1"/>
        <v>1</v>
      </c>
      <c r="AX67" t="str">
        <f ca="1"/>
        <v>In Progress</v>
      </c>
      <c r="AY67" t="b">
        <f ca="1"/>
        <v>1</v>
      </c>
      <c r="AZ67" t="str">
        <f ca="1"/>
        <v>🟡 Needs Attention</v>
      </c>
      <c r="BA67" t="e">
        <f ca="1"/>
        <v>#NUM!</v>
      </c>
      <c r="BB67" t="b">
        <f ca="1"/>
        <v>0</v>
      </c>
      <c r="BC67" t="b">
        <f ca="1"/>
        <v>0</v>
      </c>
      <c r="BD67" t="b">
        <f ca="1"/>
        <v>0</v>
      </c>
      <c r="BE67" t="b">
        <f ca="1"/>
        <v>0</v>
      </c>
    </row>
    <row r="68" spans="3:57" x14ac:dyDescent="0.4">
      <c r="C68" s="1">
        <f ca="1"/>
        <v>82</v>
      </c>
      <c r="D68" s="1" t="str">
        <f ca="1"/>
        <v>Unit 7-06-0209</v>
      </c>
      <c r="E68" s="1" t="str">
        <f ca="1"/>
        <v>Vacant not ready</v>
      </c>
      <c r="F68" s="1" vm="132">
        <f ca="1"/>
        <v>46068</v>
      </c>
      <c r="G68" s="1" vm="135">
        <f ca="1"/>
        <v>46078</v>
      </c>
      <c r="H68">
        <f ca="1"/>
        <v>2</v>
      </c>
      <c r="I68" t="e">
        <f ca="1"/>
        <v>#NUM!</v>
      </c>
      <c r="J68" t="str">
        <f ca="1"/>
        <v/>
      </c>
      <c r="K68" t="str">
        <f ca="1"/>
        <v>VACANT</v>
      </c>
      <c r="L68" vm="133">
        <f ca="1"/>
        <v>46069</v>
      </c>
      <c r="M68" t="str">
        <f ca="1"/>
        <v>Done</v>
      </c>
      <c r="N68" vm="100">
        <f ca="1"/>
        <v>46070</v>
      </c>
      <c r="O68" t="str">
        <f ca="1"/>
        <v>In Progress</v>
      </c>
      <c r="P68" vm="115">
        <f ca="1"/>
        <v>46071</v>
      </c>
      <c r="Q68" t="str">
        <f ca="1"/>
        <v>Scheduled</v>
      </c>
      <c r="R68" vm="144">
        <f ca="1"/>
        <v>46076</v>
      </c>
      <c r="S68" t="str">
        <f ca="1"/>
        <v>In Progress</v>
      </c>
      <c r="T68" vm="63">
        <f ca="1"/>
        <v>46077</v>
      </c>
      <c r="U68" t="str">
        <f ca="1"/>
        <v>Scheduled</v>
      </c>
      <c r="V68" t="str">
        <f ca="1"/>
        <v>Miguel G</v>
      </c>
      <c r="W68" t="str">
        <f ca="1"/>
        <v>Yes</v>
      </c>
      <c r="X68" t="str">
        <f ca="1"/>
        <v>No</v>
      </c>
      <c r="Y68" t="str">
        <f ca="1"/>
        <v>7</v>
      </c>
      <c r="Z68" t="str">
        <f ca="1"/>
        <v>06</v>
      </c>
      <c r="AA68" t="str">
        <f ca="1"/>
        <v>0209</v>
      </c>
      <c r="AB68" vm="11">
        <f ca="1"/>
        <v>0</v>
      </c>
      <c r="AC68" t="str">
        <f ca="1"/>
        <v/>
      </c>
      <c r="AD68" t="b">
        <f ca="1"/>
        <v>0</v>
      </c>
      <c r="AE68" t="str">
        <f ca="1"/>
        <v/>
      </c>
      <c r="AF68" t="b">
        <f ca="1"/>
        <v>1</v>
      </c>
      <c r="AG68" t="b">
        <f ca="1"/>
        <v>0</v>
      </c>
      <c r="AH68" t="b">
        <f ca="1"/>
        <v>1</v>
      </c>
      <c r="AI68" t="b">
        <f ca="1"/>
        <v>1</v>
      </c>
      <c r="AJ68" t="b">
        <f ca="1"/>
        <v>0</v>
      </c>
      <c r="AK68" t="b">
        <f ca="1"/>
        <v>0</v>
      </c>
      <c r="AL68" t="b">
        <f ca="1"/>
        <v>1</v>
      </c>
      <c r="AM68" t="b">
        <f ca="1"/>
        <v>0</v>
      </c>
      <c r="AN68">
        <f ca="1"/>
        <v>1</v>
      </c>
      <c r="AO68" t="str">
        <f ca="1"/>
        <v>In Progress</v>
      </c>
      <c r="AP68">
        <f ca="1"/>
        <v>20</v>
      </c>
      <c r="AQ68" t="str">
        <f ca="1"/>
        <v>Paint</v>
      </c>
      <c r="AR68" t="str">
        <f ca="1"/>
        <v>MR</v>
      </c>
      <c r="AS68" t="b">
        <f ca="1"/>
        <v>0</v>
      </c>
      <c r="AT68" t="str">
        <f ca="1"/>
        <v>vacant not ready</v>
      </c>
      <c r="AU68" t="b">
        <f ca="1"/>
        <v>0</v>
      </c>
      <c r="AV68" t="b">
        <f ca="1"/>
        <v>0</v>
      </c>
      <c r="AW68" t="b">
        <f ca="1"/>
        <v>1</v>
      </c>
      <c r="AX68" t="str">
        <f ca="1"/>
        <v>In Progress</v>
      </c>
      <c r="AY68" t="b">
        <f ca="1"/>
        <v>1</v>
      </c>
      <c r="AZ68" t="str">
        <f ca="1"/>
        <v>🟡 Needs Attention</v>
      </c>
      <c r="BA68" t="e">
        <f ca="1"/>
        <v>#NUM!</v>
      </c>
      <c r="BB68" t="b">
        <f ca="1"/>
        <v>0</v>
      </c>
      <c r="BC68" t="b">
        <f ca="1"/>
        <v>0</v>
      </c>
      <c r="BD68" t="b">
        <f ca="1"/>
        <v>0</v>
      </c>
      <c r="BE68" t="b">
        <f ca="1"/>
        <v>0</v>
      </c>
    </row>
    <row r="69" spans="3:57" x14ac:dyDescent="0.4">
      <c r="C69" s="1">
        <f ca="1"/>
        <v>84</v>
      </c>
      <c r="D69" s="1" t="str">
        <f ca="1"/>
        <v>Unit 7-10-0107</v>
      </c>
      <c r="E69" s="1" t="str">
        <f ca="1"/>
        <v>Vacant not ready</v>
      </c>
      <c r="F69" s="1" vm="132">
        <f ca="1"/>
        <v>46068</v>
      </c>
      <c r="G69" s="1" vm="135">
        <f ca="1"/>
        <v>46078</v>
      </c>
      <c r="H69">
        <f ca="1"/>
        <v>2</v>
      </c>
      <c r="I69" t="e">
        <f ca="1"/>
        <v>#NUM!</v>
      </c>
      <c r="J69" t="str">
        <f ca="1"/>
        <v/>
      </c>
      <c r="K69" t="str">
        <f ca="1"/>
        <v>VACANT</v>
      </c>
      <c r="L69" vm="133">
        <f ca="1"/>
        <v>46069</v>
      </c>
      <c r="M69" t="str">
        <f ca="1"/>
        <v>Scheduled</v>
      </c>
      <c r="N69" vm="100">
        <f ca="1"/>
        <v>46070</v>
      </c>
      <c r="O69" t="str">
        <f ca="1"/>
        <v>Scheduled</v>
      </c>
      <c r="P69" vm="115">
        <f ca="1"/>
        <v>46071</v>
      </c>
      <c r="Q69" t="str">
        <f ca="1"/>
        <v>Scheduled</v>
      </c>
      <c r="R69" vm="144">
        <f ca="1"/>
        <v>46076</v>
      </c>
      <c r="S69" t="str">
        <f ca="1"/>
        <v>Scheduled</v>
      </c>
      <c r="T69" vm="63">
        <f ca="1"/>
        <v>46077</v>
      </c>
      <c r="U69" t="str">
        <f ca="1"/>
        <v>Scheduled</v>
      </c>
      <c r="V69" t="str">
        <f ca="1"/>
        <v>Brad</v>
      </c>
      <c r="W69" vm="11">
        <f ca="1"/>
        <v>0</v>
      </c>
      <c r="X69" t="str">
        <f ca="1"/>
        <v>No</v>
      </c>
      <c r="Y69" t="str">
        <f ca="1"/>
        <v>7</v>
      </c>
      <c r="Z69" t="str">
        <f ca="1"/>
        <v>10</v>
      </c>
      <c r="AA69" t="str">
        <f ca="1"/>
        <v>0107</v>
      </c>
      <c r="AB69" vm="11">
        <f ca="1"/>
        <v>0</v>
      </c>
      <c r="AC69" t="str">
        <f ca="1"/>
        <v/>
      </c>
      <c r="AD69" t="b">
        <f ca="1"/>
        <v>0</v>
      </c>
      <c r="AE69" t="str">
        <f ca="1"/>
        <v/>
      </c>
      <c r="AF69" t="b">
        <f ca="1"/>
        <v>1</v>
      </c>
      <c r="AG69" t="b">
        <f ca="1"/>
        <v>0</v>
      </c>
      <c r="AH69" t="b">
        <f ca="1"/>
        <v>1</v>
      </c>
      <c r="AI69" t="b">
        <f ca="1"/>
        <v>1</v>
      </c>
      <c r="AJ69" t="b">
        <f ca="1"/>
        <v>0</v>
      </c>
      <c r="AK69" t="b">
        <f ca="1"/>
        <v>0</v>
      </c>
      <c r="AL69" t="b">
        <f ca="1"/>
        <v>1</v>
      </c>
      <c r="AM69" t="b">
        <f ca="1"/>
        <v>0</v>
      </c>
      <c r="AN69">
        <f ca="1"/>
        <v>1</v>
      </c>
      <c r="AO69" t="str">
        <f ca="1"/>
        <v>In Progress</v>
      </c>
      <c r="AP69">
        <f ca="1"/>
        <v>0</v>
      </c>
      <c r="AQ69" t="str">
        <f ca="1"/>
        <v>Inspection</v>
      </c>
      <c r="AR69" t="str">
        <f ca="1"/>
        <v>Paint</v>
      </c>
      <c r="AS69" t="b">
        <f ca="1"/>
        <v>0</v>
      </c>
      <c r="AT69" t="str">
        <f ca="1"/>
        <v>vacant not ready</v>
      </c>
      <c r="AU69" t="b">
        <f ca="1"/>
        <v>0</v>
      </c>
      <c r="AV69" t="b">
        <f ca="1"/>
        <v>0</v>
      </c>
      <c r="AW69" t="b">
        <f ca="1"/>
        <v>1</v>
      </c>
      <c r="AX69" t="str">
        <f ca="1"/>
        <v>In Progress</v>
      </c>
      <c r="AY69" t="b">
        <f ca="1"/>
        <v>1</v>
      </c>
      <c r="AZ69" t="str">
        <f ca="1"/>
        <v>🟡 Needs Attention</v>
      </c>
      <c r="BA69" t="e">
        <f ca="1"/>
        <v>#NUM!</v>
      </c>
      <c r="BB69" t="b">
        <f ca="1"/>
        <v>0</v>
      </c>
      <c r="BC69" t="b">
        <f ca="1"/>
        <v>0</v>
      </c>
      <c r="BD69" t="b">
        <f ca="1"/>
        <v>0</v>
      </c>
      <c r="BE69" t="b">
        <f ca="1"/>
        <v>0</v>
      </c>
    </row>
    <row r="70" spans="3:57" x14ac:dyDescent="0.4">
      <c r="C70" s="1">
        <f ca="1"/>
        <v>83</v>
      </c>
      <c r="D70" s="1" t="str">
        <f ca="1"/>
        <v>Unit 5-03-0227</v>
      </c>
      <c r="E70" s="1" t="str">
        <f ca="1"/>
        <v>Vacant not ready</v>
      </c>
      <c r="F70" s="1" vm="132">
        <f ca="1"/>
        <v>46068</v>
      </c>
      <c r="G70" s="1" vm="4">
        <f ca="1"/>
        <v>46081</v>
      </c>
      <c r="H70">
        <f ca="1"/>
        <v>2</v>
      </c>
      <c r="I70" t="e">
        <f ca="1"/>
        <v>#NUM!</v>
      </c>
      <c r="J70" t="str">
        <f ca="1"/>
        <v/>
      </c>
      <c r="K70" t="str">
        <f ca="1"/>
        <v>VACANT</v>
      </c>
      <c r="L70" vm="133">
        <f ca="1"/>
        <v>46069</v>
      </c>
      <c r="M70" t="str">
        <f ca="1"/>
        <v>Done</v>
      </c>
      <c r="N70" vm="100">
        <f ca="1"/>
        <v>46070</v>
      </c>
      <c r="O70" t="str">
        <f ca="1"/>
        <v>In Progress</v>
      </c>
      <c r="P70" vm="115">
        <f ca="1"/>
        <v>46071</v>
      </c>
      <c r="Q70" t="str">
        <f ca="1"/>
        <v>In Progress</v>
      </c>
      <c r="R70" vm="144">
        <f ca="1"/>
        <v>46076</v>
      </c>
      <c r="S70" t="str">
        <f ca="1"/>
        <v>In Progress</v>
      </c>
      <c r="T70" vm="63">
        <f ca="1"/>
        <v>46077</v>
      </c>
      <c r="U70" t="str">
        <f ca="1"/>
        <v>Scheduled</v>
      </c>
      <c r="V70" t="str">
        <f ca="1"/>
        <v>Total</v>
      </c>
      <c r="W70" t="str">
        <f ca="1"/>
        <v>Yes</v>
      </c>
      <c r="X70" t="str">
        <f ca="1"/>
        <v>No</v>
      </c>
      <c r="Y70" t="str">
        <f ca="1"/>
        <v>5</v>
      </c>
      <c r="Z70" t="str">
        <f ca="1"/>
        <v>03</v>
      </c>
      <c r="AA70" t="str">
        <f ca="1"/>
        <v>0227</v>
      </c>
      <c r="AB70" t="str">
        <f ca="1"/>
        <v>[ISSUE:Wether | weather storm  freezes]</v>
      </c>
      <c r="AC70" t="str">
        <f ca="1"/>
        <v>[ISSUE:Wether | weather storm  freezes]</v>
      </c>
      <c r="AD70" t="b">
        <f ca="1"/>
        <v>1</v>
      </c>
      <c r="AE70" t="str">
        <f ca="1"/>
        <v>ISSUE</v>
      </c>
      <c r="AF70" t="b">
        <f ca="1"/>
        <v>0</v>
      </c>
      <c r="AG70" t="b">
        <f ca="1"/>
        <v>0</v>
      </c>
      <c r="AH70" t="b">
        <f ca="1"/>
        <v>1</v>
      </c>
      <c r="AI70" t="b">
        <f ca="1"/>
        <v>1</v>
      </c>
      <c r="AJ70" t="b">
        <f ca="1"/>
        <v>0</v>
      </c>
      <c r="AK70" t="b">
        <f ca="1"/>
        <v>0</v>
      </c>
      <c r="AL70" t="b">
        <f ca="1"/>
        <v>1</v>
      </c>
      <c r="AM70" t="b">
        <f ca="1"/>
        <v>0</v>
      </c>
      <c r="AN70">
        <f ca="1"/>
        <v>1</v>
      </c>
      <c r="AO70" t="str">
        <f ca="1"/>
        <v>In Progress</v>
      </c>
      <c r="AP70">
        <f ca="1"/>
        <v>20</v>
      </c>
      <c r="AQ70" t="str">
        <f ca="1"/>
        <v>Paint</v>
      </c>
      <c r="AR70" t="str">
        <f ca="1"/>
        <v>MR</v>
      </c>
      <c r="AS70" t="b">
        <f ca="1"/>
        <v>0</v>
      </c>
      <c r="AT70" t="str">
        <f ca="1"/>
        <v>vacant not ready</v>
      </c>
      <c r="AU70" t="b">
        <f ca="1"/>
        <v>0</v>
      </c>
      <c r="AV70" t="b">
        <f ca="1"/>
        <v>0</v>
      </c>
      <c r="AW70" t="b">
        <f ca="1"/>
        <v>1</v>
      </c>
      <c r="AX70" t="str">
        <f ca="1"/>
        <v>In Progress</v>
      </c>
      <c r="AY70" t="b">
        <f ca="1"/>
        <v>1</v>
      </c>
      <c r="AZ70" t="str">
        <f ca="1"/>
        <v>🟡 Needs Attention</v>
      </c>
      <c r="BA70" t="e">
        <f ca="1"/>
        <v>#NUM!</v>
      </c>
      <c r="BB70" t="b">
        <f ca="1"/>
        <v>0</v>
      </c>
      <c r="BC70" t="b">
        <f ca="1"/>
        <v>0</v>
      </c>
      <c r="BD70" t="b">
        <f ca="1"/>
        <v>0</v>
      </c>
      <c r="BE70" t="b">
        <f ca="1"/>
        <v>0</v>
      </c>
    </row>
    <row r="71" spans="3:57" x14ac:dyDescent="0.4">
      <c r="C71" s="1">
        <f ca="1"/>
        <v>15</v>
      </c>
      <c r="D71" s="1" t="str">
        <f ca="1"/>
        <v>Unit 7-07-0202</v>
      </c>
      <c r="E71" s="1" t="str">
        <f ca="1"/>
        <v>Vacant not ready</v>
      </c>
      <c r="F71" s="1" vm="133">
        <f ca="1"/>
        <v>46069</v>
      </c>
      <c r="G71" s="1" vm="135">
        <f ca="1"/>
        <v>46078</v>
      </c>
      <c r="H71">
        <f ca="1"/>
        <v>1</v>
      </c>
      <c r="I71" vm="137">
        <f ca="1"/>
        <v>46087</v>
      </c>
      <c r="J71">
        <f ca="1"/>
        <v>-17</v>
      </c>
      <c r="K71" t="str">
        <f ca="1"/>
        <v>SMI</v>
      </c>
      <c r="L71" vm="100">
        <f ca="1"/>
        <v>46070</v>
      </c>
      <c r="M71" t="str">
        <f ca="1"/>
        <v>Done</v>
      </c>
      <c r="N71" vm="115">
        <f ca="1"/>
        <v>46071</v>
      </c>
      <c r="O71" t="str">
        <f ca="1"/>
        <v>In Progress</v>
      </c>
      <c r="P71" vm="131">
        <f ca="1"/>
        <v>46072</v>
      </c>
      <c r="Q71" t="str">
        <f ca="1"/>
        <v>Scheduled</v>
      </c>
      <c r="R71" vm="63">
        <f ca="1"/>
        <v>46077</v>
      </c>
      <c r="S71" t="str">
        <f ca="1"/>
        <v>In Progress</v>
      </c>
      <c r="T71" vm="135">
        <f ca="1"/>
        <v>46078</v>
      </c>
      <c r="U71" t="str">
        <f ca="1"/>
        <v>Scheduled</v>
      </c>
      <c r="V71" t="str">
        <f ca="1"/>
        <v>Brad</v>
      </c>
      <c r="W71" t="str">
        <f ca="1"/>
        <v>No</v>
      </c>
      <c r="X71" t="str">
        <f ca="1"/>
        <v>No</v>
      </c>
      <c r="Y71" t="str">
        <f ca="1"/>
        <v>7</v>
      </c>
      <c r="Z71" t="str">
        <f ca="1"/>
        <v>07</v>
      </c>
      <c r="AA71" t="str">
        <f ca="1"/>
        <v>0202</v>
      </c>
      <c r="AB71" t="str">
        <f ca="1"/>
        <v>[ISSUE:Wether | weather storm  freezes]</v>
      </c>
      <c r="AC71" t="str">
        <f ca="1"/>
        <v>[ISSUE:Wether | weather storm  freezes]</v>
      </c>
      <c r="AD71" t="b">
        <f ca="1"/>
        <v>1</v>
      </c>
      <c r="AE71" t="str">
        <f ca="1"/>
        <v>ISSUE</v>
      </c>
      <c r="AF71" t="b">
        <f ca="1"/>
        <v>1</v>
      </c>
      <c r="AG71" t="b">
        <f ca="1"/>
        <v>1</v>
      </c>
      <c r="AH71" t="b">
        <f ca="1"/>
        <v>1</v>
      </c>
      <c r="AI71" t="b">
        <f ca="1"/>
        <v>0</v>
      </c>
      <c r="AJ71" t="b">
        <f ca="1"/>
        <v>1</v>
      </c>
      <c r="AK71" t="b">
        <f ca="1"/>
        <v>0</v>
      </c>
      <c r="AL71" t="b">
        <f ca="1"/>
        <v>1</v>
      </c>
      <c r="AM71" t="b">
        <f ca="1"/>
        <v>0</v>
      </c>
      <c r="AN71">
        <f ca="1"/>
        <v>1</v>
      </c>
      <c r="AO71" t="str">
        <f ca="1"/>
        <v>In Progress</v>
      </c>
      <c r="AP71">
        <f ca="1"/>
        <v>20</v>
      </c>
      <c r="AQ71" t="str">
        <f ca="1"/>
        <v>Paint</v>
      </c>
      <c r="AR71" t="str">
        <f ca="1"/>
        <v>MR</v>
      </c>
      <c r="AS71" t="b">
        <f ca="1"/>
        <v>0</v>
      </c>
      <c r="AT71" t="str">
        <f ca="1"/>
        <v>vacant not ready</v>
      </c>
      <c r="AU71" t="b">
        <f ca="1"/>
        <v>0</v>
      </c>
      <c r="AV71" t="b">
        <f ca="1"/>
        <v>0</v>
      </c>
      <c r="AW71" t="b">
        <f ca="1"/>
        <v>0</v>
      </c>
      <c r="AX71" t="str">
        <f ca="1"/>
        <v>In Progress</v>
      </c>
      <c r="AY71" t="b">
        <f ca="1"/>
        <v>0</v>
      </c>
      <c r="AZ71" t="str">
        <f ca="1"/>
        <v>📅 Scheduled to Move In</v>
      </c>
      <c r="BA71">
        <f ca="1"/>
        <v>17</v>
      </c>
      <c r="BB71" t="b">
        <f ca="1"/>
        <v>0</v>
      </c>
      <c r="BC71" t="b">
        <f ca="1"/>
        <v>0</v>
      </c>
      <c r="BD71" t="b">
        <f ca="1"/>
        <v>0</v>
      </c>
      <c r="BE71" t="b">
        <f ca="1"/>
        <v>0</v>
      </c>
    </row>
    <row r="72" spans="3:57" x14ac:dyDescent="0.4">
      <c r="C72" s="1">
        <f ca="1"/>
        <v>11</v>
      </c>
      <c r="D72" s="1" t="str">
        <f ca="1"/>
        <v>Unit 8-01-3040</v>
      </c>
      <c r="E72" s="1" t="str">
        <f ca="1"/>
        <v>Vacant not ready</v>
      </c>
      <c r="F72" s="1" vm="132">
        <f ca="1"/>
        <v>46068</v>
      </c>
      <c r="G72" s="1" vm="135">
        <f ca="1"/>
        <v>46078</v>
      </c>
      <c r="H72">
        <f ca="1"/>
        <v>2</v>
      </c>
      <c r="I72" vm="4">
        <f ca="1"/>
        <v>46081</v>
      </c>
      <c r="J72">
        <f ca="1"/>
        <v>-11</v>
      </c>
      <c r="K72" t="str">
        <f ca="1"/>
        <v>SMI</v>
      </c>
      <c r="L72" vm="133">
        <f ca="1"/>
        <v>46069</v>
      </c>
      <c r="M72" t="str">
        <f ca="1"/>
        <v>Done</v>
      </c>
      <c r="N72" vm="100">
        <f ca="1"/>
        <v>46070</v>
      </c>
      <c r="O72" t="str">
        <f ca="1"/>
        <v>In Progress</v>
      </c>
      <c r="P72" vm="115">
        <f ca="1"/>
        <v>46071</v>
      </c>
      <c r="Q72" t="str">
        <f ca="1"/>
        <v>Scheduled</v>
      </c>
      <c r="R72" vm="144">
        <f ca="1"/>
        <v>46076</v>
      </c>
      <c r="S72" t="str">
        <f ca="1"/>
        <v>In Progress</v>
      </c>
      <c r="T72" vm="63">
        <f ca="1"/>
        <v>46077</v>
      </c>
      <c r="U72" t="str">
        <f ca="1"/>
        <v>Scheduled</v>
      </c>
      <c r="V72" t="str">
        <f ca="1"/>
        <v xml:space="preserve">Michael </v>
      </c>
      <c r="W72" t="str">
        <f ca="1"/>
        <v>Yes</v>
      </c>
      <c r="X72" t="str">
        <f ca="1"/>
        <v>No</v>
      </c>
      <c r="Y72" t="str">
        <f ca="1"/>
        <v>8</v>
      </c>
      <c r="Z72" t="str">
        <f ca="1"/>
        <v>01</v>
      </c>
      <c r="AA72" t="str">
        <f ca="1"/>
        <v>3040</v>
      </c>
      <c r="AB72" vm="11">
        <f ca="1"/>
        <v>0</v>
      </c>
      <c r="AC72" t="str">
        <f ca="1"/>
        <v/>
      </c>
      <c r="AD72" t="b">
        <f ca="1"/>
        <v>0</v>
      </c>
      <c r="AE72" t="str">
        <f ca="1"/>
        <v/>
      </c>
      <c r="AF72" t="b">
        <f ca="1"/>
        <v>1</v>
      </c>
      <c r="AG72" t="b">
        <f ca="1"/>
        <v>1</v>
      </c>
      <c r="AH72" t="b">
        <f ca="1"/>
        <v>1</v>
      </c>
      <c r="AI72" t="b">
        <f ca="1"/>
        <v>0</v>
      </c>
      <c r="AJ72" t="b">
        <f ca="1"/>
        <v>1</v>
      </c>
      <c r="AK72" t="b">
        <f ca="1"/>
        <v>0</v>
      </c>
      <c r="AL72" t="b">
        <f ca="1"/>
        <v>1</v>
      </c>
      <c r="AM72" t="b">
        <f ca="1"/>
        <v>0</v>
      </c>
      <c r="AN72">
        <f ca="1"/>
        <v>1</v>
      </c>
      <c r="AO72" t="str">
        <f ca="1"/>
        <v>In Progress</v>
      </c>
      <c r="AP72">
        <f ca="1"/>
        <v>20</v>
      </c>
      <c r="AQ72" t="str">
        <f ca="1"/>
        <v>Paint</v>
      </c>
      <c r="AR72" t="str">
        <f ca="1"/>
        <v>MR</v>
      </c>
      <c r="AS72" t="b">
        <f ca="1"/>
        <v>0</v>
      </c>
      <c r="AT72" t="str">
        <f ca="1"/>
        <v>vacant not ready</v>
      </c>
      <c r="AU72" t="b">
        <f ca="1"/>
        <v>0</v>
      </c>
      <c r="AV72" t="b">
        <f ca="1"/>
        <v>0</v>
      </c>
      <c r="AW72" t="b">
        <f ca="1"/>
        <v>0</v>
      </c>
      <c r="AX72" t="str">
        <f ca="1"/>
        <v>In Progress</v>
      </c>
      <c r="AY72" t="b">
        <f ca="1"/>
        <v>0</v>
      </c>
      <c r="AZ72" t="str">
        <f ca="1"/>
        <v>📅 Scheduled to Move In</v>
      </c>
      <c r="BA72">
        <f ca="1"/>
        <v>11</v>
      </c>
      <c r="BB72" t="b">
        <f ca="1"/>
        <v>0</v>
      </c>
      <c r="BC72" t="b">
        <f ca="1"/>
        <v>0</v>
      </c>
      <c r="BD72" t="b">
        <f ca="1"/>
        <v>0</v>
      </c>
      <c r="BE72" t="b">
        <f ca="1"/>
        <v>0</v>
      </c>
    </row>
    <row r="73" spans="3:57" x14ac:dyDescent="0.4">
      <c r="C73" s="1">
        <f ca="1"/>
        <v>85</v>
      </c>
      <c r="D73" s="1" t="str">
        <f ca="1"/>
        <v>Unit 5-10-0203</v>
      </c>
      <c r="E73" s="1" t="str">
        <f ca="1"/>
        <v xml:space="preserve">On Notice </v>
      </c>
      <c r="F73" s="1" vm="115">
        <f ca="1"/>
        <v>46071</v>
      </c>
      <c r="G73" s="1" vm="4">
        <f ca="1"/>
        <v>46081</v>
      </c>
      <c r="H73">
        <f ca="1"/>
        <v>-1</v>
      </c>
      <c r="I73" t="e">
        <f ca="1"/>
        <v>#NUM!</v>
      </c>
      <c r="J73" t="str">
        <f ca="1"/>
        <v/>
      </c>
      <c r="K73" t="str">
        <f ca="1"/>
        <v>NOTICE</v>
      </c>
      <c r="L73" t="str">
        <f ca="1"/>
        <v/>
      </c>
      <c r="M73" t="str">
        <f ca="1"/>
        <v>Not Started</v>
      </c>
      <c r="N73" t="str">
        <f ca="1"/>
        <v/>
      </c>
      <c r="O73" t="str">
        <f ca="1"/>
        <v>Not Started</v>
      </c>
      <c r="P73" t="str">
        <f ca="1"/>
        <v/>
      </c>
      <c r="Q73" t="str">
        <f ca="1"/>
        <v>Not Started</v>
      </c>
      <c r="R73" t="str">
        <f ca="1"/>
        <v/>
      </c>
      <c r="S73" t="str">
        <f ca="1"/>
        <v>Not Started</v>
      </c>
      <c r="T73" t="str">
        <f ca="1"/>
        <v/>
      </c>
      <c r="U73" t="str">
        <f ca="1"/>
        <v>Not Started</v>
      </c>
      <c r="V73" t="str">
        <f ca="1"/>
        <v>Total</v>
      </c>
      <c r="W73" vm="11">
        <f ca="1"/>
        <v>0</v>
      </c>
      <c r="X73" t="str">
        <f ca="1"/>
        <v>No</v>
      </c>
      <c r="Y73" t="str">
        <f ca="1"/>
        <v>5</v>
      </c>
      <c r="Z73" t="str">
        <f ca="1"/>
        <v>10</v>
      </c>
      <c r="AA73" t="str">
        <f ca="1"/>
        <v>0203</v>
      </c>
      <c r="AB73" vm="11">
        <f ca="1"/>
        <v>0</v>
      </c>
      <c r="AC73" t="str">
        <f ca="1"/>
        <v/>
      </c>
      <c r="AD73" t="b">
        <f ca="1"/>
        <v>0</v>
      </c>
      <c r="AE73" t="str">
        <f ca="1"/>
        <v/>
      </c>
      <c r="AF73" t="b">
        <f ca="1"/>
        <v>0</v>
      </c>
      <c r="AG73" t="b">
        <f ca="1"/>
        <v>0</v>
      </c>
      <c r="AH73" t="b">
        <f ca="1"/>
        <v>1</v>
      </c>
      <c r="AI73" t="b">
        <f ca="1"/>
        <v>0</v>
      </c>
      <c r="AJ73" t="b">
        <f ca="1"/>
        <v>0</v>
      </c>
      <c r="AK73" t="b">
        <f ca="1"/>
        <v>1</v>
      </c>
      <c r="AL73" t="b">
        <f ca="1"/>
        <v>1</v>
      </c>
      <c r="AM73" t="b">
        <f ca="1"/>
        <v>0</v>
      </c>
      <c r="AN73">
        <f ca="1"/>
        <v>-1</v>
      </c>
      <c r="AO73" t="str">
        <f ca="1"/>
        <v>Not Started</v>
      </c>
      <c r="AP73">
        <f ca="1"/>
        <v>0</v>
      </c>
      <c r="AQ73" t="str">
        <f ca="1"/>
        <v>Inspection</v>
      </c>
      <c r="AR73" t="str">
        <f ca="1"/>
        <v>Paint</v>
      </c>
      <c r="AS73" t="b">
        <f ca="1"/>
        <v>0</v>
      </c>
      <c r="AT73" t="str">
        <f ca="1"/>
        <v>on notice</v>
      </c>
      <c r="AU73" t="b">
        <f ca="1"/>
        <v>0</v>
      </c>
      <c r="AV73" t="b">
        <f ca="1"/>
        <v>0</v>
      </c>
      <c r="AW73" t="b">
        <f ca="1"/>
        <v>0</v>
      </c>
      <c r="AX73" t="str">
        <f ca="1"/>
        <v>On Notice</v>
      </c>
      <c r="AY73" t="b">
        <f ca="1"/>
        <v>0</v>
      </c>
      <c r="AZ73" t="str">
        <f ca="1"/>
        <v>📋 On Notice</v>
      </c>
      <c r="BA73" t="e">
        <f ca="1"/>
        <v>#NUM!</v>
      </c>
      <c r="BB73" t="b">
        <f ca="1"/>
        <v>0</v>
      </c>
      <c r="BC73" t="b">
        <f ca="1"/>
        <v>0</v>
      </c>
      <c r="BD73" t="b">
        <f ca="1"/>
        <v>0</v>
      </c>
      <c r="BE73" t="b">
        <f ca="1"/>
        <v>0</v>
      </c>
    </row>
    <row r="74" spans="3:57" x14ac:dyDescent="0.4">
      <c r="C74" s="1">
        <f ca="1"/>
        <v>12</v>
      </c>
      <c r="D74" s="1" t="str">
        <f ca="1"/>
        <v>Unit 7-11-0416</v>
      </c>
      <c r="E74" s="1" t="str">
        <f ca="1"/>
        <v xml:space="preserve">On Notice </v>
      </c>
      <c r="F74" s="1" vm="115">
        <f ca="1"/>
        <v>46071</v>
      </c>
      <c r="G74" s="1" vm="145">
        <f ca="1"/>
        <v>46089</v>
      </c>
      <c r="H74">
        <f ca="1"/>
        <v>-1</v>
      </c>
      <c r="I74" vm="4">
        <f ca="1"/>
        <v>46081</v>
      </c>
      <c r="J74">
        <f ca="1"/>
        <v>-11</v>
      </c>
      <c r="K74" t="str">
        <f ca="1"/>
        <v>NOTICE + SMI</v>
      </c>
      <c r="L74" t="str">
        <f ca="1"/>
        <v/>
      </c>
      <c r="M74" t="str">
        <f ca="1"/>
        <v>Not Started</v>
      </c>
      <c r="N74" t="str">
        <f ca="1"/>
        <v/>
      </c>
      <c r="O74" t="str">
        <f ca="1"/>
        <v>Not Started</v>
      </c>
      <c r="P74" t="str">
        <f ca="1"/>
        <v/>
      </c>
      <c r="Q74" t="str">
        <f ca="1"/>
        <v>Not Started</v>
      </c>
      <c r="R74" t="str">
        <f ca="1"/>
        <v/>
      </c>
      <c r="S74" t="str">
        <f ca="1"/>
        <v>Not Started</v>
      </c>
      <c r="T74" t="str">
        <f ca="1"/>
        <v/>
      </c>
      <c r="U74" t="str">
        <f ca="1"/>
        <v>Not Started</v>
      </c>
      <c r="V74" vm="11">
        <f ca="1"/>
        <v>0</v>
      </c>
      <c r="W74" vm="11">
        <f ca="1"/>
        <v>0</v>
      </c>
      <c r="X74" vm="11">
        <f ca="1"/>
        <v>0</v>
      </c>
      <c r="Y74" t="str">
        <f ca="1"/>
        <v>7</v>
      </c>
      <c r="Z74" t="str">
        <f ca="1"/>
        <v>11</v>
      </c>
      <c r="AA74" t="str">
        <f ca="1"/>
        <v>0416</v>
      </c>
      <c r="AB74" vm="11">
        <f ca="1"/>
        <v>0</v>
      </c>
      <c r="AC74" t="str">
        <f ca="1"/>
        <v/>
      </c>
      <c r="AD74" t="b">
        <f ca="1"/>
        <v>0</v>
      </c>
      <c r="AE74" t="str">
        <f ca="1"/>
        <v/>
      </c>
      <c r="AF74" t="b">
        <f ca="1"/>
        <v>1</v>
      </c>
      <c r="AG74" t="b">
        <f ca="1"/>
        <v>1</v>
      </c>
      <c r="AH74" t="b">
        <f ca="1"/>
        <v>1</v>
      </c>
      <c r="AI74" t="b">
        <f ca="1"/>
        <v>0</v>
      </c>
      <c r="AJ74" t="b">
        <f ca="1"/>
        <v>1</v>
      </c>
      <c r="AK74" t="b">
        <f ca="1"/>
        <v>1</v>
      </c>
      <c r="AL74" t="b">
        <f ca="1"/>
        <v>1</v>
      </c>
      <c r="AM74" t="b">
        <f ca="1"/>
        <v>0</v>
      </c>
      <c r="AN74">
        <f ca="1"/>
        <v>-1</v>
      </c>
      <c r="AO74" t="str">
        <f ca="1"/>
        <v>Not Started</v>
      </c>
      <c r="AP74">
        <f ca="1"/>
        <v>0</v>
      </c>
      <c r="AQ74" t="str">
        <f ca="1"/>
        <v>Inspection</v>
      </c>
      <c r="AR74" t="str">
        <f ca="1"/>
        <v>Paint</v>
      </c>
      <c r="AS74" t="b">
        <f ca="1"/>
        <v>0</v>
      </c>
      <c r="AT74" t="str">
        <f ca="1"/>
        <v>on notice</v>
      </c>
      <c r="AU74" t="b">
        <f ca="1"/>
        <v>0</v>
      </c>
      <c r="AV74" t="b">
        <f ca="1"/>
        <v>0</v>
      </c>
      <c r="AW74" t="b">
        <f ca="1"/>
        <v>0</v>
      </c>
      <c r="AX74" t="str">
        <f ca="1"/>
        <v>On Notice - Scheduled</v>
      </c>
      <c r="AY74" t="b">
        <f ca="1"/>
        <v>0</v>
      </c>
      <c r="AZ74" t="str">
        <f ca="1"/>
        <v>📋 On Notice - Scheduled</v>
      </c>
      <c r="BA74">
        <f ca="1"/>
        <v>11</v>
      </c>
      <c r="BB74" t="b">
        <f ca="1"/>
        <v>0</v>
      </c>
      <c r="BC74" t="b">
        <f ca="1"/>
        <v>0</v>
      </c>
      <c r="BD74" t="b">
        <f ca="1"/>
        <v>0</v>
      </c>
      <c r="BE74" t="b">
        <f ca="1"/>
        <v>0</v>
      </c>
    </row>
    <row r="75" spans="3:57" x14ac:dyDescent="0.4">
      <c r="C75" s="1">
        <f ca="1"/>
        <v>17</v>
      </c>
      <c r="D75" s="1" t="str">
        <f ca="1"/>
        <v>Unit 8-01-3036</v>
      </c>
      <c r="E75" s="1" t="str">
        <f ca="1"/>
        <v xml:space="preserve">On Notice </v>
      </c>
      <c r="F75" s="1" vm="143">
        <f ca="1"/>
        <v>46075</v>
      </c>
      <c r="G75" s="1" vm="146">
        <f ca="1"/>
        <v>46083</v>
      </c>
      <c r="H75">
        <f ca="1"/>
        <v>-5</v>
      </c>
      <c r="I75" vm="118">
        <f ca="1"/>
        <v>46088</v>
      </c>
      <c r="J75">
        <f ca="1"/>
        <v>-18</v>
      </c>
      <c r="K75" t="str">
        <f ca="1"/>
        <v>NOTICE + SMI</v>
      </c>
      <c r="L75" t="str">
        <f ca="1"/>
        <v/>
      </c>
      <c r="M75" t="str">
        <f ca="1"/>
        <v>Not Started</v>
      </c>
      <c r="N75" t="str">
        <f ca="1"/>
        <v/>
      </c>
      <c r="O75" t="str">
        <f ca="1"/>
        <v>Not Started</v>
      </c>
      <c r="P75" t="str">
        <f ca="1"/>
        <v/>
      </c>
      <c r="Q75" t="str">
        <f ca="1"/>
        <v>Not Started</v>
      </c>
      <c r="R75" t="str">
        <f ca="1"/>
        <v/>
      </c>
      <c r="S75" t="str">
        <f ca="1"/>
        <v>Not Started</v>
      </c>
      <c r="T75" t="str">
        <f ca="1"/>
        <v/>
      </c>
      <c r="U75" t="str">
        <f ca="1"/>
        <v>Not Started</v>
      </c>
      <c r="V75" t="str">
        <f ca="1"/>
        <v xml:space="preserve">Michael </v>
      </c>
      <c r="W75" vm="11">
        <f ca="1"/>
        <v>0</v>
      </c>
      <c r="X75" t="str">
        <f ca="1"/>
        <v>No</v>
      </c>
      <c r="Y75" t="str">
        <f ca="1"/>
        <v>8</v>
      </c>
      <c r="Z75" t="str">
        <f ca="1"/>
        <v>01</v>
      </c>
      <c r="AA75" t="str">
        <f ca="1"/>
        <v>3036</v>
      </c>
      <c r="AB75" vm="11">
        <f ca="1"/>
        <v>0</v>
      </c>
      <c r="AC75" t="str">
        <f ca="1"/>
        <v/>
      </c>
      <c r="AD75" t="b">
        <f ca="1"/>
        <v>0</v>
      </c>
      <c r="AE75" t="str">
        <f ca="1"/>
        <v/>
      </c>
      <c r="AF75" t="b">
        <f ca="1"/>
        <v>1</v>
      </c>
      <c r="AG75" t="b">
        <f ca="1"/>
        <v>1</v>
      </c>
      <c r="AH75" t="b">
        <f ca="1"/>
        <v>1</v>
      </c>
      <c r="AI75" t="b">
        <f ca="1"/>
        <v>0</v>
      </c>
      <c r="AJ75" t="b">
        <f ca="1"/>
        <v>1</v>
      </c>
      <c r="AK75" t="b">
        <f ca="1"/>
        <v>1</v>
      </c>
      <c r="AL75" t="b">
        <f ca="1"/>
        <v>1</v>
      </c>
      <c r="AM75" t="b">
        <f ca="1"/>
        <v>0</v>
      </c>
      <c r="AN75">
        <f ca="1"/>
        <v>-3</v>
      </c>
      <c r="AO75" t="str">
        <f ca="1"/>
        <v>Not Started</v>
      </c>
      <c r="AP75">
        <f ca="1"/>
        <v>0</v>
      </c>
      <c r="AQ75" t="str">
        <f ca="1"/>
        <v>Inspection</v>
      </c>
      <c r="AR75" t="str">
        <f ca="1"/>
        <v>Paint</v>
      </c>
      <c r="AS75" t="b">
        <f ca="1"/>
        <v>0</v>
      </c>
      <c r="AT75" t="str">
        <f ca="1"/>
        <v>on notice</v>
      </c>
      <c r="AU75" t="b">
        <f ca="1"/>
        <v>0</v>
      </c>
      <c r="AV75" t="b">
        <f ca="1"/>
        <v>0</v>
      </c>
      <c r="AW75" t="b">
        <f ca="1"/>
        <v>0</v>
      </c>
      <c r="AX75" t="str">
        <f ca="1"/>
        <v>On Notice - Scheduled</v>
      </c>
      <c r="AY75" t="b">
        <f ca="1"/>
        <v>0</v>
      </c>
      <c r="AZ75" t="str">
        <f ca="1"/>
        <v>📋 On Notice - Scheduled</v>
      </c>
      <c r="BA75">
        <f ca="1"/>
        <v>18</v>
      </c>
      <c r="BB75" t="b">
        <f ca="1"/>
        <v>0</v>
      </c>
      <c r="BC75" t="b">
        <f ca="1"/>
        <v>0</v>
      </c>
      <c r="BD75" t="b">
        <f ca="1"/>
        <v>0</v>
      </c>
      <c r="BE75" t="b">
        <f ca="1"/>
        <v>0</v>
      </c>
    </row>
    <row r="76" spans="3:57" x14ac:dyDescent="0.4">
      <c r="C76" s="1">
        <f ca="1"/>
        <v>18</v>
      </c>
      <c r="D76" s="1" t="str">
        <f ca="1"/>
        <v>Unit 5-17-0207</v>
      </c>
      <c r="E76" s="1" t="str">
        <f ca="1"/>
        <v xml:space="preserve">On Notice </v>
      </c>
      <c r="F76" s="1" vm="136">
        <f ca="1"/>
        <v>46074</v>
      </c>
      <c r="G76" s="1" vm="147">
        <f ca="1"/>
        <v>46082</v>
      </c>
      <c r="H76">
        <f ca="1"/>
        <v>-4</v>
      </c>
      <c r="I76" vm="148">
        <f ca="1"/>
        <v>46102</v>
      </c>
      <c r="J76">
        <f ca="1"/>
        <v>-32</v>
      </c>
      <c r="K76" t="str">
        <f ca="1"/>
        <v>NOTICE + SMI</v>
      </c>
      <c r="L76" t="str">
        <f ca="1"/>
        <v/>
      </c>
      <c r="M76" t="str">
        <f ca="1"/>
        <v>Not Started</v>
      </c>
      <c r="N76" t="str">
        <f ca="1"/>
        <v/>
      </c>
      <c r="O76" t="str">
        <f ca="1"/>
        <v>Not Started</v>
      </c>
      <c r="P76" t="str">
        <f ca="1"/>
        <v/>
      </c>
      <c r="Q76" t="str">
        <f ca="1"/>
        <v>Not Started</v>
      </c>
      <c r="R76" t="str">
        <f ca="1"/>
        <v/>
      </c>
      <c r="S76" t="str">
        <f ca="1"/>
        <v>Not Started</v>
      </c>
      <c r="T76" t="str">
        <f ca="1"/>
        <v/>
      </c>
      <c r="U76" t="str">
        <f ca="1"/>
        <v>Not Started</v>
      </c>
      <c r="V76" t="str">
        <f ca="1"/>
        <v>Total</v>
      </c>
      <c r="W76" vm="11">
        <f ca="1"/>
        <v>0</v>
      </c>
      <c r="X76" t="str">
        <f ca="1"/>
        <v>No</v>
      </c>
      <c r="Y76" t="str">
        <f ca="1"/>
        <v>5</v>
      </c>
      <c r="Z76" t="str">
        <f ca="1"/>
        <v>17</v>
      </c>
      <c r="AA76" t="str">
        <f ca="1"/>
        <v>0207</v>
      </c>
      <c r="AB76" vm="11">
        <f ca="1"/>
        <v>0</v>
      </c>
      <c r="AC76" t="str">
        <f ca="1"/>
        <v/>
      </c>
      <c r="AD76" t="b">
        <f ca="1"/>
        <v>0</v>
      </c>
      <c r="AE76" t="str">
        <f ca="1"/>
        <v/>
      </c>
      <c r="AF76" t="b">
        <f ca="1"/>
        <v>0</v>
      </c>
      <c r="AG76" t="b">
        <f ca="1"/>
        <v>1</v>
      </c>
      <c r="AH76" t="b">
        <f ca="1"/>
        <v>1</v>
      </c>
      <c r="AI76" t="b">
        <f ca="1"/>
        <v>0</v>
      </c>
      <c r="AJ76" t="b">
        <f ca="1"/>
        <v>1</v>
      </c>
      <c r="AK76" t="b">
        <f ca="1"/>
        <v>1</v>
      </c>
      <c r="AL76" t="b">
        <f ca="1"/>
        <v>1</v>
      </c>
      <c r="AM76" t="b">
        <f ca="1"/>
        <v>0</v>
      </c>
      <c r="AN76">
        <f ca="1"/>
        <v>-3</v>
      </c>
      <c r="AO76" t="str">
        <f ca="1"/>
        <v>Not Started</v>
      </c>
      <c r="AP76">
        <f ca="1"/>
        <v>0</v>
      </c>
      <c r="AQ76" t="str">
        <f ca="1"/>
        <v>Inspection</v>
      </c>
      <c r="AR76" t="str">
        <f ca="1"/>
        <v>Paint</v>
      </c>
      <c r="AS76" t="b">
        <f ca="1"/>
        <v>0</v>
      </c>
      <c r="AT76" t="str">
        <f ca="1"/>
        <v>on notice</v>
      </c>
      <c r="AU76" t="b">
        <f ca="1"/>
        <v>0</v>
      </c>
      <c r="AV76" t="b">
        <f ca="1"/>
        <v>0</v>
      </c>
      <c r="AW76" t="b">
        <f ca="1"/>
        <v>0</v>
      </c>
      <c r="AX76" t="str">
        <f ca="1"/>
        <v>On Notice - Scheduled</v>
      </c>
      <c r="AY76" t="b">
        <f ca="1"/>
        <v>0</v>
      </c>
      <c r="AZ76" t="str">
        <f ca="1"/>
        <v>📋 On Notice - Scheduled</v>
      </c>
      <c r="BA76">
        <f ca="1"/>
        <v>32</v>
      </c>
      <c r="BB76" t="b">
        <f ca="1"/>
        <v>0</v>
      </c>
      <c r="BC76" t="b">
        <f ca="1"/>
        <v>0</v>
      </c>
      <c r="BD76" t="b">
        <f ca="1"/>
        <v>0</v>
      </c>
      <c r="BE76" t="b">
        <f ca="1"/>
        <v>0</v>
      </c>
    </row>
    <row r="77" spans="3:57" x14ac:dyDescent="0.4">
      <c r="C77" s="1">
        <f ca="1"/>
        <v>86</v>
      </c>
      <c r="D77" s="1" t="str">
        <f ca="1"/>
        <v>Unit 5-17-0204</v>
      </c>
      <c r="E77" s="1" t="str">
        <f ca="1"/>
        <v xml:space="preserve">On Notice </v>
      </c>
      <c r="F77" s="1" vm="144">
        <f ca="1"/>
        <v>46076</v>
      </c>
      <c r="G77" s="1" vm="118">
        <f ca="1"/>
        <v>46088</v>
      </c>
      <c r="H77">
        <f ca="1"/>
        <v>-6</v>
      </c>
      <c r="I77" t="e">
        <f ca="1"/>
        <v>#NUM!</v>
      </c>
      <c r="J77" t="str">
        <f ca="1"/>
        <v/>
      </c>
      <c r="K77" t="str">
        <f ca="1"/>
        <v>NOTICE</v>
      </c>
      <c r="L77" t="str">
        <f ca="1"/>
        <v/>
      </c>
      <c r="M77" t="str">
        <f ca="1"/>
        <v>Not Started</v>
      </c>
      <c r="N77" t="str">
        <f ca="1"/>
        <v/>
      </c>
      <c r="O77" t="str">
        <f ca="1"/>
        <v>Not Started</v>
      </c>
      <c r="P77" t="str">
        <f ca="1"/>
        <v/>
      </c>
      <c r="Q77" t="str">
        <f ca="1"/>
        <v>Not Started</v>
      </c>
      <c r="R77" t="str">
        <f ca="1"/>
        <v/>
      </c>
      <c r="S77" t="str">
        <f ca="1"/>
        <v>Not Started</v>
      </c>
      <c r="T77" t="str">
        <f ca="1"/>
        <v/>
      </c>
      <c r="U77" t="str">
        <f ca="1"/>
        <v>Not Started</v>
      </c>
      <c r="V77" t="str">
        <f ca="1"/>
        <v>Total</v>
      </c>
      <c r="W77" vm="11">
        <f ca="1"/>
        <v>0</v>
      </c>
      <c r="X77" t="str">
        <f ca="1"/>
        <v>No</v>
      </c>
      <c r="Y77" t="str">
        <f ca="1"/>
        <v>5</v>
      </c>
      <c r="Z77" t="str">
        <f ca="1"/>
        <v>17</v>
      </c>
      <c r="AA77" t="str">
        <f ca="1"/>
        <v>0204</v>
      </c>
      <c r="AB77" vm="11">
        <f ca="1"/>
        <v>0</v>
      </c>
      <c r="AC77" t="str">
        <f ca="1"/>
        <v/>
      </c>
      <c r="AD77" t="b">
        <f ca="1"/>
        <v>0</v>
      </c>
      <c r="AE77" t="str">
        <f ca="1"/>
        <v/>
      </c>
      <c r="AF77" t="b">
        <f ca="1"/>
        <v>0</v>
      </c>
      <c r="AG77" t="b">
        <f ca="1"/>
        <v>0</v>
      </c>
      <c r="AH77" t="b">
        <f ca="1"/>
        <v>1</v>
      </c>
      <c r="AI77" t="b">
        <f ca="1"/>
        <v>0</v>
      </c>
      <c r="AJ77" t="b">
        <f ca="1"/>
        <v>0</v>
      </c>
      <c r="AK77" t="b">
        <f ca="1"/>
        <v>1</v>
      </c>
      <c r="AL77" t="b">
        <f ca="1"/>
        <v>1</v>
      </c>
      <c r="AM77" t="b">
        <f ca="1"/>
        <v>0</v>
      </c>
      <c r="AN77">
        <f ca="1"/>
        <v>-4</v>
      </c>
      <c r="AO77" t="str">
        <f ca="1"/>
        <v>Not Started</v>
      </c>
      <c r="AP77">
        <f ca="1"/>
        <v>0</v>
      </c>
      <c r="AQ77" t="str">
        <f ca="1"/>
        <v>Inspection</v>
      </c>
      <c r="AR77" t="str">
        <f ca="1"/>
        <v>Paint</v>
      </c>
      <c r="AS77" t="b">
        <f ca="1"/>
        <v>0</v>
      </c>
      <c r="AT77" t="str">
        <f ca="1"/>
        <v>on notice</v>
      </c>
      <c r="AU77" t="b">
        <f ca="1"/>
        <v>0</v>
      </c>
      <c r="AV77" t="b">
        <f ca="1"/>
        <v>0</v>
      </c>
      <c r="AW77" t="b">
        <f ca="1"/>
        <v>0</v>
      </c>
      <c r="AX77" t="str">
        <f ca="1"/>
        <v>On Notice</v>
      </c>
      <c r="AY77" t="b">
        <f ca="1"/>
        <v>0</v>
      </c>
      <c r="AZ77" t="str">
        <f ca="1"/>
        <v>📋 On Notice</v>
      </c>
      <c r="BA77" t="e">
        <f ca="1"/>
        <v>#NUM!</v>
      </c>
      <c r="BB77" t="b">
        <f ca="1"/>
        <v>0</v>
      </c>
      <c r="BC77" t="b">
        <f ca="1"/>
        <v>0</v>
      </c>
      <c r="BD77" t="b">
        <f ca="1"/>
        <v>0</v>
      </c>
      <c r="BE77" t="b">
        <f ca="1"/>
        <v>0</v>
      </c>
    </row>
    <row r="78" spans="3:57" x14ac:dyDescent="0.4">
      <c r="C78" s="1">
        <f ca="1"/>
        <v>87</v>
      </c>
      <c r="D78" s="1" t="str">
        <f ca="1"/>
        <v>Unit 7-07-0107</v>
      </c>
      <c r="E78" s="1" t="str">
        <f ca="1"/>
        <v xml:space="preserve">On Notice </v>
      </c>
      <c r="F78" s="1" vm="135">
        <f ca="1"/>
        <v>46078</v>
      </c>
      <c r="G78" s="1" vm="149">
        <f ca="1"/>
        <v>46086</v>
      </c>
      <c r="H78">
        <f ca="1"/>
        <v>-8</v>
      </c>
      <c r="I78" t="e">
        <f ca="1"/>
        <v>#NUM!</v>
      </c>
      <c r="J78" t="str">
        <f ca="1"/>
        <v/>
      </c>
      <c r="K78" t="str">
        <f ca="1"/>
        <v>NOTICE</v>
      </c>
      <c r="L78" t="str">
        <f ca="1"/>
        <v/>
      </c>
      <c r="M78" t="str">
        <f ca="1"/>
        <v>Not Started</v>
      </c>
      <c r="N78" t="str">
        <f ca="1"/>
        <v/>
      </c>
      <c r="O78" t="str">
        <f ca="1"/>
        <v>Not Started</v>
      </c>
      <c r="P78" t="str">
        <f ca="1"/>
        <v/>
      </c>
      <c r="Q78" t="str">
        <f ca="1"/>
        <v>Not Started</v>
      </c>
      <c r="R78" t="str">
        <f ca="1"/>
        <v/>
      </c>
      <c r="S78" t="str">
        <f ca="1"/>
        <v>Not Started</v>
      </c>
      <c r="T78" t="str">
        <f ca="1"/>
        <v/>
      </c>
      <c r="U78" t="str">
        <f ca="1"/>
        <v>Not Started</v>
      </c>
      <c r="V78" t="str">
        <f ca="1"/>
        <v>Brad</v>
      </c>
      <c r="W78" vm="11">
        <f ca="1"/>
        <v>0</v>
      </c>
      <c r="X78" t="str">
        <f ca="1"/>
        <v>No</v>
      </c>
      <c r="Y78" t="str">
        <f ca="1"/>
        <v>7</v>
      </c>
      <c r="Z78" t="str">
        <f ca="1"/>
        <v>07</v>
      </c>
      <c r="AA78" t="str">
        <f ca="1"/>
        <v>0107</v>
      </c>
      <c r="AB78" vm="11">
        <f ca="1"/>
        <v>0</v>
      </c>
      <c r="AC78" t="str">
        <f ca="1"/>
        <v/>
      </c>
      <c r="AD78" t="b">
        <f ca="1"/>
        <v>0</v>
      </c>
      <c r="AE78" t="str">
        <f ca="1"/>
        <v/>
      </c>
      <c r="AF78" t="b">
        <f ca="1"/>
        <v>1</v>
      </c>
      <c r="AG78" t="b">
        <f ca="1"/>
        <v>0</v>
      </c>
      <c r="AH78" t="b">
        <f ca="1"/>
        <v>1</v>
      </c>
      <c r="AI78" t="b">
        <f ca="1"/>
        <v>0</v>
      </c>
      <c r="AJ78" t="b">
        <f ca="1"/>
        <v>0</v>
      </c>
      <c r="AK78" t="b">
        <f ca="1"/>
        <v>1</v>
      </c>
      <c r="AL78" t="b">
        <f ca="1"/>
        <v>1</v>
      </c>
      <c r="AM78" t="b">
        <f ca="1"/>
        <v>0</v>
      </c>
      <c r="AN78">
        <f ca="1"/>
        <v>-6</v>
      </c>
      <c r="AO78" t="str">
        <f ca="1"/>
        <v>Not Started</v>
      </c>
      <c r="AP78">
        <f ca="1"/>
        <v>0</v>
      </c>
      <c r="AQ78" t="str">
        <f ca="1"/>
        <v>Inspection</v>
      </c>
      <c r="AR78" t="str">
        <f ca="1"/>
        <v>Paint</v>
      </c>
      <c r="AS78" t="b">
        <f ca="1"/>
        <v>0</v>
      </c>
      <c r="AT78" t="str">
        <f ca="1"/>
        <v>on notice</v>
      </c>
      <c r="AU78" t="b">
        <f ca="1"/>
        <v>0</v>
      </c>
      <c r="AV78" t="b">
        <f ca="1"/>
        <v>0</v>
      </c>
      <c r="AW78" t="b">
        <f ca="1"/>
        <v>0</v>
      </c>
      <c r="AX78" t="str">
        <f ca="1"/>
        <v>On Notice</v>
      </c>
      <c r="AY78" t="b">
        <f ca="1"/>
        <v>0</v>
      </c>
      <c r="AZ78" t="str">
        <f ca="1"/>
        <v>📋 On Notice</v>
      </c>
      <c r="BA78" t="e">
        <f ca="1"/>
        <v>#NUM!</v>
      </c>
      <c r="BB78" t="b">
        <f ca="1"/>
        <v>0</v>
      </c>
      <c r="BC78" t="b">
        <f ca="1"/>
        <v>0</v>
      </c>
      <c r="BD78" t="b">
        <f ca="1"/>
        <v>0</v>
      </c>
      <c r="BE78" t="b">
        <f ca="1"/>
        <v>0</v>
      </c>
    </row>
    <row r="79" spans="3:57" x14ac:dyDescent="0.4">
      <c r="C79" s="1">
        <f ca="1"/>
        <v>90</v>
      </c>
      <c r="D79" s="1" t="str">
        <f ca="1"/>
        <v>Unit 8-01-2011</v>
      </c>
      <c r="E79" s="1" t="str">
        <f ca="1"/>
        <v xml:space="preserve">On Notice </v>
      </c>
      <c r="F79" s="1" vm="147">
        <f ca="1"/>
        <v>46082</v>
      </c>
      <c r="G79" s="1" vm="150">
        <f ca="1"/>
        <v>46095</v>
      </c>
      <c r="H79">
        <f ca="1"/>
        <v>-12</v>
      </c>
      <c r="I79" t="e">
        <f ca="1"/>
        <v>#NUM!</v>
      </c>
      <c r="J79" t="str">
        <f ca="1"/>
        <v/>
      </c>
      <c r="K79" t="str">
        <f ca="1"/>
        <v>NOTICE</v>
      </c>
      <c r="L79" t="str">
        <f ca="1"/>
        <v/>
      </c>
      <c r="M79" t="str">
        <f ca="1"/>
        <v>Not Started</v>
      </c>
      <c r="N79" t="str">
        <f ca="1"/>
        <v/>
      </c>
      <c r="O79" t="str">
        <f ca="1"/>
        <v>Not Started</v>
      </c>
      <c r="P79" t="str">
        <f ca="1"/>
        <v/>
      </c>
      <c r="Q79" t="str">
        <f ca="1"/>
        <v>Not Started</v>
      </c>
      <c r="R79" t="str">
        <f ca="1"/>
        <v/>
      </c>
      <c r="S79" t="str">
        <f ca="1"/>
        <v>Not Started</v>
      </c>
      <c r="T79" t="str">
        <f ca="1"/>
        <v/>
      </c>
      <c r="U79" t="str">
        <f ca="1"/>
        <v>Not Started</v>
      </c>
      <c r="V79" t="str">
        <f ca="1"/>
        <v xml:space="preserve">Michael </v>
      </c>
      <c r="W79" vm="11">
        <f ca="1"/>
        <v>0</v>
      </c>
      <c r="X79" t="str">
        <f ca="1"/>
        <v>No</v>
      </c>
      <c r="Y79" t="str">
        <f ca="1"/>
        <v>8</v>
      </c>
      <c r="Z79" t="str">
        <f ca="1"/>
        <v>01</v>
      </c>
      <c r="AA79" t="str">
        <f ca="1"/>
        <v>2011</v>
      </c>
      <c r="AB79" vm="11">
        <f ca="1"/>
        <v>0</v>
      </c>
      <c r="AC79" t="str">
        <f ca="1"/>
        <v/>
      </c>
      <c r="AD79" t="b">
        <f ca="1"/>
        <v>0</v>
      </c>
      <c r="AE79" t="str">
        <f ca="1"/>
        <v/>
      </c>
      <c r="AF79" t="b">
        <f ca="1"/>
        <v>1</v>
      </c>
      <c r="AG79" t="b">
        <f ca="1"/>
        <v>0</v>
      </c>
      <c r="AH79" t="b">
        <f ca="1"/>
        <v>1</v>
      </c>
      <c r="AI79" t="b">
        <f ca="1"/>
        <v>0</v>
      </c>
      <c r="AJ79" t="b">
        <f ca="1"/>
        <v>0</v>
      </c>
      <c r="AK79" t="b">
        <f ca="1"/>
        <v>1</v>
      </c>
      <c r="AL79" t="b">
        <f ca="1"/>
        <v>1</v>
      </c>
      <c r="AM79" t="b">
        <f ca="1"/>
        <v>0</v>
      </c>
      <c r="AN79">
        <f ca="1"/>
        <v>-8</v>
      </c>
      <c r="AO79" t="str">
        <f ca="1"/>
        <v>Not Started</v>
      </c>
      <c r="AP79">
        <f ca="1"/>
        <v>0</v>
      </c>
      <c r="AQ79" t="str">
        <f ca="1"/>
        <v>Inspection</v>
      </c>
      <c r="AR79" t="str">
        <f ca="1"/>
        <v>Paint</v>
      </c>
      <c r="AS79" t="b">
        <f ca="1"/>
        <v>0</v>
      </c>
      <c r="AT79" t="str">
        <f ca="1"/>
        <v>on notice</v>
      </c>
      <c r="AU79" t="b">
        <f ca="1"/>
        <v>0</v>
      </c>
      <c r="AV79" t="b">
        <f ca="1"/>
        <v>0</v>
      </c>
      <c r="AW79" t="b">
        <f ca="1"/>
        <v>0</v>
      </c>
      <c r="AX79" t="str">
        <f ca="1"/>
        <v>On Notice</v>
      </c>
      <c r="AY79" t="b">
        <f ca="1"/>
        <v>0</v>
      </c>
      <c r="AZ79" t="str">
        <f ca="1"/>
        <v>📋 On Notice</v>
      </c>
      <c r="BA79" t="e">
        <f ca="1"/>
        <v>#NUM!</v>
      </c>
      <c r="BB79" t="b">
        <f ca="1"/>
        <v>0</v>
      </c>
      <c r="BC79" t="b">
        <f ca="1"/>
        <v>0</v>
      </c>
      <c r="BD79" t="b">
        <f ca="1"/>
        <v>0</v>
      </c>
      <c r="BE79" t="b">
        <f ca="1"/>
        <v>0</v>
      </c>
    </row>
    <row r="80" spans="3:57" x14ac:dyDescent="0.4">
      <c r="C80" s="1">
        <f ca="1"/>
        <v>89</v>
      </c>
      <c r="D80" s="1" t="str">
        <f ca="1"/>
        <v>Unit 8-01-1001</v>
      </c>
      <c r="E80" s="1" t="str">
        <f ca="1"/>
        <v xml:space="preserve">On Notice </v>
      </c>
      <c r="F80" s="1" vm="147">
        <f ca="1"/>
        <v>46082</v>
      </c>
      <c r="G80" s="1" vm="150">
        <f ca="1"/>
        <v>46095</v>
      </c>
      <c r="H80">
        <f ca="1"/>
        <v>-12</v>
      </c>
      <c r="I80" t="e">
        <f ca="1"/>
        <v>#NUM!</v>
      </c>
      <c r="J80" t="str">
        <f ca="1"/>
        <v/>
      </c>
      <c r="K80" t="str">
        <f ca="1"/>
        <v>NOTICE</v>
      </c>
      <c r="L80" t="str">
        <f ca="1"/>
        <v/>
      </c>
      <c r="M80" t="str">
        <f ca="1"/>
        <v>Not Started</v>
      </c>
      <c r="N80" t="str">
        <f ca="1"/>
        <v/>
      </c>
      <c r="O80" t="str">
        <f ca="1"/>
        <v>Not Started</v>
      </c>
      <c r="P80" t="str">
        <f ca="1"/>
        <v/>
      </c>
      <c r="Q80" t="str">
        <f ca="1"/>
        <v>Not Started</v>
      </c>
      <c r="R80" t="str">
        <f ca="1"/>
        <v/>
      </c>
      <c r="S80" t="str">
        <f ca="1"/>
        <v>Not Started</v>
      </c>
      <c r="T80" t="str">
        <f ca="1"/>
        <v/>
      </c>
      <c r="U80" t="str">
        <f ca="1"/>
        <v>Not Started</v>
      </c>
      <c r="V80" t="str">
        <f ca="1"/>
        <v xml:space="preserve">Michael </v>
      </c>
      <c r="W80" vm="11">
        <f ca="1"/>
        <v>0</v>
      </c>
      <c r="X80" t="str">
        <f ca="1"/>
        <v>No</v>
      </c>
      <c r="Y80" t="str">
        <f ca="1"/>
        <v>8</v>
      </c>
      <c r="Z80" t="str">
        <f ca="1"/>
        <v>01</v>
      </c>
      <c r="AA80" t="str">
        <f ca="1"/>
        <v>1001</v>
      </c>
      <c r="AB80" vm="11">
        <f ca="1"/>
        <v>0</v>
      </c>
      <c r="AC80" t="str">
        <f ca="1"/>
        <v/>
      </c>
      <c r="AD80" t="b">
        <f ca="1"/>
        <v>0</v>
      </c>
      <c r="AE80" t="str">
        <f ca="1"/>
        <v/>
      </c>
      <c r="AF80" t="b">
        <f ca="1"/>
        <v>1</v>
      </c>
      <c r="AG80" t="b">
        <f ca="1"/>
        <v>0</v>
      </c>
      <c r="AH80" t="b">
        <f ca="1"/>
        <v>1</v>
      </c>
      <c r="AI80" t="b">
        <f ca="1"/>
        <v>0</v>
      </c>
      <c r="AJ80" t="b">
        <f ca="1"/>
        <v>0</v>
      </c>
      <c r="AK80" t="b">
        <f ca="1"/>
        <v>1</v>
      </c>
      <c r="AL80" t="b">
        <f ca="1"/>
        <v>1</v>
      </c>
      <c r="AM80" t="b">
        <f ca="1"/>
        <v>0</v>
      </c>
      <c r="AN80">
        <f ca="1"/>
        <v>-8</v>
      </c>
      <c r="AO80" t="str">
        <f ca="1"/>
        <v>Not Started</v>
      </c>
      <c r="AP80">
        <f ca="1"/>
        <v>0</v>
      </c>
      <c r="AQ80" t="str">
        <f ca="1"/>
        <v>Inspection</v>
      </c>
      <c r="AR80" t="str">
        <f ca="1"/>
        <v>Paint</v>
      </c>
      <c r="AS80" t="b">
        <f ca="1"/>
        <v>0</v>
      </c>
      <c r="AT80" t="str">
        <f ca="1"/>
        <v>on notice</v>
      </c>
      <c r="AU80" t="b">
        <f ca="1"/>
        <v>0</v>
      </c>
      <c r="AV80" t="b">
        <f ca="1"/>
        <v>0</v>
      </c>
      <c r="AW80" t="b">
        <f ca="1"/>
        <v>0</v>
      </c>
      <c r="AX80" t="str">
        <f ca="1"/>
        <v>On Notice</v>
      </c>
      <c r="AY80" t="b">
        <f ca="1"/>
        <v>0</v>
      </c>
      <c r="AZ80" t="str">
        <f ca="1"/>
        <v>📋 On Notice</v>
      </c>
      <c r="BA80" t="e">
        <f ca="1"/>
        <v>#NUM!</v>
      </c>
      <c r="BB80" t="b">
        <f ca="1"/>
        <v>0</v>
      </c>
      <c r="BC80" t="b">
        <f ca="1"/>
        <v>0</v>
      </c>
      <c r="BD80" t="b">
        <f ca="1"/>
        <v>0</v>
      </c>
      <c r="BE80" t="b">
        <f ca="1"/>
        <v>0</v>
      </c>
    </row>
    <row r="81" spans="3:57" x14ac:dyDescent="0.4">
      <c r="C81" s="1">
        <f ca="1"/>
        <v>88</v>
      </c>
      <c r="D81" s="1" t="str">
        <f ca="1"/>
        <v>Unit 7-10-0203</v>
      </c>
      <c r="E81" s="1" t="str">
        <f ca="1"/>
        <v xml:space="preserve">On Notice </v>
      </c>
      <c r="F81" s="1" vm="4">
        <f ca="1"/>
        <v>46081</v>
      </c>
      <c r="G81" s="1" vm="145">
        <f ca="1"/>
        <v>46089</v>
      </c>
      <c r="H81">
        <f ca="1"/>
        <v>-11</v>
      </c>
      <c r="I81" t="e">
        <f ca="1"/>
        <v>#NUM!</v>
      </c>
      <c r="J81" t="str">
        <f ca="1"/>
        <v/>
      </c>
      <c r="K81" t="str">
        <f ca="1"/>
        <v>NOTICE</v>
      </c>
      <c r="L81" t="str">
        <f ca="1"/>
        <v/>
      </c>
      <c r="M81" t="str">
        <f ca="1"/>
        <v>Not Started</v>
      </c>
      <c r="N81" t="str">
        <f ca="1"/>
        <v/>
      </c>
      <c r="O81" t="str">
        <f ca="1"/>
        <v>Not Started</v>
      </c>
      <c r="P81" t="str">
        <f ca="1"/>
        <v/>
      </c>
      <c r="Q81" t="str">
        <f ca="1"/>
        <v>Not Started</v>
      </c>
      <c r="R81" t="str">
        <f ca="1"/>
        <v/>
      </c>
      <c r="S81" t="str">
        <f ca="1"/>
        <v>Not Started</v>
      </c>
      <c r="T81" t="str">
        <f ca="1"/>
        <v/>
      </c>
      <c r="U81" t="str">
        <f ca="1"/>
        <v>Not Started</v>
      </c>
      <c r="V81" t="str">
        <f ca="1"/>
        <v>Brad</v>
      </c>
      <c r="W81" vm="11">
        <f ca="1"/>
        <v>0</v>
      </c>
      <c r="X81" t="str">
        <f ca="1"/>
        <v>No</v>
      </c>
      <c r="Y81" t="str">
        <f ca="1"/>
        <v>7</v>
      </c>
      <c r="Z81" t="str">
        <f ca="1"/>
        <v>10</v>
      </c>
      <c r="AA81" t="str">
        <f ca="1"/>
        <v>0203</v>
      </c>
      <c r="AB81" vm="11">
        <f ca="1"/>
        <v>0</v>
      </c>
      <c r="AC81" t="str">
        <f ca="1"/>
        <v/>
      </c>
      <c r="AD81" t="b">
        <f ca="1"/>
        <v>0</v>
      </c>
      <c r="AE81" t="str">
        <f ca="1"/>
        <v/>
      </c>
      <c r="AF81" t="b">
        <f ca="1"/>
        <v>1</v>
      </c>
      <c r="AG81" t="b">
        <f ca="1"/>
        <v>0</v>
      </c>
      <c r="AH81" t="b">
        <f ca="1"/>
        <v>1</v>
      </c>
      <c r="AI81" t="b">
        <f ca="1"/>
        <v>0</v>
      </c>
      <c r="AJ81" t="b">
        <f ca="1"/>
        <v>0</v>
      </c>
      <c r="AK81" t="b">
        <f ca="1"/>
        <v>1</v>
      </c>
      <c r="AL81" t="b">
        <f ca="1"/>
        <v>1</v>
      </c>
      <c r="AM81" t="b">
        <f ca="1"/>
        <v>0</v>
      </c>
      <c r="AN81">
        <f ca="1"/>
        <v>-8</v>
      </c>
      <c r="AO81" t="str">
        <f ca="1"/>
        <v>Not Started</v>
      </c>
      <c r="AP81">
        <f ca="1"/>
        <v>0</v>
      </c>
      <c r="AQ81" t="str">
        <f ca="1"/>
        <v>Inspection</v>
      </c>
      <c r="AR81" t="str">
        <f ca="1"/>
        <v>Paint</v>
      </c>
      <c r="AS81" t="b">
        <f ca="1"/>
        <v>0</v>
      </c>
      <c r="AT81" t="str">
        <f ca="1"/>
        <v>on notice</v>
      </c>
      <c r="AU81" t="b">
        <f ca="1"/>
        <v>0</v>
      </c>
      <c r="AV81" t="b">
        <f ca="1"/>
        <v>0</v>
      </c>
      <c r="AW81" t="b">
        <f ca="1"/>
        <v>0</v>
      </c>
      <c r="AX81" t="str">
        <f ca="1"/>
        <v>On Notice</v>
      </c>
      <c r="AY81" t="b">
        <f ca="1"/>
        <v>0</v>
      </c>
      <c r="AZ81" t="str">
        <f ca="1"/>
        <v>📋 On Notice</v>
      </c>
      <c r="BA81" t="e">
        <f ca="1"/>
        <v>#NUM!</v>
      </c>
      <c r="BB81" t="b">
        <f ca="1"/>
        <v>0</v>
      </c>
      <c r="BC81" t="b">
        <f ca="1"/>
        <v>0</v>
      </c>
      <c r="BD81" t="b">
        <f ca="1"/>
        <v>0</v>
      </c>
      <c r="BE81" t="b">
        <f ca="1"/>
        <v>0</v>
      </c>
    </row>
    <row r="82" spans="3:57" x14ac:dyDescent="0.4">
      <c r="C82" s="1">
        <f ca="1"/>
        <v>91</v>
      </c>
      <c r="D82" s="1" t="str">
        <f ca="1"/>
        <v>Unit 5-18-0439</v>
      </c>
      <c r="E82" s="1" t="str">
        <f ca="1"/>
        <v xml:space="preserve">On Notice </v>
      </c>
      <c r="F82" s="1" vm="146">
        <f ca="1"/>
        <v>46083</v>
      </c>
      <c r="G82" s="1" vm="150">
        <f ca="1"/>
        <v>46095</v>
      </c>
      <c r="H82">
        <f ca="1"/>
        <v>-13</v>
      </c>
      <c r="I82" t="e">
        <f ca="1"/>
        <v>#NUM!</v>
      </c>
      <c r="J82" t="str">
        <f ca="1"/>
        <v/>
      </c>
      <c r="K82" t="str">
        <f ca="1"/>
        <v>NOTICE</v>
      </c>
      <c r="L82" t="str">
        <f ca="1"/>
        <v/>
      </c>
      <c r="M82" t="str">
        <f ca="1"/>
        <v>Not Started</v>
      </c>
      <c r="N82" t="str">
        <f ca="1"/>
        <v/>
      </c>
      <c r="O82" t="str">
        <f ca="1"/>
        <v>Not Started</v>
      </c>
      <c r="P82" t="str">
        <f ca="1"/>
        <v/>
      </c>
      <c r="Q82" t="str">
        <f ca="1"/>
        <v>Not Started</v>
      </c>
      <c r="R82" t="str">
        <f ca="1"/>
        <v/>
      </c>
      <c r="S82" t="str">
        <f ca="1"/>
        <v>Not Started</v>
      </c>
      <c r="T82" t="str">
        <f ca="1"/>
        <v/>
      </c>
      <c r="U82" t="str">
        <f ca="1"/>
        <v>Not Started</v>
      </c>
      <c r="V82" t="str">
        <f ca="1"/>
        <v>Total</v>
      </c>
      <c r="W82" vm="11">
        <f ca="1"/>
        <v>0</v>
      </c>
      <c r="X82" t="str">
        <f ca="1"/>
        <v>No</v>
      </c>
      <c r="Y82" t="str">
        <f ca="1"/>
        <v>5</v>
      </c>
      <c r="Z82" t="str">
        <f ca="1"/>
        <v>18</v>
      </c>
      <c r="AA82" t="str">
        <f ca="1"/>
        <v>0439</v>
      </c>
      <c r="AB82" vm="11">
        <f ca="1"/>
        <v>0</v>
      </c>
      <c r="AC82" t="str">
        <f ca="1"/>
        <v/>
      </c>
      <c r="AD82" t="b">
        <f ca="1"/>
        <v>0</v>
      </c>
      <c r="AE82" t="str">
        <f ca="1"/>
        <v/>
      </c>
      <c r="AF82" t="b">
        <f ca="1"/>
        <v>0</v>
      </c>
      <c r="AG82" t="b">
        <f ca="1"/>
        <v>0</v>
      </c>
      <c r="AH82" t="b">
        <f ca="1"/>
        <v>1</v>
      </c>
      <c r="AI82" t="b">
        <f ca="1"/>
        <v>0</v>
      </c>
      <c r="AJ82" t="b">
        <f ca="1"/>
        <v>0</v>
      </c>
      <c r="AK82" t="b">
        <f ca="1"/>
        <v>1</v>
      </c>
      <c r="AL82" t="b">
        <f ca="1"/>
        <v>1</v>
      </c>
      <c r="AM82" t="b">
        <f ca="1"/>
        <v>0</v>
      </c>
      <c r="AN82">
        <f ca="1"/>
        <v>-9</v>
      </c>
      <c r="AO82" t="str">
        <f ca="1"/>
        <v>Not Started</v>
      </c>
      <c r="AP82">
        <f ca="1"/>
        <v>0</v>
      </c>
      <c r="AQ82" t="str">
        <f ca="1"/>
        <v>Inspection</v>
      </c>
      <c r="AR82" t="str">
        <f ca="1"/>
        <v>Paint</v>
      </c>
      <c r="AS82" t="b">
        <f ca="1"/>
        <v>0</v>
      </c>
      <c r="AT82" t="str">
        <f ca="1"/>
        <v>on notice</v>
      </c>
      <c r="AU82" t="b">
        <f ca="1"/>
        <v>0</v>
      </c>
      <c r="AV82" t="b">
        <f ca="1"/>
        <v>0</v>
      </c>
      <c r="AW82" t="b">
        <f ca="1"/>
        <v>0</v>
      </c>
      <c r="AX82" t="str">
        <f ca="1"/>
        <v>On Notice</v>
      </c>
      <c r="AY82" t="b">
        <f ca="1"/>
        <v>0</v>
      </c>
      <c r="AZ82" t="str">
        <f ca="1"/>
        <v>📋 On Notice</v>
      </c>
      <c r="BA82" t="e">
        <f ca="1"/>
        <v>#NUM!</v>
      </c>
      <c r="BB82" t="b">
        <f ca="1"/>
        <v>0</v>
      </c>
      <c r="BC82" t="b">
        <f ca="1"/>
        <v>0</v>
      </c>
      <c r="BD82" t="b">
        <f ca="1"/>
        <v>0</v>
      </c>
      <c r="BE82" t="b">
        <f ca="1"/>
        <v>0</v>
      </c>
    </row>
    <row r="83" spans="3:57" x14ac:dyDescent="0.4">
      <c r="C83" s="1">
        <f ca="1"/>
        <v>92</v>
      </c>
      <c r="D83" s="1" t="str">
        <f ca="1"/>
        <v>Unit 7-04-0305</v>
      </c>
      <c r="E83" s="1" t="str">
        <f ca="1"/>
        <v xml:space="preserve">On Notice </v>
      </c>
      <c r="F83" s="1" vm="151">
        <f ca="1"/>
        <v>46085</v>
      </c>
      <c r="G83" s="1" vm="150">
        <f ca="1"/>
        <v>46095</v>
      </c>
      <c r="H83">
        <f ca="1"/>
        <v>-15</v>
      </c>
      <c r="I83" t="e">
        <f ca="1"/>
        <v>#NUM!</v>
      </c>
      <c r="J83" t="str">
        <f ca="1"/>
        <v/>
      </c>
      <c r="K83" t="str">
        <f ca="1"/>
        <v>NOTICE</v>
      </c>
      <c r="L83" t="str">
        <f ca="1"/>
        <v/>
      </c>
      <c r="M83" t="str">
        <f ca="1"/>
        <v>Not Started</v>
      </c>
      <c r="N83" t="str">
        <f ca="1"/>
        <v/>
      </c>
      <c r="O83" t="str">
        <f ca="1"/>
        <v>Not Started</v>
      </c>
      <c r="P83" t="str">
        <f ca="1"/>
        <v/>
      </c>
      <c r="Q83" t="str">
        <f ca="1"/>
        <v>Not Started</v>
      </c>
      <c r="R83" t="str">
        <f ca="1"/>
        <v/>
      </c>
      <c r="S83" t="str">
        <f ca="1"/>
        <v>Not Started</v>
      </c>
      <c r="T83" t="str">
        <f ca="1"/>
        <v/>
      </c>
      <c r="U83" t="str">
        <f ca="1"/>
        <v>Not Started</v>
      </c>
      <c r="V83" t="str">
        <f ca="1"/>
        <v>Brad</v>
      </c>
      <c r="W83" vm="11">
        <f ca="1"/>
        <v>0</v>
      </c>
      <c r="X83" t="str">
        <f ca="1"/>
        <v>No</v>
      </c>
      <c r="Y83" t="str">
        <f ca="1"/>
        <v>7</v>
      </c>
      <c r="Z83" t="str">
        <f ca="1"/>
        <v>04</v>
      </c>
      <c r="AA83" t="str">
        <f ca="1"/>
        <v>0305</v>
      </c>
      <c r="AB83" vm="11">
        <f ca="1"/>
        <v>0</v>
      </c>
      <c r="AC83" t="str">
        <f ca="1"/>
        <v/>
      </c>
      <c r="AD83" t="b">
        <f ca="1"/>
        <v>0</v>
      </c>
      <c r="AE83" t="str">
        <f ca="1"/>
        <v/>
      </c>
      <c r="AF83" t="b">
        <f ca="1"/>
        <v>1</v>
      </c>
      <c r="AG83" t="b">
        <f ca="1"/>
        <v>0</v>
      </c>
      <c r="AH83" t="b">
        <f ca="1"/>
        <v>1</v>
      </c>
      <c r="AI83" t="b">
        <f ca="1"/>
        <v>0</v>
      </c>
      <c r="AJ83" t="b">
        <f ca="1"/>
        <v>0</v>
      </c>
      <c r="AK83" t="b">
        <f ca="1"/>
        <v>1</v>
      </c>
      <c r="AL83" t="b">
        <f ca="1"/>
        <v>1</v>
      </c>
      <c r="AM83" t="b">
        <f ca="1"/>
        <v>0</v>
      </c>
      <c r="AN83">
        <f ca="1"/>
        <v>-11</v>
      </c>
      <c r="AO83" t="str">
        <f ca="1"/>
        <v>Not Started</v>
      </c>
      <c r="AP83">
        <f ca="1"/>
        <v>0</v>
      </c>
      <c r="AQ83" t="str">
        <f ca="1"/>
        <v>Inspection</v>
      </c>
      <c r="AR83" t="str">
        <f ca="1"/>
        <v>Paint</v>
      </c>
      <c r="AS83" t="b">
        <f ca="1"/>
        <v>0</v>
      </c>
      <c r="AT83" t="str">
        <f ca="1"/>
        <v>on notice</v>
      </c>
      <c r="AU83" t="b">
        <f ca="1"/>
        <v>0</v>
      </c>
      <c r="AV83" t="b">
        <f ca="1"/>
        <v>0</v>
      </c>
      <c r="AW83" t="b">
        <f ca="1"/>
        <v>0</v>
      </c>
      <c r="AX83" t="str">
        <f ca="1"/>
        <v>On Notice</v>
      </c>
      <c r="AY83" t="b">
        <f ca="1"/>
        <v>0</v>
      </c>
      <c r="AZ83" t="str">
        <f ca="1"/>
        <v>📋 On Notice</v>
      </c>
      <c r="BA83" t="e">
        <f ca="1"/>
        <v>#NUM!</v>
      </c>
      <c r="BB83" t="b">
        <f ca="1"/>
        <v>0</v>
      </c>
      <c r="BC83" t="b">
        <f ca="1"/>
        <v>0</v>
      </c>
      <c r="BD83" t="b">
        <f ca="1"/>
        <v>0</v>
      </c>
      <c r="BE83" t="b">
        <f ca="1"/>
        <v>0</v>
      </c>
    </row>
    <row r="84" spans="3:57" x14ac:dyDescent="0.4">
      <c r="C84" s="1">
        <f ca="1"/>
        <v>93</v>
      </c>
      <c r="D84" s="1" t="str">
        <f ca="1"/>
        <v>Unit 7-04-0311</v>
      </c>
      <c r="E84" s="1" t="str">
        <f ca="1"/>
        <v xml:space="preserve">On Notice </v>
      </c>
      <c r="F84" s="1" vm="137">
        <f ca="1"/>
        <v>46087</v>
      </c>
      <c r="G84" s="1" vm="152">
        <f ca="1"/>
        <v>46097</v>
      </c>
      <c r="H84">
        <f ca="1"/>
        <v>-17</v>
      </c>
      <c r="I84" t="e">
        <f ca="1"/>
        <v>#NUM!</v>
      </c>
      <c r="J84" t="str">
        <f ca="1"/>
        <v/>
      </c>
      <c r="K84" t="str">
        <f ca="1"/>
        <v>NOTICE</v>
      </c>
      <c r="L84" t="str">
        <f ca="1"/>
        <v/>
      </c>
      <c r="M84" t="str">
        <f ca="1"/>
        <v>Not Started</v>
      </c>
      <c r="N84" t="str">
        <f ca="1"/>
        <v/>
      </c>
      <c r="O84" t="str">
        <f ca="1"/>
        <v>Not Started</v>
      </c>
      <c r="P84" t="str">
        <f ca="1"/>
        <v/>
      </c>
      <c r="Q84" t="str">
        <f ca="1"/>
        <v>Not Started</v>
      </c>
      <c r="R84" t="str">
        <f ca="1"/>
        <v/>
      </c>
      <c r="S84" t="str">
        <f ca="1"/>
        <v>Not Started</v>
      </c>
      <c r="T84" t="str">
        <f ca="1"/>
        <v/>
      </c>
      <c r="U84" t="str">
        <f ca="1"/>
        <v>Not Started</v>
      </c>
      <c r="V84" t="str">
        <f ca="1"/>
        <v>Brad</v>
      </c>
      <c r="W84" vm="11">
        <f ca="1"/>
        <v>0</v>
      </c>
      <c r="X84" t="str">
        <f ca="1"/>
        <v>No</v>
      </c>
      <c r="Y84" t="str">
        <f ca="1"/>
        <v>7</v>
      </c>
      <c r="Z84" t="str">
        <f ca="1"/>
        <v>04</v>
      </c>
      <c r="AA84" t="str">
        <f ca="1"/>
        <v>0311</v>
      </c>
      <c r="AB84" vm="11">
        <f ca="1"/>
        <v>0</v>
      </c>
      <c r="AC84" t="str">
        <f ca="1"/>
        <v/>
      </c>
      <c r="AD84" t="b">
        <f ca="1"/>
        <v>0</v>
      </c>
      <c r="AE84" t="str">
        <f ca="1"/>
        <v/>
      </c>
      <c r="AF84" t="b">
        <f ca="1"/>
        <v>1</v>
      </c>
      <c r="AG84" t="b">
        <f ca="1"/>
        <v>0</v>
      </c>
      <c r="AH84" t="b">
        <f ca="1"/>
        <v>1</v>
      </c>
      <c r="AI84" t="b">
        <f ca="1"/>
        <v>0</v>
      </c>
      <c r="AJ84" t="b">
        <f ca="1"/>
        <v>0</v>
      </c>
      <c r="AK84" t="b">
        <f ca="1"/>
        <v>1</v>
      </c>
      <c r="AL84" t="b">
        <f ca="1"/>
        <v>1</v>
      </c>
      <c r="AM84" t="b">
        <f ca="1"/>
        <v>0</v>
      </c>
      <c r="AN84">
        <f ca="1"/>
        <v>-13</v>
      </c>
      <c r="AO84" t="str">
        <f ca="1"/>
        <v>Not Started</v>
      </c>
      <c r="AP84">
        <f ca="1"/>
        <v>0</v>
      </c>
      <c r="AQ84" t="str">
        <f ca="1"/>
        <v>Inspection</v>
      </c>
      <c r="AR84" t="str">
        <f ca="1"/>
        <v>Paint</v>
      </c>
      <c r="AS84" t="b">
        <f ca="1"/>
        <v>0</v>
      </c>
      <c r="AT84" t="str">
        <f ca="1"/>
        <v>on notice</v>
      </c>
      <c r="AU84" t="b">
        <f ca="1"/>
        <v>0</v>
      </c>
      <c r="AV84" t="b">
        <f ca="1"/>
        <v>0</v>
      </c>
      <c r="AW84" t="b">
        <f ca="1"/>
        <v>0</v>
      </c>
      <c r="AX84" t="str">
        <f ca="1"/>
        <v>On Notice</v>
      </c>
      <c r="AY84" t="b">
        <f ca="1"/>
        <v>0</v>
      </c>
      <c r="AZ84" t="str">
        <f ca="1"/>
        <v>📋 On Notice</v>
      </c>
      <c r="BA84" t="e">
        <f ca="1"/>
        <v>#NUM!</v>
      </c>
      <c r="BB84" t="b">
        <f ca="1"/>
        <v>0</v>
      </c>
      <c r="BC84" t="b">
        <f ca="1"/>
        <v>0</v>
      </c>
      <c r="BD84" t="b">
        <f ca="1"/>
        <v>0</v>
      </c>
      <c r="BE84" t="b">
        <f ca="1"/>
        <v>0</v>
      </c>
    </row>
    <row r="85" spans="3:57" x14ac:dyDescent="0.4">
      <c r="C85" s="1">
        <f ca="1"/>
        <v>94</v>
      </c>
      <c r="D85" s="1" t="str">
        <f ca="1"/>
        <v>Unit 7-10-0101</v>
      </c>
      <c r="E85" s="1" t="str">
        <f ca="1"/>
        <v xml:space="preserve">On Notice </v>
      </c>
      <c r="F85" s="1" vm="153">
        <f ca="1"/>
        <v>46090</v>
      </c>
      <c r="G85" s="1" vm="148">
        <f ca="1"/>
        <v>46102</v>
      </c>
      <c r="H85">
        <f ca="1"/>
        <v>-20</v>
      </c>
      <c r="I85" t="e">
        <f ca="1"/>
        <v>#NUM!</v>
      </c>
      <c r="J85" t="str">
        <f ca="1"/>
        <v/>
      </c>
      <c r="K85" t="str">
        <f ca="1"/>
        <v>NOTICE</v>
      </c>
      <c r="L85" t="str">
        <f ca="1"/>
        <v/>
      </c>
      <c r="M85" t="str">
        <f ca="1"/>
        <v>Not Started</v>
      </c>
      <c r="N85" t="str">
        <f ca="1"/>
        <v/>
      </c>
      <c r="O85" t="str">
        <f ca="1"/>
        <v>Not Started</v>
      </c>
      <c r="P85" t="str">
        <f ca="1"/>
        <v/>
      </c>
      <c r="Q85" t="str">
        <f ca="1"/>
        <v>Not Started</v>
      </c>
      <c r="R85" t="str">
        <f ca="1"/>
        <v/>
      </c>
      <c r="S85" t="str">
        <f ca="1"/>
        <v>Not Started</v>
      </c>
      <c r="T85" t="str">
        <f ca="1"/>
        <v/>
      </c>
      <c r="U85" t="str">
        <f ca="1"/>
        <v>Not Started</v>
      </c>
      <c r="V85" t="str">
        <f ca="1"/>
        <v>Brad</v>
      </c>
      <c r="W85" vm="11">
        <f ca="1"/>
        <v>0</v>
      </c>
      <c r="X85" t="str">
        <f ca="1"/>
        <v>No</v>
      </c>
      <c r="Y85" t="str">
        <f ca="1"/>
        <v>7</v>
      </c>
      <c r="Z85" t="str">
        <f ca="1"/>
        <v>10</v>
      </c>
      <c r="AA85" t="str">
        <f ca="1"/>
        <v>0101</v>
      </c>
      <c r="AB85" vm="11">
        <f ca="1"/>
        <v>0</v>
      </c>
      <c r="AC85" t="str">
        <f ca="1"/>
        <v/>
      </c>
      <c r="AD85" t="b">
        <f ca="1"/>
        <v>0</v>
      </c>
      <c r="AE85" t="str">
        <f ca="1"/>
        <v/>
      </c>
      <c r="AF85" t="b">
        <f ca="1"/>
        <v>1</v>
      </c>
      <c r="AG85" t="b">
        <f ca="1"/>
        <v>0</v>
      </c>
      <c r="AH85" t="b">
        <f ca="1"/>
        <v>1</v>
      </c>
      <c r="AI85" t="b">
        <f ca="1"/>
        <v>0</v>
      </c>
      <c r="AJ85" t="b">
        <f ca="1"/>
        <v>0</v>
      </c>
      <c r="AK85" t="b">
        <f ca="1"/>
        <v>1</v>
      </c>
      <c r="AL85" t="b">
        <f ca="1"/>
        <v>1</v>
      </c>
      <c r="AM85" t="b">
        <f ca="1"/>
        <v>0</v>
      </c>
      <c r="AN85">
        <f ca="1"/>
        <v>-14</v>
      </c>
      <c r="AO85" t="str">
        <f ca="1"/>
        <v>Not Started</v>
      </c>
      <c r="AP85">
        <f ca="1"/>
        <v>0</v>
      </c>
      <c r="AQ85" t="str">
        <f ca="1"/>
        <v>Inspection</v>
      </c>
      <c r="AR85" t="str">
        <f ca="1"/>
        <v>Paint</v>
      </c>
      <c r="AS85" t="b">
        <f ca="1"/>
        <v>0</v>
      </c>
      <c r="AT85" t="str">
        <f ca="1"/>
        <v>on notice</v>
      </c>
      <c r="AU85" t="b">
        <f ca="1"/>
        <v>0</v>
      </c>
      <c r="AV85" t="b">
        <f ca="1"/>
        <v>0</v>
      </c>
      <c r="AW85" t="b">
        <f ca="1"/>
        <v>0</v>
      </c>
      <c r="AX85" t="str">
        <f ca="1"/>
        <v>On Notice</v>
      </c>
      <c r="AY85" t="b">
        <f ca="1"/>
        <v>0</v>
      </c>
      <c r="AZ85" t="str">
        <f ca="1"/>
        <v>📋 On Notice</v>
      </c>
      <c r="BA85" t="e">
        <f ca="1"/>
        <v>#NUM!</v>
      </c>
      <c r="BB85" t="b">
        <f ca="1"/>
        <v>0</v>
      </c>
      <c r="BC85" t="b">
        <f ca="1"/>
        <v>0</v>
      </c>
      <c r="BD85" t="b">
        <f ca="1"/>
        <v>0</v>
      </c>
      <c r="BE85" t="b">
        <f ca="1"/>
        <v>0</v>
      </c>
    </row>
    <row r="86" spans="3:57" x14ac:dyDescent="0.4">
      <c r="C86" s="1">
        <f ca="1"/>
        <v>95</v>
      </c>
      <c r="D86" s="1" t="str">
        <f ca="1"/>
        <v>Unit 7-TH1-0102</v>
      </c>
      <c r="E86" s="1" t="str">
        <f ca="1"/>
        <v xml:space="preserve">On Notice </v>
      </c>
      <c r="F86" s="1" vm="153">
        <f ca="1"/>
        <v>46090</v>
      </c>
      <c r="G86" s="1" vm="148">
        <f ca="1"/>
        <v>46102</v>
      </c>
      <c r="H86">
        <f ca="1"/>
        <v>-20</v>
      </c>
      <c r="I86" t="e">
        <f ca="1"/>
        <v>#NUM!</v>
      </c>
      <c r="J86" t="str">
        <f ca="1"/>
        <v/>
      </c>
      <c r="K86" t="str">
        <f ca="1"/>
        <v>NOTICE</v>
      </c>
      <c r="L86" t="str">
        <f ca="1"/>
        <v/>
      </c>
      <c r="M86" t="str">
        <f ca="1"/>
        <v>Not Started</v>
      </c>
      <c r="N86" t="str">
        <f ca="1"/>
        <v/>
      </c>
      <c r="O86" t="str">
        <f ca="1"/>
        <v>Not Started</v>
      </c>
      <c r="P86" t="str">
        <f ca="1"/>
        <v/>
      </c>
      <c r="Q86" t="str">
        <f ca="1"/>
        <v>Not Started</v>
      </c>
      <c r="R86" t="str">
        <f ca="1"/>
        <v/>
      </c>
      <c r="S86" t="str">
        <f ca="1"/>
        <v>Not Started</v>
      </c>
      <c r="T86" t="str">
        <f ca="1"/>
        <v/>
      </c>
      <c r="U86" t="str">
        <f ca="1"/>
        <v>Not Started</v>
      </c>
      <c r="V86" t="str">
        <f ca="1"/>
        <v>Brad</v>
      </c>
      <c r="W86" vm="11">
        <f ca="1"/>
        <v>0</v>
      </c>
      <c r="X86" t="str">
        <f ca="1"/>
        <v>No</v>
      </c>
      <c r="Y86" t="str">
        <f ca="1"/>
        <v>7</v>
      </c>
      <c r="Z86" t="str">
        <f ca="1"/>
        <v>TH1</v>
      </c>
      <c r="AA86" t="str">
        <f ca="1"/>
        <v>0102</v>
      </c>
      <c r="AB86" vm="11">
        <f ca="1"/>
        <v>0</v>
      </c>
      <c r="AC86" t="str">
        <f ca="1"/>
        <v/>
      </c>
      <c r="AD86" t="b">
        <f ca="1"/>
        <v>0</v>
      </c>
      <c r="AE86" t="str">
        <f ca="1"/>
        <v/>
      </c>
      <c r="AF86" t="b">
        <f ca="1"/>
        <v>1</v>
      </c>
      <c r="AG86" t="b">
        <f ca="1"/>
        <v>0</v>
      </c>
      <c r="AH86" t="b">
        <f ca="1"/>
        <v>1</v>
      </c>
      <c r="AI86" t="b">
        <f ca="1"/>
        <v>0</v>
      </c>
      <c r="AJ86" t="b">
        <f ca="1"/>
        <v>0</v>
      </c>
      <c r="AK86" t="b">
        <f ca="1"/>
        <v>1</v>
      </c>
      <c r="AL86" t="b">
        <f ca="1"/>
        <v>1</v>
      </c>
      <c r="AM86" t="b">
        <f ca="1"/>
        <v>0</v>
      </c>
      <c r="AN86">
        <f ca="1"/>
        <v>-14</v>
      </c>
      <c r="AO86" t="str">
        <f ca="1"/>
        <v>Not Started</v>
      </c>
      <c r="AP86">
        <f ca="1"/>
        <v>0</v>
      </c>
      <c r="AQ86" t="str">
        <f ca="1"/>
        <v>Inspection</v>
      </c>
      <c r="AR86" t="str">
        <f ca="1"/>
        <v>Paint</v>
      </c>
      <c r="AS86" t="b">
        <f ca="1"/>
        <v>0</v>
      </c>
      <c r="AT86" t="str">
        <f ca="1"/>
        <v>on notice</v>
      </c>
      <c r="AU86" t="b">
        <f ca="1"/>
        <v>0</v>
      </c>
      <c r="AV86" t="b">
        <f ca="1"/>
        <v>0</v>
      </c>
      <c r="AW86" t="b">
        <f ca="1"/>
        <v>0</v>
      </c>
      <c r="AX86" t="str">
        <f ca="1"/>
        <v>On Notice</v>
      </c>
      <c r="AY86" t="b">
        <f ca="1"/>
        <v>0</v>
      </c>
      <c r="AZ86" t="str">
        <f ca="1"/>
        <v>📋 On Notice</v>
      </c>
      <c r="BA86" t="e">
        <f ca="1"/>
        <v>#NUM!</v>
      </c>
      <c r="BB86" t="b">
        <f ca="1"/>
        <v>0</v>
      </c>
      <c r="BC86" t="b">
        <f ca="1"/>
        <v>0</v>
      </c>
      <c r="BD86" t="b">
        <f ca="1"/>
        <v>0</v>
      </c>
      <c r="BE86" t="b">
        <f ca="1"/>
        <v>0</v>
      </c>
    </row>
    <row r="87" spans="3:57" x14ac:dyDescent="0.4">
      <c r="C87" s="1">
        <f ca="1"/>
        <v>96</v>
      </c>
      <c r="D87" s="1" t="str">
        <f ca="1"/>
        <v>Unit 7-03-0304</v>
      </c>
      <c r="E87" s="1" t="str">
        <f ca="1"/>
        <v xml:space="preserve">On Notice </v>
      </c>
      <c r="F87" s="1" vm="154">
        <f ca="1"/>
        <v>46091</v>
      </c>
      <c r="G87" s="1" vm="155">
        <f ca="1"/>
        <v>46105</v>
      </c>
      <c r="H87">
        <f ca="1"/>
        <v>-21</v>
      </c>
      <c r="I87" t="e">
        <f ca="1"/>
        <v>#NUM!</v>
      </c>
      <c r="J87" t="str">
        <f ca="1"/>
        <v/>
      </c>
      <c r="K87" t="str">
        <f ca="1"/>
        <v>NOTICE</v>
      </c>
      <c r="L87" t="str">
        <f ca="1"/>
        <v/>
      </c>
      <c r="M87" t="str">
        <f ca="1"/>
        <v>Not Started</v>
      </c>
      <c r="N87" t="str">
        <f ca="1"/>
        <v/>
      </c>
      <c r="O87" t="str">
        <f ca="1"/>
        <v>Not Started</v>
      </c>
      <c r="P87" t="str">
        <f ca="1"/>
        <v/>
      </c>
      <c r="Q87" t="str">
        <f ca="1"/>
        <v>Not Started</v>
      </c>
      <c r="R87" t="str">
        <f ca="1"/>
        <v/>
      </c>
      <c r="S87" t="str">
        <f ca="1"/>
        <v>Not Started</v>
      </c>
      <c r="T87" t="str">
        <f ca="1"/>
        <v/>
      </c>
      <c r="U87" t="str">
        <f ca="1"/>
        <v>Not Started</v>
      </c>
      <c r="V87" t="str">
        <f ca="1"/>
        <v>Brad</v>
      </c>
      <c r="W87" vm="11">
        <f ca="1"/>
        <v>0</v>
      </c>
      <c r="X87" t="str">
        <f ca="1"/>
        <v>No</v>
      </c>
      <c r="Y87" t="str">
        <f ca="1"/>
        <v>7</v>
      </c>
      <c r="Z87" t="str">
        <f ca="1"/>
        <v>03</v>
      </c>
      <c r="AA87" t="str">
        <f ca="1"/>
        <v>0304</v>
      </c>
      <c r="AB87" vm="11">
        <f ca="1"/>
        <v>0</v>
      </c>
      <c r="AC87" t="str">
        <f ca="1"/>
        <v/>
      </c>
      <c r="AD87" t="b">
        <f ca="1"/>
        <v>0</v>
      </c>
      <c r="AE87" t="str">
        <f ca="1"/>
        <v/>
      </c>
      <c r="AF87" t="b">
        <f ca="1"/>
        <v>1</v>
      </c>
      <c r="AG87" t="b">
        <f ca="1"/>
        <v>0</v>
      </c>
      <c r="AH87" t="b">
        <f ca="1"/>
        <v>1</v>
      </c>
      <c r="AI87" t="b">
        <f ca="1"/>
        <v>0</v>
      </c>
      <c r="AJ87" t="b">
        <f ca="1"/>
        <v>0</v>
      </c>
      <c r="AK87" t="b">
        <f ca="1"/>
        <v>1</v>
      </c>
      <c r="AL87" t="b">
        <f ca="1"/>
        <v>1</v>
      </c>
      <c r="AM87" t="b">
        <f ca="1"/>
        <v>0</v>
      </c>
      <c r="AN87">
        <f ca="1"/>
        <v>-15</v>
      </c>
      <c r="AO87" t="str">
        <f ca="1"/>
        <v>Not Started</v>
      </c>
      <c r="AP87">
        <f ca="1"/>
        <v>0</v>
      </c>
      <c r="AQ87" t="str">
        <f ca="1"/>
        <v>Inspection</v>
      </c>
      <c r="AR87" t="str">
        <f ca="1"/>
        <v>Paint</v>
      </c>
      <c r="AS87" t="b">
        <f ca="1"/>
        <v>0</v>
      </c>
      <c r="AT87" t="str">
        <f ca="1"/>
        <v>on notice</v>
      </c>
      <c r="AU87" t="b">
        <f ca="1"/>
        <v>0</v>
      </c>
      <c r="AV87" t="b">
        <f ca="1"/>
        <v>0</v>
      </c>
      <c r="AW87" t="b">
        <f ca="1"/>
        <v>0</v>
      </c>
      <c r="AX87" t="str">
        <f ca="1"/>
        <v>On Notice</v>
      </c>
      <c r="AY87" t="b">
        <f ca="1"/>
        <v>0</v>
      </c>
      <c r="AZ87" t="str">
        <f ca="1"/>
        <v>📋 On Notice</v>
      </c>
      <c r="BA87" t="e">
        <f ca="1"/>
        <v>#NUM!</v>
      </c>
      <c r="BB87" t="b">
        <f ca="1"/>
        <v>0</v>
      </c>
      <c r="BC87" t="b">
        <f ca="1"/>
        <v>0</v>
      </c>
      <c r="BD87" t="b">
        <f ca="1"/>
        <v>0</v>
      </c>
      <c r="BE87" t="b">
        <f ca="1"/>
        <v>0</v>
      </c>
    </row>
    <row r="88" spans="3:57" x14ac:dyDescent="0.4">
      <c r="C88" s="1">
        <f ca="1"/>
        <v>97</v>
      </c>
      <c r="D88" s="1" t="str">
        <f ca="1"/>
        <v>Unit 8-01-3030</v>
      </c>
      <c r="E88" s="1" t="str">
        <f ca="1"/>
        <v xml:space="preserve">On Notice </v>
      </c>
      <c r="F88" s="1" vm="156">
        <f ca="1"/>
        <v>46092</v>
      </c>
      <c r="G88" s="1" vm="157">
        <f ca="1"/>
        <v>46106</v>
      </c>
      <c r="H88">
        <f ca="1"/>
        <v>-22</v>
      </c>
      <c r="I88" t="e">
        <f ca="1"/>
        <v>#NUM!</v>
      </c>
      <c r="J88" t="str">
        <f ca="1"/>
        <v/>
      </c>
      <c r="K88" t="str">
        <f ca="1"/>
        <v>NOTICE</v>
      </c>
      <c r="L88" t="str">
        <f ca="1"/>
        <v/>
      </c>
      <c r="M88" t="str">
        <f ca="1"/>
        <v>Not Started</v>
      </c>
      <c r="N88" t="str">
        <f ca="1"/>
        <v/>
      </c>
      <c r="O88" t="str">
        <f ca="1"/>
        <v>Not Started</v>
      </c>
      <c r="P88" t="str">
        <f ca="1"/>
        <v/>
      </c>
      <c r="Q88" t="str">
        <f ca="1"/>
        <v>Not Started</v>
      </c>
      <c r="R88" t="str">
        <f ca="1"/>
        <v/>
      </c>
      <c r="S88" t="str">
        <f ca="1"/>
        <v>Not Started</v>
      </c>
      <c r="T88" t="str">
        <f ca="1"/>
        <v/>
      </c>
      <c r="U88" t="str">
        <f ca="1"/>
        <v>Not Started</v>
      </c>
      <c r="V88" t="str">
        <f ca="1"/>
        <v xml:space="preserve">Michael </v>
      </c>
      <c r="W88" vm="11">
        <f ca="1"/>
        <v>0</v>
      </c>
      <c r="X88" t="str">
        <f ca="1"/>
        <v>No</v>
      </c>
      <c r="Y88" t="str">
        <f ca="1"/>
        <v>8</v>
      </c>
      <c r="Z88" t="str">
        <f ca="1"/>
        <v>01</v>
      </c>
      <c r="AA88" t="str">
        <f ca="1"/>
        <v>3030</v>
      </c>
      <c r="AB88" vm="11">
        <f ca="1"/>
        <v>0</v>
      </c>
      <c r="AC88" t="str">
        <f ca="1"/>
        <v/>
      </c>
      <c r="AD88" t="b">
        <f ca="1"/>
        <v>0</v>
      </c>
      <c r="AE88" t="str">
        <f ca="1"/>
        <v/>
      </c>
      <c r="AF88" t="b">
        <f ca="1"/>
        <v>1</v>
      </c>
      <c r="AG88" t="b">
        <f ca="1"/>
        <v>0</v>
      </c>
      <c r="AH88" t="b">
        <f ca="1"/>
        <v>1</v>
      </c>
      <c r="AI88" t="b">
        <f ca="1"/>
        <v>0</v>
      </c>
      <c r="AJ88" t="b">
        <f ca="1"/>
        <v>0</v>
      </c>
      <c r="AK88" t="b">
        <f ca="1"/>
        <v>1</v>
      </c>
      <c r="AL88" t="b">
        <f ca="1"/>
        <v>1</v>
      </c>
      <c r="AM88" t="b">
        <f ca="1"/>
        <v>0</v>
      </c>
      <c r="AN88">
        <f ca="1"/>
        <v>-16</v>
      </c>
      <c r="AO88" t="str">
        <f ca="1"/>
        <v>Not Started</v>
      </c>
      <c r="AP88">
        <f ca="1"/>
        <v>0</v>
      </c>
      <c r="AQ88" t="str">
        <f ca="1"/>
        <v>Inspection</v>
      </c>
      <c r="AR88" t="str">
        <f ca="1"/>
        <v>Paint</v>
      </c>
      <c r="AS88" t="b">
        <f ca="1"/>
        <v>0</v>
      </c>
      <c r="AT88" t="str">
        <f ca="1"/>
        <v>on notice</v>
      </c>
      <c r="AU88" t="b">
        <f ca="1"/>
        <v>0</v>
      </c>
      <c r="AV88" t="b">
        <f ca="1"/>
        <v>0</v>
      </c>
      <c r="AW88" t="b">
        <f ca="1"/>
        <v>0</v>
      </c>
      <c r="AX88" t="str">
        <f ca="1"/>
        <v>On Notice</v>
      </c>
      <c r="AY88" t="b">
        <f ca="1"/>
        <v>0</v>
      </c>
      <c r="AZ88" t="str">
        <f ca="1"/>
        <v>📋 On Notice</v>
      </c>
      <c r="BA88" t="e">
        <f ca="1"/>
        <v>#NUM!</v>
      </c>
      <c r="BB88" t="b">
        <f ca="1"/>
        <v>0</v>
      </c>
      <c r="BC88" t="b">
        <f ca="1"/>
        <v>0</v>
      </c>
      <c r="BD88" t="b">
        <f ca="1"/>
        <v>0</v>
      </c>
      <c r="BE88" t="b">
        <f ca="1"/>
        <v>0</v>
      </c>
    </row>
    <row r="89" spans="3:57" x14ac:dyDescent="0.4">
      <c r="C89" s="1">
        <f ca="1"/>
        <v>98</v>
      </c>
      <c r="D89" s="1" t="str">
        <f ca="1"/>
        <v>Unit 8-01-2007</v>
      </c>
      <c r="E89" s="1" t="str">
        <f ca="1"/>
        <v xml:space="preserve">On Notice </v>
      </c>
      <c r="F89" s="1" vm="158">
        <f ca="1"/>
        <v>46093</v>
      </c>
      <c r="G89" s="1" vm="159">
        <f ca="1"/>
        <v>46107</v>
      </c>
      <c r="H89">
        <f ca="1"/>
        <v>-23</v>
      </c>
      <c r="I89" t="e">
        <f ca="1"/>
        <v>#NUM!</v>
      </c>
      <c r="J89" t="str">
        <f ca="1"/>
        <v/>
      </c>
      <c r="K89" t="str">
        <f ca="1"/>
        <v>NOTICE</v>
      </c>
      <c r="L89" t="str">
        <f ca="1"/>
        <v/>
      </c>
      <c r="M89" t="str">
        <f ca="1"/>
        <v>Not Started</v>
      </c>
      <c r="N89" t="str">
        <f ca="1"/>
        <v/>
      </c>
      <c r="O89" t="str">
        <f ca="1"/>
        <v>Not Started</v>
      </c>
      <c r="P89" t="str">
        <f ca="1"/>
        <v/>
      </c>
      <c r="Q89" t="str">
        <f ca="1"/>
        <v>Not Started</v>
      </c>
      <c r="R89" t="str">
        <f ca="1"/>
        <v/>
      </c>
      <c r="S89" t="str">
        <f ca="1"/>
        <v>Not Started</v>
      </c>
      <c r="T89" t="str">
        <f ca="1"/>
        <v/>
      </c>
      <c r="U89" t="str">
        <f ca="1"/>
        <v>Not Started</v>
      </c>
      <c r="V89" t="str">
        <f ca="1"/>
        <v xml:space="preserve">Michael </v>
      </c>
      <c r="W89" vm="11">
        <f ca="1"/>
        <v>0</v>
      </c>
      <c r="X89" t="str">
        <f ca="1"/>
        <v>No</v>
      </c>
      <c r="Y89" t="str">
        <f ca="1"/>
        <v>8</v>
      </c>
      <c r="Z89" t="str">
        <f ca="1"/>
        <v>01</v>
      </c>
      <c r="AA89" t="str">
        <f ca="1"/>
        <v>2007</v>
      </c>
      <c r="AB89" vm="11">
        <f ca="1"/>
        <v>0</v>
      </c>
      <c r="AC89" t="str">
        <f ca="1"/>
        <v/>
      </c>
      <c r="AD89" t="b">
        <f ca="1"/>
        <v>0</v>
      </c>
      <c r="AE89" t="str">
        <f ca="1"/>
        <v/>
      </c>
      <c r="AF89" t="b">
        <f ca="1"/>
        <v>1</v>
      </c>
      <c r="AG89" t="b">
        <f ca="1"/>
        <v>0</v>
      </c>
      <c r="AH89" t="b">
        <f ca="1"/>
        <v>1</v>
      </c>
      <c r="AI89" t="b">
        <f ca="1"/>
        <v>0</v>
      </c>
      <c r="AJ89" t="b">
        <f ca="1"/>
        <v>0</v>
      </c>
      <c r="AK89" t="b">
        <f ca="1"/>
        <v>1</v>
      </c>
      <c r="AL89" t="b">
        <f ca="1"/>
        <v>1</v>
      </c>
      <c r="AM89" t="b">
        <f ca="1"/>
        <v>0</v>
      </c>
      <c r="AN89">
        <f ca="1"/>
        <v>-17</v>
      </c>
      <c r="AO89" t="str">
        <f ca="1"/>
        <v>Not Started</v>
      </c>
      <c r="AP89">
        <f ca="1"/>
        <v>0</v>
      </c>
      <c r="AQ89" t="str">
        <f ca="1"/>
        <v>Inspection</v>
      </c>
      <c r="AR89" t="str">
        <f ca="1"/>
        <v>Paint</v>
      </c>
      <c r="AS89" t="b">
        <f ca="1"/>
        <v>0</v>
      </c>
      <c r="AT89" t="str">
        <f ca="1"/>
        <v>on notice</v>
      </c>
      <c r="AU89" t="b">
        <f ca="1"/>
        <v>0</v>
      </c>
      <c r="AV89" t="b">
        <f ca="1"/>
        <v>0</v>
      </c>
      <c r="AW89" t="b">
        <f ca="1"/>
        <v>0</v>
      </c>
      <c r="AX89" t="str">
        <f ca="1"/>
        <v>On Notice</v>
      </c>
      <c r="AY89" t="b">
        <f ca="1"/>
        <v>0</v>
      </c>
      <c r="AZ89" t="str">
        <f ca="1"/>
        <v>📋 On Notice</v>
      </c>
      <c r="BA89" t="e">
        <f ca="1"/>
        <v>#NUM!</v>
      </c>
      <c r="BB89" t="b">
        <f ca="1"/>
        <v>0</v>
      </c>
      <c r="BC89" t="b">
        <f ca="1"/>
        <v>0</v>
      </c>
      <c r="BD89" t="b">
        <f ca="1"/>
        <v>0</v>
      </c>
      <c r="BE89" t="b">
        <f ca="1"/>
        <v>0</v>
      </c>
    </row>
    <row r="90" spans="3:57" x14ac:dyDescent="0.4">
      <c r="C90" s="1">
        <f ca="1"/>
        <v>99</v>
      </c>
      <c r="D90" s="1" t="str">
        <f ca="1"/>
        <v>Unit 5-13-0305</v>
      </c>
      <c r="E90" s="1" t="str">
        <f ca="1"/>
        <v xml:space="preserve">On Notice </v>
      </c>
      <c r="F90" s="1" vm="160">
        <f ca="1"/>
        <v>46098</v>
      </c>
      <c r="G90" s="1" vm="161">
        <f ca="1"/>
        <v>46112</v>
      </c>
      <c r="H90">
        <f ca="1"/>
        <v>-28</v>
      </c>
      <c r="I90" t="e">
        <f ca="1"/>
        <v>#NUM!</v>
      </c>
      <c r="J90" t="str">
        <f ca="1"/>
        <v/>
      </c>
      <c r="K90" t="str">
        <f ca="1"/>
        <v>NOTICE</v>
      </c>
      <c r="L90" t="str">
        <f ca="1"/>
        <v/>
      </c>
      <c r="M90" t="str">
        <f ca="1"/>
        <v>Not Started</v>
      </c>
      <c r="N90" t="str">
        <f ca="1"/>
        <v/>
      </c>
      <c r="O90" t="str">
        <f ca="1"/>
        <v>Not Started</v>
      </c>
      <c r="P90" t="str">
        <f ca="1"/>
        <v/>
      </c>
      <c r="Q90" t="str">
        <f ca="1"/>
        <v>Not Started</v>
      </c>
      <c r="R90" t="str">
        <f ca="1"/>
        <v/>
      </c>
      <c r="S90" t="str">
        <f ca="1"/>
        <v>Not Started</v>
      </c>
      <c r="T90" t="str">
        <f ca="1"/>
        <v/>
      </c>
      <c r="U90" t="str">
        <f ca="1"/>
        <v>Not Started</v>
      </c>
      <c r="V90" t="str">
        <f ca="1"/>
        <v>Total</v>
      </c>
      <c r="W90" vm="11">
        <f ca="1"/>
        <v>0</v>
      </c>
      <c r="X90" t="str">
        <f ca="1"/>
        <v>No</v>
      </c>
      <c r="Y90" t="str">
        <f ca="1"/>
        <v>5</v>
      </c>
      <c r="Z90" t="str">
        <f ca="1"/>
        <v>13</v>
      </c>
      <c r="AA90" t="str">
        <f ca="1"/>
        <v>0305</v>
      </c>
      <c r="AB90" vm="11">
        <f ca="1"/>
        <v>0</v>
      </c>
      <c r="AC90" t="str">
        <f ca="1"/>
        <v/>
      </c>
      <c r="AD90" t="b">
        <f ca="1"/>
        <v>0</v>
      </c>
      <c r="AE90" t="str">
        <f ca="1"/>
        <v/>
      </c>
      <c r="AF90" t="b">
        <f ca="1"/>
        <v>0</v>
      </c>
      <c r="AG90" t="b">
        <f ca="1"/>
        <v>0</v>
      </c>
      <c r="AH90" t="b">
        <f ca="1"/>
        <v>1</v>
      </c>
      <c r="AI90" t="b">
        <f ca="1"/>
        <v>0</v>
      </c>
      <c r="AJ90" t="b">
        <f ca="1"/>
        <v>0</v>
      </c>
      <c r="AK90" t="b">
        <f ca="1"/>
        <v>1</v>
      </c>
      <c r="AL90" t="b">
        <f ca="1"/>
        <v>1</v>
      </c>
      <c r="AM90" t="b">
        <f ca="1"/>
        <v>0</v>
      </c>
      <c r="AN90">
        <f ca="1"/>
        <v>-20</v>
      </c>
      <c r="AO90" t="str">
        <f ca="1"/>
        <v>Not Started</v>
      </c>
      <c r="AP90">
        <f ca="1"/>
        <v>0</v>
      </c>
      <c r="AQ90" t="str">
        <f ca="1"/>
        <v>Inspection</v>
      </c>
      <c r="AR90" t="str">
        <f ca="1"/>
        <v>Paint</v>
      </c>
      <c r="AS90" t="b">
        <f ca="1"/>
        <v>0</v>
      </c>
      <c r="AT90" t="str">
        <f ca="1"/>
        <v>on notice</v>
      </c>
      <c r="AU90" t="b">
        <f ca="1"/>
        <v>0</v>
      </c>
      <c r="AV90" t="b">
        <f ca="1"/>
        <v>0</v>
      </c>
      <c r="AW90" t="b">
        <f ca="1"/>
        <v>0</v>
      </c>
      <c r="AX90" t="str">
        <f ca="1"/>
        <v>On Notice</v>
      </c>
      <c r="AY90" t="b">
        <f ca="1"/>
        <v>0</v>
      </c>
      <c r="AZ90" t="str">
        <f ca="1"/>
        <v>📋 On Notice</v>
      </c>
      <c r="BA90" t="e">
        <f ca="1"/>
        <v>#NUM!</v>
      </c>
      <c r="BB90" t="b">
        <f ca="1"/>
        <v>0</v>
      </c>
      <c r="BC90" t="b">
        <f ca="1"/>
        <v>0</v>
      </c>
      <c r="BD90" t="b">
        <f ca="1"/>
        <v>0</v>
      </c>
      <c r="BE90" t="b">
        <f ca="1"/>
        <v>0</v>
      </c>
    </row>
    <row r="91" spans="3:57" x14ac:dyDescent="0.4">
      <c r="C91" s="1">
        <f ca="1"/>
        <v>100</v>
      </c>
      <c r="D91" s="1" t="str">
        <f ca="1"/>
        <v>Unit 5-12-0303</v>
      </c>
      <c r="E91" s="1" t="str">
        <f ca="1"/>
        <v xml:space="preserve">On Notice </v>
      </c>
      <c r="F91" s="1" vm="162">
        <f ca="1"/>
        <v>46099</v>
      </c>
      <c r="G91" s="1" vm="163">
        <f ca="1"/>
        <v>46113</v>
      </c>
      <c r="H91">
        <f ca="1"/>
        <v>-29</v>
      </c>
      <c r="I91" t="e">
        <f ca="1"/>
        <v>#NUM!</v>
      </c>
      <c r="J91" t="str">
        <f ca="1"/>
        <v/>
      </c>
      <c r="K91" t="str">
        <f ca="1"/>
        <v>NOTICE</v>
      </c>
      <c r="L91" t="str">
        <f ca="1"/>
        <v/>
      </c>
      <c r="M91" t="str">
        <f ca="1"/>
        <v>Not Started</v>
      </c>
      <c r="N91" t="str">
        <f ca="1"/>
        <v/>
      </c>
      <c r="O91" t="str">
        <f ca="1"/>
        <v>Not Started</v>
      </c>
      <c r="P91" t="str">
        <f ca="1"/>
        <v/>
      </c>
      <c r="Q91" t="str">
        <f ca="1"/>
        <v>Not Started</v>
      </c>
      <c r="R91" t="str">
        <f ca="1"/>
        <v/>
      </c>
      <c r="S91" t="str">
        <f ca="1"/>
        <v>Not Started</v>
      </c>
      <c r="T91" t="str">
        <f ca="1"/>
        <v/>
      </c>
      <c r="U91" t="str">
        <f ca="1"/>
        <v>Not Started</v>
      </c>
      <c r="V91" t="str">
        <f ca="1"/>
        <v>Total</v>
      </c>
      <c r="W91" vm="11">
        <f ca="1"/>
        <v>0</v>
      </c>
      <c r="X91" t="str">
        <f ca="1"/>
        <v>No</v>
      </c>
      <c r="Y91" t="str">
        <f ca="1"/>
        <v>5</v>
      </c>
      <c r="Z91" t="str">
        <f ca="1"/>
        <v>12</v>
      </c>
      <c r="AA91" t="str">
        <f ca="1"/>
        <v>0303</v>
      </c>
      <c r="AB91" vm="11">
        <f ca="1"/>
        <v>0</v>
      </c>
      <c r="AC91" t="str">
        <f ca="1"/>
        <v/>
      </c>
      <c r="AD91" t="b">
        <f ca="1"/>
        <v>0</v>
      </c>
      <c r="AE91" t="str">
        <f ca="1"/>
        <v/>
      </c>
      <c r="AF91" t="b">
        <f ca="1"/>
        <v>0</v>
      </c>
      <c r="AG91" t="b">
        <f ca="1"/>
        <v>0</v>
      </c>
      <c r="AH91" t="b">
        <f ca="1"/>
        <v>1</v>
      </c>
      <c r="AI91" t="b">
        <f ca="1"/>
        <v>0</v>
      </c>
      <c r="AJ91" t="b">
        <f ca="1"/>
        <v>0</v>
      </c>
      <c r="AK91" t="b">
        <f ca="1"/>
        <v>1</v>
      </c>
      <c r="AL91" t="b">
        <f ca="1"/>
        <v>1</v>
      </c>
      <c r="AM91" t="b">
        <f ca="1"/>
        <v>0</v>
      </c>
      <c r="AN91">
        <f ca="1"/>
        <v>-21</v>
      </c>
      <c r="AO91" t="str">
        <f ca="1"/>
        <v>Not Started</v>
      </c>
      <c r="AP91">
        <f ca="1"/>
        <v>0</v>
      </c>
      <c r="AQ91" t="str">
        <f ca="1"/>
        <v>Inspection</v>
      </c>
      <c r="AR91" t="str">
        <f ca="1"/>
        <v>Paint</v>
      </c>
      <c r="AS91" t="b">
        <f ca="1"/>
        <v>0</v>
      </c>
      <c r="AT91" t="str">
        <f ca="1"/>
        <v>on notice</v>
      </c>
      <c r="AU91" t="b">
        <f ca="1"/>
        <v>0</v>
      </c>
      <c r="AV91" t="b">
        <f ca="1"/>
        <v>0</v>
      </c>
      <c r="AW91" t="b">
        <f ca="1"/>
        <v>0</v>
      </c>
      <c r="AX91" t="str">
        <f ca="1"/>
        <v>On Notice</v>
      </c>
      <c r="AY91" t="b">
        <f ca="1"/>
        <v>0</v>
      </c>
      <c r="AZ91" t="str">
        <f ca="1"/>
        <v>📋 On Notice</v>
      </c>
      <c r="BA91" t="e">
        <f ca="1"/>
        <v>#NUM!</v>
      </c>
      <c r="BB91" t="b">
        <f ca="1"/>
        <v>0</v>
      </c>
      <c r="BC91" t="b">
        <f ca="1"/>
        <v>0</v>
      </c>
      <c r="BD91" t="b">
        <f ca="1"/>
        <v>0</v>
      </c>
      <c r="BE91" t="b">
        <f ca="1"/>
        <v>0</v>
      </c>
    </row>
    <row r="92" spans="3:57" x14ac:dyDescent="0.4">
      <c r="C92" s="1">
        <f ca="1"/>
        <v>101</v>
      </c>
      <c r="D92" s="1" t="str">
        <f ca="1"/>
        <v>Unit 5-18-0221</v>
      </c>
      <c r="E92" s="1" t="str">
        <f ca="1"/>
        <v xml:space="preserve">On Notice </v>
      </c>
      <c r="F92" s="1" vm="162">
        <f ca="1"/>
        <v>46099</v>
      </c>
      <c r="G92" s="1" vm="163">
        <f ca="1"/>
        <v>46113</v>
      </c>
      <c r="H92">
        <f ca="1"/>
        <v>-29</v>
      </c>
      <c r="I92" t="e">
        <f ca="1"/>
        <v>#NUM!</v>
      </c>
      <c r="J92" t="str">
        <f ca="1"/>
        <v/>
      </c>
      <c r="K92" t="str">
        <f ca="1"/>
        <v>NOTICE</v>
      </c>
      <c r="L92" t="str">
        <f ca="1"/>
        <v/>
      </c>
      <c r="M92" t="str">
        <f ca="1"/>
        <v>Not Started</v>
      </c>
      <c r="N92" t="str">
        <f ca="1"/>
        <v/>
      </c>
      <c r="O92" t="str">
        <f ca="1"/>
        <v>Not Started</v>
      </c>
      <c r="P92" t="str">
        <f ca="1"/>
        <v/>
      </c>
      <c r="Q92" t="str">
        <f ca="1"/>
        <v>Not Started</v>
      </c>
      <c r="R92" t="str">
        <f ca="1"/>
        <v/>
      </c>
      <c r="S92" t="str">
        <f ca="1"/>
        <v>Not Started</v>
      </c>
      <c r="T92" t="str">
        <f ca="1"/>
        <v/>
      </c>
      <c r="U92" t="str">
        <f ca="1"/>
        <v>Not Started</v>
      </c>
      <c r="V92" t="str">
        <f ca="1"/>
        <v>Total</v>
      </c>
      <c r="W92" vm="11">
        <f ca="1"/>
        <v>0</v>
      </c>
      <c r="X92" t="str">
        <f ca="1"/>
        <v>No</v>
      </c>
      <c r="Y92" t="str">
        <f ca="1"/>
        <v>5</v>
      </c>
      <c r="Z92" t="str">
        <f ca="1"/>
        <v>18</v>
      </c>
      <c r="AA92" t="str">
        <f ca="1"/>
        <v>0221</v>
      </c>
      <c r="AB92" vm="11">
        <f ca="1"/>
        <v>0</v>
      </c>
      <c r="AC92" t="str">
        <f ca="1"/>
        <v/>
      </c>
      <c r="AD92" t="b">
        <f ca="1"/>
        <v>0</v>
      </c>
      <c r="AE92" t="str">
        <f ca="1"/>
        <v/>
      </c>
      <c r="AF92" t="b">
        <f ca="1"/>
        <v>0</v>
      </c>
      <c r="AG92" t="b">
        <f ca="1"/>
        <v>0</v>
      </c>
      <c r="AH92" t="b">
        <f ca="1"/>
        <v>1</v>
      </c>
      <c r="AI92" t="b">
        <f ca="1"/>
        <v>0</v>
      </c>
      <c r="AJ92" t="b">
        <f ca="1"/>
        <v>0</v>
      </c>
      <c r="AK92" t="b">
        <f ca="1"/>
        <v>1</v>
      </c>
      <c r="AL92" t="b">
        <f ca="1"/>
        <v>1</v>
      </c>
      <c r="AM92" t="b">
        <f ca="1"/>
        <v>0</v>
      </c>
      <c r="AN92">
        <f ca="1"/>
        <v>-21</v>
      </c>
      <c r="AO92" t="str">
        <f ca="1"/>
        <v>Not Started</v>
      </c>
      <c r="AP92">
        <f ca="1"/>
        <v>0</v>
      </c>
      <c r="AQ92" t="str">
        <f ca="1"/>
        <v>Inspection</v>
      </c>
      <c r="AR92" t="str">
        <f ca="1"/>
        <v>Paint</v>
      </c>
      <c r="AS92" t="b">
        <f ca="1"/>
        <v>0</v>
      </c>
      <c r="AT92" t="str">
        <f ca="1"/>
        <v>on notice</v>
      </c>
      <c r="AU92" t="b">
        <f ca="1"/>
        <v>0</v>
      </c>
      <c r="AV92" t="b">
        <f ca="1"/>
        <v>0</v>
      </c>
      <c r="AW92" t="b">
        <f ca="1"/>
        <v>0</v>
      </c>
      <c r="AX92" t="str">
        <f ca="1"/>
        <v>On Notice</v>
      </c>
      <c r="AY92" t="b">
        <f ca="1"/>
        <v>0</v>
      </c>
      <c r="AZ92" t="str">
        <f ca="1"/>
        <v>📋 On Notice</v>
      </c>
      <c r="BA92" t="e">
        <f ca="1"/>
        <v>#NUM!</v>
      </c>
      <c r="BB92" t="b">
        <f ca="1"/>
        <v>0</v>
      </c>
      <c r="BC92" t="b">
        <f ca="1"/>
        <v>0</v>
      </c>
      <c r="BD92" t="b">
        <f ca="1"/>
        <v>0</v>
      </c>
      <c r="BE92" t="b">
        <f ca="1"/>
        <v>0</v>
      </c>
    </row>
    <row r="93" spans="3:57" x14ac:dyDescent="0.4">
      <c r="C93" s="1">
        <f ca="1"/>
        <v>103</v>
      </c>
      <c r="D93" s="1" t="str">
        <f ca="1"/>
        <v>Unit 5-17-0316</v>
      </c>
      <c r="E93" s="1" t="str">
        <f ca="1"/>
        <v xml:space="preserve">On Notice </v>
      </c>
      <c r="F93" s="1" vm="164">
        <f ca="1"/>
        <v>46103</v>
      </c>
      <c r="G93" s="1" vm="165">
        <f ca="1"/>
        <v>46116</v>
      </c>
      <c r="H93">
        <f ca="1"/>
        <v>-33</v>
      </c>
      <c r="I93" t="e">
        <f ca="1"/>
        <v>#NUM!</v>
      </c>
      <c r="J93" t="str">
        <f ca="1"/>
        <v/>
      </c>
      <c r="K93" t="str">
        <f ca="1"/>
        <v>NOTICE</v>
      </c>
      <c r="L93" t="str">
        <f ca="1"/>
        <v/>
      </c>
      <c r="M93" t="str">
        <f ca="1"/>
        <v>Not Started</v>
      </c>
      <c r="N93" t="str">
        <f ca="1"/>
        <v/>
      </c>
      <c r="O93" t="str">
        <f ca="1"/>
        <v>Not Started</v>
      </c>
      <c r="P93" t="str">
        <f ca="1"/>
        <v/>
      </c>
      <c r="Q93" t="str">
        <f ca="1"/>
        <v>Not Started</v>
      </c>
      <c r="R93" t="str">
        <f ca="1"/>
        <v/>
      </c>
      <c r="S93" t="str">
        <f ca="1"/>
        <v>Not Started</v>
      </c>
      <c r="T93" t="str">
        <f ca="1"/>
        <v/>
      </c>
      <c r="U93" t="str">
        <f ca="1"/>
        <v>Not Started</v>
      </c>
      <c r="V93" t="str">
        <f ca="1"/>
        <v>Total</v>
      </c>
      <c r="W93" vm="11">
        <f ca="1"/>
        <v>0</v>
      </c>
      <c r="X93" t="str">
        <f ca="1"/>
        <v>No</v>
      </c>
      <c r="Y93" t="str">
        <f ca="1"/>
        <v>5</v>
      </c>
      <c r="Z93" t="str">
        <f ca="1"/>
        <v>17</v>
      </c>
      <c r="AA93" t="str">
        <f ca="1"/>
        <v>0316</v>
      </c>
      <c r="AB93" vm="11">
        <f ca="1"/>
        <v>0</v>
      </c>
      <c r="AC93" t="str">
        <f ca="1"/>
        <v/>
      </c>
      <c r="AD93" t="b">
        <f ca="1"/>
        <v>0</v>
      </c>
      <c r="AE93" t="str">
        <f ca="1"/>
        <v/>
      </c>
      <c r="AF93" t="b">
        <f ca="1"/>
        <v>0</v>
      </c>
      <c r="AG93" t="b">
        <f ca="1"/>
        <v>0</v>
      </c>
      <c r="AH93" t="b">
        <f ca="1"/>
        <v>1</v>
      </c>
      <c r="AI93" t="b">
        <f ca="1"/>
        <v>0</v>
      </c>
      <c r="AJ93" t="b">
        <f ca="1"/>
        <v>0</v>
      </c>
      <c r="AK93" t="b">
        <f ca="1"/>
        <v>1</v>
      </c>
      <c r="AL93" t="b">
        <f ca="1"/>
        <v>1</v>
      </c>
      <c r="AM93" t="b">
        <f ca="1"/>
        <v>0</v>
      </c>
      <c r="AN93">
        <f ca="1"/>
        <v>-23</v>
      </c>
      <c r="AO93" t="str">
        <f ca="1"/>
        <v>Not Started</v>
      </c>
      <c r="AP93">
        <f ca="1"/>
        <v>0</v>
      </c>
      <c r="AQ93" t="str">
        <f ca="1"/>
        <v>Inspection</v>
      </c>
      <c r="AR93" t="str">
        <f ca="1"/>
        <v>Paint</v>
      </c>
      <c r="AS93" t="b">
        <f ca="1"/>
        <v>0</v>
      </c>
      <c r="AT93" t="str">
        <f ca="1"/>
        <v>on notice</v>
      </c>
      <c r="AU93" t="b">
        <f ca="1"/>
        <v>0</v>
      </c>
      <c r="AV93" t="b">
        <f ca="1"/>
        <v>0</v>
      </c>
      <c r="AW93" t="b">
        <f ca="1"/>
        <v>0</v>
      </c>
      <c r="AX93" t="str">
        <f ca="1"/>
        <v>On Notice</v>
      </c>
      <c r="AY93" t="b">
        <f ca="1"/>
        <v>0</v>
      </c>
      <c r="AZ93" t="str">
        <f ca="1"/>
        <v>📋 On Notice</v>
      </c>
      <c r="BA93" t="e">
        <f ca="1"/>
        <v>#NUM!</v>
      </c>
      <c r="BB93" t="b">
        <f ca="1"/>
        <v>0</v>
      </c>
      <c r="BC93" t="b">
        <f ca="1"/>
        <v>0</v>
      </c>
      <c r="BD93" t="b">
        <f ca="1"/>
        <v>0</v>
      </c>
      <c r="BE93" t="b">
        <f ca="1"/>
        <v>0</v>
      </c>
    </row>
    <row r="94" spans="3:57" x14ac:dyDescent="0.4">
      <c r="C94" s="1">
        <f ca="1"/>
        <v>102</v>
      </c>
      <c r="D94" s="1" t="str">
        <f ca="1"/>
        <v>Unit 8-01-3083</v>
      </c>
      <c r="E94" s="1" t="str">
        <f ca="1"/>
        <v xml:space="preserve">On Notice </v>
      </c>
      <c r="F94" s="1" vm="148">
        <f ca="1"/>
        <v>46102</v>
      </c>
      <c r="G94" s="1" vm="165">
        <f ca="1"/>
        <v>46116</v>
      </c>
      <c r="H94">
        <f ca="1"/>
        <v>-32</v>
      </c>
      <c r="I94" t="e">
        <f ca="1"/>
        <v>#NUM!</v>
      </c>
      <c r="J94" t="str">
        <f ca="1"/>
        <v/>
      </c>
      <c r="K94" t="str">
        <f ca="1"/>
        <v>NOTICE</v>
      </c>
      <c r="L94" t="str">
        <f ca="1"/>
        <v/>
      </c>
      <c r="M94" t="str">
        <f ca="1"/>
        <v>Not Started</v>
      </c>
      <c r="N94" t="str">
        <f ca="1"/>
        <v/>
      </c>
      <c r="O94" t="str">
        <f ca="1"/>
        <v>Not Started</v>
      </c>
      <c r="P94" t="str">
        <f ca="1"/>
        <v/>
      </c>
      <c r="Q94" t="str">
        <f ca="1"/>
        <v>Not Started</v>
      </c>
      <c r="R94" t="str">
        <f ca="1"/>
        <v/>
      </c>
      <c r="S94" t="str">
        <f ca="1"/>
        <v>Not Started</v>
      </c>
      <c r="T94" t="str">
        <f ca="1"/>
        <v/>
      </c>
      <c r="U94" t="str">
        <f ca="1"/>
        <v>Not Started</v>
      </c>
      <c r="V94" t="str">
        <f ca="1"/>
        <v xml:space="preserve">Michael </v>
      </c>
      <c r="W94" vm="11">
        <f ca="1"/>
        <v>0</v>
      </c>
      <c r="X94" t="str">
        <f ca="1"/>
        <v>No</v>
      </c>
      <c r="Y94" t="str">
        <f ca="1"/>
        <v>8</v>
      </c>
      <c r="Z94" t="str">
        <f ca="1"/>
        <v>01</v>
      </c>
      <c r="AA94" t="str">
        <f ca="1"/>
        <v>3083</v>
      </c>
      <c r="AB94" vm="11">
        <f ca="1"/>
        <v>0</v>
      </c>
      <c r="AC94" t="str">
        <f ca="1"/>
        <v/>
      </c>
      <c r="AD94" t="b">
        <f ca="1"/>
        <v>0</v>
      </c>
      <c r="AE94" t="str">
        <f ca="1"/>
        <v/>
      </c>
      <c r="AF94" t="b">
        <f ca="1"/>
        <v>1</v>
      </c>
      <c r="AG94" t="b">
        <f ca="1"/>
        <v>0</v>
      </c>
      <c r="AH94" t="b">
        <f ca="1"/>
        <v>1</v>
      </c>
      <c r="AI94" t="b">
        <f ca="1"/>
        <v>0</v>
      </c>
      <c r="AJ94" t="b">
        <f ca="1"/>
        <v>0</v>
      </c>
      <c r="AK94" t="b">
        <f ca="1"/>
        <v>1</v>
      </c>
      <c r="AL94" t="b">
        <f ca="1"/>
        <v>1</v>
      </c>
      <c r="AM94" t="b">
        <f ca="1"/>
        <v>0</v>
      </c>
      <c r="AN94">
        <f ca="1"/>
        <v>-23</v>
      </c>
      <c r="AO94" t="str">
        <f ca="1"/>
        <v>Not Started</v>
      </c>
      <c r="AP94">
        <f ca="1"/>
        <v>0</v>
      </c>
      <c r="AQ94" t="str">
        <f ca="1"/>
        <v>Inspection</v>
      </c>
      <c r="AR94" t="str">
        <f ca="1"/>
        <v>Paint</v>
      </c>
      <c r="AS94" t="b">
        <f ca="1"/>
        <v>0</v>
      </c>
      <c r="AT94" t="str">
        <f ca="1"/>
        <v>on notice</v>
      </c>
      <c r="AU94" t="b">
        <f ca="1"/>
        <v>0</v>
      </c>
      <c r="AV94" t="b">
        <f ca="1"/>
        <v>0</v>
      </c>
      <c r="AW94" t="b">
        <f ca="1"/>
        <v>0</v>
      </c>
      <c r="AX94" t="str">
        <f ca="1"/>
        <v>On Notice</v>
      </c>
      <c r="AY94" t="b">
        <f ca="1"/>
        <v>0</v>
      </c>
      <c r="AZ94" t="str">
        <f ca="1"/>
        <v>📋 On Notice</v>
      </c>
      <c r="BA94" t="e">
        <f ca="1"/>
        <v>#NUM!</v>
      </c>
      <c r="BB94" t="b">
        <f ca="1"/>
        <v>0</v>
      </c>
      <c r="BC94" t="b">
        <f ca="1"/>
        <v>0</v>
      </c>
      <c r="BD94" t="b">
        <f ca="1"/>
        <v>0</v>
      </c>
      <c r="BE94" t="b">
        <f ca="1"/>
        <v>0</v>
      </c>
    </row>
    <row r="95" spans="3:57" x14ac:dyDescent="0.4">
      <c r="C95" s="1">
        <f ca="1"/>
        <v>29</v>
      </c>
      <c r="D95" s="1" t="str">
        <f ca="1"/>
        <v>Unit 8-01-4008</v>
      </c>
      <c r="E95" s="1" t="str">
        <f ca="1"/>
        <v xml:space="preserve">On Notice </v>
      </c>
      <c r="F95" s="1" vm="164">
        <f ca="1"/>
        <v>46103</v>
      </c>
      <c r="G95" s="1" vm="166">
        <f ca="1"/>
        <v>46114</v>
      </c>
      <c r="H95">
        <f ca="1"/>
        <v>-33</v>
      </c>
      <c r="I95" vm="167">
        <f ca="1"/>
        <v>46158</v>
      </c>
      <c r="J95">
        <f ca="1"/>
        <v>-88</v>
      </c>
      <c r="K95" t="str">
        <f ca="1"/>
        <v>NOTICE + SMI</v>
      </c>
      <c r="L95" t="str">
        <f ca="1"/>
        <v/>
      </c>
      <c r="M95" t="str">
        <f ca="1"/>
        <v>Not Started</v>
      </c>
      <c r="N95" t="str">
        <f ca="1"/>
        <v/>
      </c>
      <c r="O95" t="str">
        <f ca="1"/>
        <v>Not Started</v>
      </c>
      <c r="P95" t="str">
        <f ca="1"/>
        <v/>
      </c>
      <c r="Q95" t="str">
        <f ca="1"/>
        <v>Not Started</v>
      </c>
      <c r="R95" t="str">
        <f ca="1"/>
        <v/>
      </c>
      <c r="S95" t="str">
        <f ca="1"/>
        <v>Not Started</v>
      </c>
      <c r="T95" t="str">
        <f ca="1"/>
        <v/>
      </c>
      <c r="U95" t="str">
        <f ca="1"/>
        <v>Not Started</v>
      </c>
      <c r="V95" t="str">
        <f ca="1"/>
        <v xml:space="preserve">Michael </v>
      </c>
      <c r="W95" vm="11">
        <f ca="1"/>
        <v>0</v>
      </c>
      <c r="X95" t="str">
        <f ca="1"/>
        <v>No</v>
      </c>
      <c r="Y95" t="str">
        <f ca="1"/>
        <v>8</v>
      </c>
      <c r="Z95" t="str">
        <f ca="1"/>
        <v>01</v>
      </c>
      <c r="AA95" t="str">
        <f ca="1"/>
        <v>4008</v>
      </c>
      <c r="AB95" vm="11">
        <f ca="1"/>
        <v>0</v>
      </c>
      <c r="AC95" t="str">
        <f ca="1"/>
        <v/>
      </c>
      <c r="AD95" t="b">
        <f ca="1"/>
        <v>0</v>
      </c>
      <c r="AE95" t="str">
        <f ca="1"/>
        <v/>
      </c>
      <c r="AF95" t="b">
        <f ca="1"/>
        <v>1</v>
      </c>
      <c r="AG95" t="b">
        <f ca="1"/>
        <v>1</v>
      </c>
      <c r="AH95" t="b">
        <f ca="1"/>
        <v>1</v>
      </c>
      <c r="AI95" t="b">
        <f ca="1"/>
        <v>0</v>
      </c>
      <c r="AJ95" t="b">
        <f ca="1"/>
        <v>1</v>
      </c>
      <c r="AK95" t="b">
        <f ca="1"/>
        <v>1</v>
      </c>
      <c r="AL95" t="b">
        <f ca="1"/>
        <v>1</v>
      </c>
      <c r="AM95" t="b">
        <f ca="1"/>
        <v>0</v>
      </c>
      <c r="AN95">
        <f ca="1"/>
        <v>-23</v>
      </c>
      <c r="AO95" t="str">
        <f ca="1"/>
        <v>Not Started</v>
      </c>
      <c r="AP95">
        <f ca="1"/>
        <v>0</v>
      </c>
      <c r="AQ95" t="str">
        <f ca="1"/>
        <v>Inspection</v>
      </c>
      <c r="AR95" t="str">
        <f ca="1"/>
        <v>Paint</v>
      </c>
      <c r="AS95" t="b">
        <f ca="1"/>
        <v>0</v>
      </c>
      <c r="AT95" t="str">
        <f ca="1"/>
        <v>on notice</v>
      </c>
      <c r="AU95" t="b">
        <f ca="1"/>
        <v>0</v>
      </c>
      <c r="AV95" t="b">
        <f ca="1"/>
        <v>0</v>
      </c>
      <c r="AW95" t="b">
        <f ca="1"/>
        <v>0</v>
      </c>
      <c r="AX95" t="str">
        <f ca="1"/>
        <v>On Notice - Scheduled</v>
      </c>
      <c r="AY95" t="b">
        <f ca="1"/>
        <v>0</v>
      </c>
      <c r="AZ95" t="str">
        <f ca="1"/>
        <v>📋 On Notice - Scheduled</v>
      </c>
      <c r="BA95">
        <f ca="1"/>
        <v>88</v>
      </c>
      <c r="BB95" t="b">
        <f ca="1"/>
        <v>0</v>
      </c>
      <c r="BC95" t="b">
        <f ca="1"/>
        <v>0</v>
      </c>
      <c r="BD95" t="b">
        <f ca="1"/>
        <v>0</v>
      </c>
      <c r="BE95" t="b">
        <f ca="1"/>
        <v>0</v>
      </c>
    </row>
    <row r="96" spans="3:57" x14ac:dyDescent="0.4">
      <c r="C96" s="1">
        <f ca="1"/>
        <v>28</v>
      </c>
      <c r="D96" s="1" t="str">
        <f ca="1"/>
        <v>Unit 8-01-3082</v>
      </c>
      <c r="E96" s="1" t="str">
        <f ca="1"/>
        <v xml:space="preserve">On Notice </v>
      </c>
      <c r="F96" s="1" vm="164">
        <f ca="1"/>
        <v>46103</v>
      </c>
      <c r="G96" s="1" vm="166">
        <f ca="1"/>
        <v>46114</v>
      </c>
      <c r="H96">
        <f ca="1"/>
        <v>-33</v>
      </c>
      <c r="I96" vm="142">
        <f ca="1"/>
        <v>46144</v>
      </c>
      <c r="J96">
        <f ca="1"/>
        <v>-74</v>
      </c>
      <c r="K96" t="str">
        <f ca="1"/>
        <v>NOTICE + SMI</v>
      </c>
      <c r="L96" t="str">
        <f ca="1"/>
        <v/>
      </c>
      <c r="M96" t="str">
        <f ca="1"/>
        <v>Not Started</v>
      </c>
      <c r="N96" t="str">
        <f ca="1"/>
        <v/>
      </c>
      <c r="O96" t="str">
        <f ca="1"/>
        <v>Not Started</v>
      </c>
      <c r="P96" t="str">
        <f ca="1"/>
        <v/>
      </c>
      <c r="Q96" t="str">
        <f ca="1"/>
        <v>Not Started</v>
      </c>
      <c r="R96" t="str">
        <f ca="1"/>
        <v/>
      </c>
      <c r="S96" t="str">
        <f ca="1"/>
        <v>Not Started</v>
      </c>
      <c r="T96" t="str">
        <f ca="1"/>
        <v/>
      </c>
      <c r="U96" t="str">
        <f ca="1"/>
        <v>Not Started</v>
      </c>
      <c r="V96" t="str">
        <f ca="1"/>
        <v xml:space="preserve">Michael </v>
      </c>
      <c r="W96" vm="11">
        <f ca="1"/>
        <v>0</v>
      </c>
      <c r="X96" t="str">
        <f ca="1"/>
        <v>No</v>
      </c>
      <c r="Y96" t="str">
        <f ca="1"/>
        <v>8</v>
      </c>
      <c r="Z96" t="str">
        <f ca="1"/>
        <v>01</v>
      </c>
      <c r="AA96" t="str">
        <f ca="1"/>
        <v>3082</v>
      </c>
      <c r="AB96" vm="11">
        <f ca="1"/>
        <v>0</v>
      </c>
      <c r="AC96" t="str">
        <f ca="1"/>
        <v/>
      </c>
      <c r="AD96" t="b">
        <f ca="1"/>
        <v>0</v>
      </c>
      <c r="AE96" t="str">
        <f ca="1"/>
        <v/>
      </c>
      <c r="AF96" t="b">
        <f ca="1"/>
        <v>1</v>
      </c>
      <c r="AG96" t="b">
        <f ca="1"/>
        <v>1</v>
      </c>
      <c r="AH96" t="b">
        <f ca="1"/>
        <v>1</v>
      </c>
      <c r="AI96" t="b">
        <f ca="1"/>
        <v>0</v>
      </c>
      <c r="AJ96" t="b">
        <f ca="1"/>
        <v>1</v>
      </c>
      <c r="AK96" t="b">
        <f ca="1"/>
        <v>1</v>
      </c>
      <c r="AL96" t="b">
        <f ca="1"/>
        <v>1</v>
      </c>
      <c r="AM96" t="b">
        <f ca="1"/>
        <v>0</v>
      </c>
      <c r="AN96">
        <f ca="1"/>
        <v>-23</v>
      </c>
      <c r="AO96" t="str">
        <f ca="1"/>
        <v>Not Started</v>
      </c>
      <c r="AP96">
        <f ca="1"/>
        <v>0</v>
      </c>
      <c r="AQ96" t="str">
        <f ca="1"/>
        <v>Inspection</v>
      </c>
      <c r="AR96" t="str">
        <f ca="1"/>
        <v>Paint</v>
      </c>
      <c r="AS96" t="b">
        <f ca="1"/>
        <v>0</v>
      </c>
      <c r="AT96" t="str">
        <f ca="1"/>
        <v>on notice</v>
      </c>
      <c r="AU96" t="b">
        <f ca="1"/>
        <v>0</v>
      </c>
      <c r="AV96" t="b">
        <f ca="1"/>
        <v>0</v>
      </c>
      <c r="AW96" t="b">
        <f ca="1"/>
        <v>0</v>
      </c>
      <c r="AX96" t="str">
        <f ca="1"/>
        <v>On Notice - Scheduled</v>
      </c>
      <c r="AY96" t="b">
        <f ca="1"/>
        <v>0</v>
      </c>
      <c r="AZ96" t="str">
        <f ca="1"/>
        <v>📋 On Notice - Scheduled</v>
      </c>
      <c r="BA96">
        <f ca="1"/>
        <v>74</v>
      </c>
      <c r="BB96" t="b">
        <f ca="1"/>
        <v>0</v>
      </c>
      <c r="BC96" t="b">
        <f ca="1"/>
        <v>0</v>
      </c>
      <c r="BD96" t="b">
        <f ca="1"/>
        <v>0</v>
      </c>
      <c r="BE96" t="b">
        <f ca="1"/>
        <v>0</v>
      </c>
    </row>
    <row r="97" spans="3:57" x14ac:dyDescent="0.4">
      <c r="C97" s="1">
        <f ca="1"/>
        <v>24</v>
      </c>
      <c r="D97" s="1" t="str">
        <f ca="1"/>
        <v>Unit 7-11-0411</v>
      </c>
      <c r="E97" s="1" t="str">
        <f ca="1"/>
        <v xml:space="preserve">On Notice </v>
      </c>
      <c r="F97" s="1" vm="164">
        <f ca="1"/>
        <v>46103</v>
      </c>
      <c r="G97" s="1" vm="166">
        <f ca="1"/>
        <v>46114</v>
      </c>
      <c r="H97">
        <f ca="1"/>
        <v>-33</v>
      </c>
      <c r="I97" vm="168">
        <f ca="1"/>
        <v>46123</v>
      </c>
      <c r="J97">
        <f ca="1"/>
        <v>-53</v>
      </c>
      <c r="K97" t="str">
        <f ca="1"/>
        <v>NOTICE + SMI</v>
      </c>
      <c r="L97" t="str">
        <f ca="1"/>
        <v/>
      </c>
      <c r="M97" t="str">
        <f ca="1"/>
        <v>Not Started</v>
      </c>
      <c r="N97" t="str">
        <f ca="1"/>
        <v/>
      </c>
      <c r="O97" t="str">
        <f ca="1"/>
        <v>Not Started</v>
      </c>
      <c r="P97" t="str">
        <f ca="1"/>
        <v/>
      </c>
      <c r="Q97" t="str">
        <f ca="1"/>
        <v>Not Started</v>
      </c>
      <c r="R97" t="str">
        <f ca="1"/>
        <v/>
      </c>
      <c r="S97" t="str">
        <f ca="1"/>
        <v>Not Started</v>
      </c>
      <c r="T97" t="str">
        <f ca="1"/>
        <v/>
      </c>
      <c r="U97" t="str">
        <f ca="1"/>
        <v>Not Started</v>
      </c>
      <c r="V97" t="str">
        <f ca="1"/>
        <v>Brad</v>
      </c>
      <c r="W97" vm="11">
        <f ca="1"/>
        <v>0</v>
      </c>
      <c r="X97" t="str">
        <f ca="1"/>
        <v>No</v>
      </c>
      <c r="Y97" t="str">
        <f ca="1"/>
        <v>7</v>
      </c>
      <c r="Z97" t="str">
        <f ca="1"/>
        <v>11</v>
      </c>
      <c r="AA97" t="str">
        <f ca="1"/>
        <v>0411</v>
      </c>
      <c r="AB97" vm="11">
        <f ca="1"/>
        <v>0</v>
      </c>
      <c r="AC97" t="str">
        <f ca="1"/>
        <v/>
      </c>
      <c r="AD97" t="b">
        <f ca="1"/>
        <v>0</v>
      </c>
      <c r="AE97" t="str">
        <f ca="1"/>
        <v/>
      </c>
      <c r="AF97" t="b">
        <f ca="1"/>
        <v>1</v>
      </c>
      <c r="AG97" t="b">
        <f ca="1"/>
        <v>1</v>
      </c>
      <c r="AH97" t="b">
        <f ca="1"/>
        <v>1</v>
      </c>
      <c r="AI97" t="b">
        <f ca="1"/>
        <v>0</v>
      </c>
      <c r="AJ97" t="b">
        <f ca="1"/>
        <v>1</v>
      </c>
      <c r="AK97" t="b">
        <f ca="1"/>
        <v>1</v>
      </c>
      <c r="AL97" t="b">
        <f ca="1"/>
        <v>1</v>
      </c>
      <c r="AM97" t="b">
        <f ca="1"/>
        <v>0</v>
      </c>
      <c r="AN97">
        <f ca="1"/>
        <v>-23</v>
      </c>
      <c r="AO97" t="str">
        <f ca="1"/>
        <v>Not Started</v>
      </c>
      <c r="AP97">
        <f ca="1"/>
        <v>0</v>
      </c>
      <c r="AQ97" t="str">
        <f ca="1"/>
        <v>Inspection</v>
      </c>
      <c r="AR97" t="str">
        <f ca="1"/>
        <v>Paint</v>
      </c>
      <c r="AS97" t="b">
        <f ca="1"/>
        <v>0</v>
      </c>
      <c r="AT97" t="str">
        <f ca="1"/>
        <v>on notice</v>
      </c>
      <c r="AU97" t="b">
        <f ca="1"/>
        <v>0</v>
      </c>
      <c r="AV97" t="b">
        <f ca="1"/>
        <v>0</v>
      </c>
      <c r="AW97" t="b">
        <f ca="1"/>
        <v>0</v>
      </c>
      <c r="AX97" t="str">
        <f ca="1"/>
        <v>On Notice - Scheduled</v>
      </c>
      <c r="AY97" t="b">
        <f ca="1"/>
        <v>0</v>
      </c>
      <c r="AZ97" t="str">
        <f ca="1"/>
        <v>📋 On Notice - Scheduled</v>
      </c>
      <c r="BA97">
        <f ca="1"/>
        <v>53</v>
      </c>
      <c r="BB97" t="b">
        <f ca="1"/>
        <v>0</v>
      </c>
      <c r="BC97" t="b">
        <f ca="1"/>
        <v>0</v>
      </c>
      <c r="BD97" t="b">
        <f ca="1"/>
        <v>0</v>
      </c>
      <c r="BE97" t="b">
        <f ca="1"/>
        <v>0</v>
      </c>
    </row>
    <row r="98" spans="3:57" x14ac:dyDescent="0.4">
      <c r="C98" s="1">
        <f ca="1"/>
        <v>27</v>
      </c>
      <c r="D98" s="1" t="str">
        <f ca="1"/>
        <v>Unit 5-15-0204</v>
      </c>
      <c r="E98" s="1" t="str">
        <f ca="1"/>
        <v xml:space="preserve">On Notice </v>
      </c>
      <c r="F98" s="1" vm="164">
        <f ca="1"/>
        <v>46103</v>
      </c>
      <c r="G98" s="1" vm="166">
        <f ca="1"/>
        <v>46114</v>
      </c>
      <c r="H98">
        <f ca="1"/>
        <v>-33</v>
      </c>
      <c r="I98" vm="169">
        <f ca="1"/>
        <v>46137</v>
      </c>
      <c r="J98">
        <f ca="1"/>
        <v>-67</v>
      </c>
      <c r="K98" t="str">
        <f ca="1"/>
        <v>NOTICE + SMI</v>
      </c>
      <c r="L98" t="str">
        <f ca="1"/>
        <v/>
      </c>
      <c r="M98" t="str">
        <f ca="1"/>
        <v>Not Started</v>
      </c>
      <c r="N98" t="str">
        <f ca="1"/>
        <v/>
      </c>
      <c r="O98" t="str">
        <f ca="1"/>
        <v>Not Started</v>
      </c>
      <c r="P98" t="str">
        <f ca="1"/>
        <v/>
      </c>
      <c r="Q98" t="str">
        <f ca="1"/>
        <v>Not Started</v>
      </c>
      <c r="R98" t="str">
        <f ca="1"/>
        <v/>
      </c>
      <c r="S98" t="str">
        <f ca="1"/>
        <v>Not Started</v>
      </c>
      <c r="T98" t="str">
        <f ca="1"/>
        <v/>
      </c>
      <c r="U98" t="str">
        <f ca="1"/>
        <v>Not Started</v>
      </c>
      <c r="V98" t="str">
        <f ca="1"/>
        <v>Total</v>
      </c>
      <c r="W98" vm="11">
        <f ca="1"/>
        <v>0</v>
      </c>
      <c r="X98" t="str">
        <f ca="1"/>
        <v>No</v>
      </c>
      <c r="Y98" t="str">
        <f ca="1"/>
        <v>5</v>
      </c>
      <c r="Z98" t="str">
        <f ca="1"/>
        <v>15</v>
      </c>
      <c r="AA98" t="str">
        <f ca="1"/>
        <v>0204</v>
      </c>
      <c r="AB98" vm="11">
        <f ca="1"/>
        <v>0</v>
      </c>
      <c r="AC98" t="str">
        <f ca="1"/>
        <v/>
      </c>
      <c r="AD98" t="b">
        <f ca="1"/>
        <v>0</v>
      </c>
      <c r="AE98" t="str">
        <f ca="1"/>
        <v/>
      </c>
      <c r="AF98" t="b">
        <f ca="1"/>
        <v>0</v>
      </c>
      <c r="AG98" t="b">
        <f ca="1"/>
        <v>1</v>
      </c>
      <c r="AH98" t="b">
        <f ca="1"/>
        <v>1</v>
      </c>
      <c r="AI98" t="b">
        <f ca="1"/>
        <v>0</v>
      </c>
      <c r="AJ98" t="b">
        <f ca="1"/>
        <v>1</v>
      </c>
      <c r="AK98" t="b">
        <f ca="1"/>
        <v>1</v>
      </c>
      <c r="AL98" t="b">
        <f ca="1"/>
        <v>1</v>
      </c>
      <c r="AM98" t="b">
        <f ca="1"/>
        <v>0</v>
      </c>
      <c r="AN98">
        <f ca="1"/>
        <v>-23</v>
      </c>
      <c r="AO98" t="str">
        <f ca="1"/>
        <v>Not Started</v>
      </c>
      <c r="AP98">
        <f ca="1"/>
        <v>0</v>
      </c>
      <c r="AQ98" t="str">
        <f ca="1"/>
        <v>Inspection</v>
      </c>
      <c r="AR98" t="str">
        <f ca="1"/>
        <v>Paint</v>
      </c>
      <c r="AS98" t="b">
        <f ca="1"/>
        <v>0</v>
      </c>
      <c r="AT98" t="str">
        <f ca="1"/>
        <v>on notice</v>
      </c>
      <c r="AU98" t="b">
        <f ca="1"/>
        <v>0</v>
      </c>
      <c r="AV98" t="b">
        <f ca="1"/>
        <v>0</v>
      </c>
      <c r="AW98" t="b">
        <f ca="1"/>
        <v>0</v>
      </c>
      <c r="AX98" t="str">
        <f ca="1"/>
        <v>On Notice - Scheduled</v>
      </c>
      <c r="AY98" t="b">
        <f ca="1"/>
        <v>0</v>
      </c>
      <c r="AZ98" t="str">
        <f ca="1"/>
        <v>📋 On Notice - Scheduled</v>
      </c>
      <c r="BA98">
        <f ca="1"/>
        <v>67</v>
      </c>
      <c r="BB98" t="b">
        <f ca="1"/>
        <v>0</v>
      </c>
      <c r="BC98" t="b">
        <f ca="1"/>
        <v>0</v>
      </c>
      <c r="BD98" t="b">
        <f ca="1"/>
        <v>0</v>
      </c>
      <c r="BE98" t="b">
        <f ca="1"/>
        <v>0</v>
      </c>
    </row>
    <row r="99" spans="3:57" x14ac:dyDescent="0.4">
      <c r="C99" s="1">
        <f ca="1"/>
        <v>19</v>
      </c>
      <c r="D99" s="1" t="str">
        <f ca="1"/>
        <v>Unit 7-03-0218</v>
      </c>
      <c r="E99" s="1" t="str">
        <f ca="1"/>
        <v xml:space="preserve">On Notice </v>
      </c>
      <c r="F99" s="1" vm="164">
        <f ca="1"/>
        <v>46103</v>
      </c>
      <c r="G99" s="1" vm="166">
        <f ca="1"/>
        <v>46114</v>
      </c>
      <c r="H99">
        <f ca="1"/>
        <v>-33</v>
      </c>
      <c r="I99" vm="170">
        <f ca="1"/>
        <v>46115</v>
      </c>
      <c r="J99">
        <f ca="1"/>
        <v>-45</v>
      </c>
      <c r="K99" t="str">
        <f ca="1"/>
        <v>NOTICE + SMI</v>
      </c>
      <c r="L99" t="str">
        <f ca="1"/>
        <v/>
      </c>
      <c r="M99" t="str">
        <f ca="1"/>
        <v>Not Started</v>
      </c>
      <c r="N99" t="str">
        <f ca="1"/>
        <v/>
      </c>
      <c r="O99" t="str">
        <f ca="1"/>
        <v>Not Started</v>
      </c>
      <c r="P99" t="str">
        <f ca="1"/>
        <v/>
      </c>
      <c r="Q99" t="str">
        <f ca="1"/>
        <v>Not Started</v>
      </c>
      <c r="R99" t="str">
        <f ca="1"/>
        <v/>
      </c>
      <c r="S99" t="str">
        <f ca="1"/>
        <v>Not Started</v>
      </c>
      <c r="T99" t="str">
        <f ca="1"/>
        <v/>
      </c>
      <c r="U99" t="str">
        <f ca="1"/>
        <v>Not Started</v>
      </c>
      <c r="V99" t="str">
        <f ca="1"/>
        <v>Brad</v>
      </c>
      <c r="W99" vm="11">
        <f ca="1"/>
        <v>0</v>
      </c>
      <c r="X99" t="str">
        <f ca="1"/>
        <v>No</v>
      </c>
      <c r="Y99" t="str">
        <f ca="1"/>
        <v>7</v>
      </c>
      <c r="Z99" t="str">
        <f ca="1"/>
        <v>03</v>
      </c>
      <c r="AA99" t="str">
        <f ca="1"/>
        <v>0218</v>
      </c>
      <c r="AB99" vm="11">
        <f ca="1"/>
        <v>0</v>
      </c>
      <c r="AC99" t="str">
        <f ca="1"/>
        <v/>
      </c>
      <c r="AD99" t="b">
        <f ca="1"/>
        <v>0</v>
      </c>
      <c r="AE99" t="str">
        <f ca="1"/>
        <v/>
      </c>
      <c r="AF99" t="b">
        <f ca="1"/>
        <v>1</v>
      </c>
      <c r="AG99" t="b">
        <f ca="1"/>
        <v>1</v>
      </c>
      <c r="AH99" t="b">
        <f ca="1"/>
        <v>1</v>
      </c>
      <c r="AI99" t="b">
        <f ca="1"/>
        <v>0</v>
      </c>
      <c r="AJ99" t="b">
        <f ca="1"/>
        <v>1</v>
      </c>
      <c r="AK99" t="b">
        <f ca="1"/>
        <v>1</v>
      </c>
      <c r="AL99" t="b">
        <f ca="1"/>
        <v>1</v>
      </c>
      <c r="AM99" t="b">
        <f ca="1"/>
        <v>0</v>
      </c>
      <c r="AN99">
        <f ca="1"/>
        <v>-23</v>
      </c>
      <c r="AO99" t="str">
        <f ca="1"/>
        <v>Not Started</v>
      </c>
      <c r="AP99">
        <f ca="1"/>
        <v>0</v>
      </c>
      <c r="AQ99" t="str">
        <f ca="1"/>
        <v>Inspection</v>
      </c>
      <c r="AR99" t="str">
        <f ca="1"/>
        <v>Paint</v>
      </c>
      <c r="AS99" t="b">
        <f ca="1"/>
        <v>0</v>
      </c>
      <c r="AT99" t="str">
        <f ca="1"/>
        <v>on notice</v>
      </c>
      <c r="AU99" t="b">
        <f ca="1"/>
        <v>0</v>
      </c>
      <c r="AV99" t="b">
        <f ca="1"/>
        <v>0</v>
      </c>
      <c r="AW99" t="b">
        <f ca="1"/>
        <v>0</v>
      </c>
      <c r="AX99" t="str">
        <f ca="1"/>
        <v>On Notice - Scheduled</v>
      </c>
      <c r="AY99" t="b">
        <f ca="1"/>
        <v>0</v>
      </c>
      <c r="AZ99" t="str">
        <f ca="1"/>
        <v>📋 On Notice - Scheduled</v>
      </c>
      <c r="BA99">
        <f ca="1"/>
        <v>45</v>
      </c>
      <c r="BB99" t="b">
        <f ca="1"/>
        <v>0</v>
      </c>
      <c r="BC99" t="b">
        <f ca="1"/>
        <v>0</v>
      </c>
      <c r="BD99" t="b">
        <f ca="1"/>
        <v>0</v>
      </c>
      <c r="BE99" t="b">
        <f ca="1"/>
        <v>0</v>
      </c>
    </row>
    <row r="100" spans="3:57" x14ac:dyDescent="0.4">
      <c r="C100" s="1">
        <f ca="1"/>
        <v>26</v>
      </c>
      <c r="D100" s="1" t="str">
        <f ca="1"/>
        <v>Unit 7-07-0109</v>
      </c>
      <c r="E100" s="1" t="str">
        <f ca="1"/>
        <v xml:space="preserve">On Notice </v>
      </c>
      <c r="F100" s="1" vm="164">
        <f ca="1"/>
        <v>46103</v>
      </c>
      <c r="G100" s="1" vm="166">
        <f ca="1"/>
        <v>46114</v>
      </c>
      <c r="H100">
        <f ca="1"/>
        <v>-33</v>
      </c>
      <c r="I100" vm="171">
        <f ca="1"/>
        <v>46130</v>
      </c>
      <c r="J100">
        <f ca="1"/>
        <v>-60</v>
      </c>
      <c r="K100" t="str">
        <f ca="1"/>
        <v>NOTICE + SMI</v>
      </c>
      <c r="L100" t="str">
        <f ca="1"/>
        <v/>
      </c>
      <c r="M100" t="str">
        <f ca="1"/>
        <v>Not Started</v>
      </c>
      <c r="N100" t="str">
        <f ca="1"/>
        <v/>
      </c>
      <c r="O100" t="str">
        <f ca="1"/>
        <v>Not Started</v>
      </c>
      <c r="P100" t="str">
        <f ca="1"/>
        <v/>
      </c>
      <c r="Q100" t="str">
        <f ca="1"/>
        <v>Not Started</v>
      </c>
      <c r="R100" t="str">
        <f ca="1"/>
        <v/>
      </c>
      <c r="S100" t="str">
        <f ca="1"/>
        <v>Not Started</v>
      </c>
      <c r="T100" t="str">
        <f ca="1"/>
        <v/>
      </c>
      <c r="U100" t="str">
        <f ca="1"/>
        <v>Not Started</v>
      </c>
      <c r="V100" t="str">
        <f ca="1"/>
        <v>Brad</v>
      </c>
      <c r="W100" vm="11">
        <f ca="1"/>
        <v>0</v>
      </c>
      <c r="X100" t="str">
        <f ca="1"/>
        <v>No</v>
      </c>
      <c r="Y100" t="str">
        <f ca="1"/>
        <v>7</v>
      </c>
      <c r="Z100" t="str">
        <f ca="1"/>
        <v>07</v>
      </c>
      <c r="AA100" t="str">
        <f ca="1"/>
        <v>0109</v>
      </c>
      <c r="AB100" vm="11">
        <f ca="1"/>
        <v>0</v>
      </c>
      <c r="AC100" t="str">
        <f ca="1"/>
        <v/>
      </c>
      <c r="AD100" t="b">
        <f ca="1"/>
        <v>0</v>
      </c>
      <c r="AE100" t="str">
        <f ca="1"/>
        <v/>
      </c>
      <c r="AF100" t="b">
        <f ca="1"/>
        <v>1</v>
      </c>
      <c r="AG100" t="b">
        <f ca="1"/>
        <v>1</v>
      </c>
      <c r="AH100" t="b">
        <f ca="1"/>
        <v>1</v>
      </c>
      <c r="AI100" t="b">
        <f ca="1"/>
        <v>0</v>
      </c>
      <c r="AJ100" t="b">
        <f ca="1"/>
        <v>1</v>
      </c>
      <c r="AK100" t="b">
        <f ca="1"/>
        <v>1</v>
      </c>
      <c r="AL100" t="b">
        <f ca="1"/>
        <v>1</v>
      </c>
      <c r="AM100" t="b">
        <f ca="1"/>
        <v>0</v>
      </c>
      <c r="AN100">
        <f ca="1"/>
        <v>-23</v>
      </c>
      <c r="AO100" t="str">
        <f ca="1"/>
        <v>Not Started</v>
      </c>
      <c r="AP100">
        <f ca="1"/>
        <v>0</v>
      </c>
      <c r="AQ100" t="str">
        <f ca="1"/>
        <v>Inspection</v>
      </c>
      <c r="AR100" t="str">
        <f ca="1"/>
        <v>Paint</v>
      </c>
      <c r="AS100" t="b">
        <f ca="1"/>
        <v>0</v>
      </c>
      <c r="AT100" t="str">
        <f ca="1"/>
        <v>on notice</v>
      </c>
      <c r="AU100" t="b">
        <f ca="1"/>
        <v>0</v>
      </c>
      <c r="AV100" t="b">
        <f ca="1"/>
        <v>0</v>
      </c>
      <c r="AW100" t="b">
        <f ca="1"/>
        <v>0</v>
      </c>
      <c r="AX100" t="str">
        <f ca="1"/>
        <v>On Notice - Scheduled</v>
      </c>
      <c r="AY100" t="b">
        <f ca="1"/>
        <v>0</v>
      </c>
      <c r="AZ100" t="str">
        <f ca="1"/>
        <v>📋 On Notice - Scheduled</v>
      </c>
      <c r="BA100">
        <f ca="1"/>
        <v>60</v>
      </c>
      <c r="BB100" t="b">
        <f ca="1"/>
        <v>0</v>
      </c>
      <c r="BC100" t="b">
        <f ca="1"/>
        <v>0</v>
      </c>
      <c r="BD100" t="b">
        <f ca="1"/>
        <v>0</v>
      </c>
      <c r="BE100" t="b">
        <f ca="1"/>
        <v>0</v>
      </c>
    </row>
    <row r="101" spans="3:57" x14ac:dyDescent="0.4">
      <c r="C101" s="1">
        <f ca="1"/>
        <v>22</v>
      </c>
      <c r="D101" s="1" t="str">
        <f ca="1"/>
        <v>Unit 5-13-0306</v>
      </c>
      <c r="E101" s="1" t="str">
        <f ca="1"/>
        <v xml:space="preserve">On Notice </v>
      </c>
      <c r="F101" s="1" vm="164">
        <f ca="1"/>
        <v>46103</v>
      </c>
      <c r="G101" s="1" vm="166">
        <f ca="1"/>
        <v>46114</v>
      </c>
      <c r="H101">
        <f ca="1"/>
        <v>-33</v>
      </c>
      <c r="I101" vm="172">
        <f ca="1"/>
        <v>46121</v>
      </c>
      <c r="J101">
        <f ca="1"/>
        <v>-51</v>
      </c>
      <c r="K101" t="str">
        <f ca="1"/>
        <v>NOTICE + SMI</v>
      </c>
      <c r="L101" t="str">
        <f ca="1"/>
        <v/>
      </c>
      <c r="M101" t="str">
        <f ca="1"/>
        <v>Not Started</v>
      </c>
      <c r="N101" t="str">
        <f ca="1"/>
        <v/>
      </c>
      <c r="O101" t="str">
        <f ca="1"/>
        <v>Not Started</v>
      </c>
      <c r="P101" t="str">
        <f ca="1"/>
        <v/>
      </c>
      <c r="Q101" t="str">
        <f ca="1"/>
        <v>Not Started</v>
      </c>
      <c r="R101" t="str">
        <f ca="1"/>
        <v/>
      </c>
      <c r="S101" t="str">
        <f ca="1"/>
        <v>Not Started</v>
      </c>
      <c r="T101" t="str">
        <f ca="1"/>
        <v/>
      </c>
      <c r="U101" t="str">
        <f ca="1"/>
        <v>Not Started</v>
      </c>
      <c r="V101" t="str">
        <f ca="1"/>
        <v>Total</v>
      </c>
      <c r="W101" vm="11">
        <f ca="1"/>
        <v>0</v>
      </c>
      <c r="X101" t="str">
        <f ca="1"/>
        <v>No</v>
      </c>
      <c r="Y101" t="str">
        <f ca="1"/>
        <v>5</v>
      </c>
      <c r="Z101" t="str">
        <f ca="1"/>
        <v>13</v>
      </c>
      <c r="AA101" t="str">
        <f ca="1"/>
        <v>0306</v>
      </c>
      <c r="AB101" vm="11">
        <f ca="1"/>
        <v>0</v>
      </c>
      <c r="AC101" t="str">
        <f ca="1"/>
        <v/>
      </c>
      <c r="AD101" t="b">
        <f ca="1"/>
        <v>0</v>
      </c>
      <c r="AE101" t="str">
        <f ca="1"/>
        <v/>
      </c>
      <c r="AF101" t="b">
        <f ca="1"/>
        <v>0</v>
      </c>
      <c r="AG101" t="b">
        <f ca="1"/>
        <v>1</v>
      </c>
      <c r="AH101" t="b">
        <f ca="1"/>
        <v>1</v>
      </c>
      <c r="AI101" t="b">
        <f ca="1"/>
        <v>0</v>
      </c>
      <c r="AJ101" t="b">
        <f ca="1"/>
        <v>1</v>
      </c>
      <c r="AK101" t="b">
        <f ca="1"/>
        <v>1</v>
      </c>
      <c r="AL101" t="b">
        <f ca="1"/>
        <v>1</v>
      </c>
      <c r="AM101" t="b">
        <f ca="1"/>
        <v>0</v>
      </c>
      <c r="AN101">
        <f ca="1"/>
        <v>-23</v>
      </c>
      <c r="AO101" t="str">
        <f ca="1"/>
        <v>Not Started</v>
      </c>
      <c r="AP101">
        <f ca="1"/>
        <v>0</v>
      </c>
      <c r="AQ101" t="str">
        <f ca="1"/>
        <v>Inspection</v>
      </c>
      <c r="AR101" t="str">
        <f ca="1"/>
        <v>Paint</v>
      </c>
      <c r="AS101" t="b">
        <f ca="1"/>
        <v>0</v>
      </c>
      <c r="AT101" t="str">
        <f ca="1"/>
        <v>on notice</v>
      </c>
      <c r="AU101" t="b">
        <f ca="1"/>
        <v>0</v>
      </c>
      <c r="AV101" t="b">
        <f ca="1"/>
        <v>0</v>
      </c>
      <c r="AW101" t="b">
        <f ca="1"/>
        <v>0</v>
      </c>
      <c r="AX101" t="str">
        <f ca="1"/>
        <v>On Notice - Scheduled</v>
      </c>
      <c r="AY101" t="b">
        <f ca="1"/>
        <v>0</v>
      </c>
      <c r="AZ101" t="str">
        <f ca="1"/>
        <v>📋 On Notice - Scheduled</v>
      </c>
      <c r="BA101">
        <f ca="1"/>
        <v>51</v>
      </c>
      <c r="BB101" t="b">
        <f ca="1"/>
        <v>0</v>
      </c>
      <c r="BC101" t="b">
        <f ca="1"/>
        <v>0</v>
      </c>
      <c r="BD101" t="b">
        <f ca="1"/>
        <v>0</v>
      </c>
      <c r="BE101" t="b">
        <f ca="1"/>
        <v>0</v>
      </c>
    </row>
    <row r="102" spans="3:57" x14ac:dyDescent="0.4">
      <c r="C102" s="1">
        <f ca="1"/>
        <v>21</v>
      </c>
      <c r="D102" s="1" t="str">
        <f ca="1"/>
        <v>Unit 7-07-0208</v>
      </c>
      <c r="E102" s="1" t="str">
        <f ca="1"/>
        <v xml:space="preserve">On Notice </v>
      </c>
      <c r="F102" s="1" vm="164">
        <f ca="1"/>
        <v>46103</v>
      </c>
      <c r="G102" s="1" vm="166">
        <f ca="1"/>
        <v>46114</v>
      </c>
      <c r="H102">
        <f ca="1"/>
        <v>-33</v>
      </c>
      <c r="I102" vm="165">
        <f ca="1"/>
        <v>46116</v>
      </c>
      <c r="J102">
        <f ca="1"/>
        <v>-46</v>
      </c>
      <c r="K102" t="str">
        <f ca="1"/>
        <v>NOTICE + SMI</v>
      </c>
      <c r="L102" t="str">
        <f ca="1"/>
        <v/>
      </c>
      <c r="M102" t="str">
        <f ca="1"/>
        <v>Not Started</v>
      </c>
      <c r="N102" t="str">
        <f ca="1"/>
        <v/>
      </c>
      <c r="O102" t="str">
        <f ca="1"/>
        <v>Not Started</v>
      </c>
      <c r="P102" t="str">
        <f ca="1"/>
        <v/>
      </c>
      <c r="Q102" t="str">
        <f ca="1"/>
        <v>Not Started</v>
      </c>
      <c r="R102" t="str">
        <f ca="1"/>
        <v/>
      </c>
      <c r="S102" t="str">
        <f ca="1"/>
        <v>Not Started</v>
      </c>
      <c r="T102" t="str">
        <f ca="1"/>
        <v/>
      </c>
      <c r="U102" t="str">
        <f ca="1"/>
        <v>Not Started</v>
      </c>
      <c r="V102" t="str">
        <f ca="1"/>
        <v>Brad</v>
      </c>
      <c r="W102" vm="11">
        <f ca="1"/>
        <v>0</v>
      </c>
      <c r="X102" t="str">
        <f ca="1"/>
        <v>No</v>
      </c>
      <c r="Y102" t="str">
        <f ca="1"/>
        <v>7</v>
      </c>
      <c r="Z102" t="str">
        <f ca="1"/>
        <v>07</v>
      </c>
      <c r="AA102" t="str">
        <f ca="1"/>
        <v>0208</v>
      </c>
      <c r="AB102" vm="11">
        <f ca="1"/>
        <v>0</v>
      </c>
      <c r="AC102" t="str">
        <f ca="1"/>
        <v/>
      </c>
      <c r="AD102" t="b">
        <f ca="1"/>
        <v>0</v>
      </c>
      <c r="AE102" t="str">
        <f ca="1"/>
        <v/>
      </c>
      <c r="AF102" t="b">
        <f ca="1"/>
        <v>1</v>
      </c>
      <c r="AG102" t="b">
        <f ca="1"/>
        <v>1</v>
      </c>
      <c r="AH102" t="b">
        <f ca="1"/>
        <v>1</v>
      </c>
      <c r="AI102" t="b">
        <f ca="1"/>
        <v>0</v>
      </c>
      <c r="AJ102" t="b">
        <f ca="1"/>
        <v>1</v>
      </c>
      <c r="AK102" t="b">
        <f ca="1"/>
        <v>1</v>
      </c>
      <c r="AL102" t="b">
        <f ca="1"/>
        <v>1</v>
      </c>
      <c r="AM102" t="b">
        <f ca="1"/>
        <v>0</v>
      </c>
      <c r="AN102">
        <f ca="1"/>
        <v>-23</v>
      </c>
      <c r="AO102" t="str">
        <f ca="1"/>
        <v>Not Started</v>
      </c>
      <c r="AP102">
        <f ca="1"/>
        <v>0</v>
      </c>
      <c r="AQ102" t="str">
        <f ca="1"/>
        <v>Inspection</v>
      </c>
      <c r="AR102" t="str">
        <f ca="1"/>
        <v>Paint</v>
      </c>
      <c r="AS102" t="b">
        <f ca="1"/>
        <v>0</v>
      </c>
      <c r="AT102" t="str">
        <f ca="1"/>
        <v>on notice</v>
      </c>
      <c r="AU102" t="b">
        <f ca="1"/>
        <v>0</v>
      </c>
      <c r="AV102" t="b">
        <f ca="1"/>
        <v>0</v>
      </c>
      <c r="AW102" t="b">
        <f ca="1"/>
        <v>0</v>
      </c>
      <c r="AX102" t="str">
        <f ca="1"/>
        <v>On Notice - Scheduled</v>
      </c>
      <c r="AY102" t="b">
        <f ca="1"/>
        <v>0</v>
      </c>
      <c r="AZ102" t="str">
        <f ca="1"/>
        <v>📋 On Notice - Scheduled</v>
      </c>
      <c r="BA102">
        <f ca="1"/>
        <v>46</v>
      </c>
      <c r="BB102" t="b">
        <f ca="1"/>
        <v>0</v>
      </c>
      <c r="BC102" t="b">
        <f ca="1"/>
        <v>0</v>
      </c>
      <c r="BD102" t="b">
        <f ca="1"/>
        <v>0</v>
      </c>
      <c r="BE102" t="b">
        <f ca="1"/>
        <v>0</v>
      </c>
    </row>
    <row r="103" spans="3:57" x14ac:dyDescent="0.4">
      <c r="C103" s="1">
        <f ca="1"/>
        <v>20</v>
      </c>
      <c r="D103" s="1" t="str">
        <f ca="1"/>
        <v>Unit 8-01-2074</v>
      </c>
      <c r="E103" s="1" t="str">
        <f ca="1"/>
        <v xml:space="preserve">On Notice </v>
      </c>
      <c r="F103" s="1" vm="164">
        <f ca="1"/>
        <v>46103</v>
      </c>
      <c r="G103" s="1" vm="166">
        <f ca="1"/>
        <v>46114</v>
      </c>
      <c r="H103">
        <f ca="1"/>
        <v>-33</v>
      </c>
      <c r="I103" vm="165">
        <f ca="1"/>
        <v>46116</v>
      </c>
      <c r="J103">
        <f ca="1"/>
        <v>-46</v>
      </c>
      <c r="K103" t="str">
        <f ca="1"/>
        <v>NOTICE + SMI</v>
      </c>
      <c r="L103" t="str">
        <f ca="1"/>
        <v/>
      </c>
      <c r="M103" t="str">
        <f ca="1"/>
        <v>Not Started</v>
      </c>
      <c r="N103" t="str">
        <f ca="1"/>
        <v/>
      </c>
      <c r="O103" t="str">
        <f ca="1"/>
        <v>Not Started</v>
      </c>
      <c r="P103" t="str">
        <f ca="1"/>
        <v/>
      </c>
      <c r="Q103" t="str">
        <f ca="1"/>
        <v>Not Started</v>
      </c>
      <c r="R103" t="str">
        <f ca="1"/>
        <v/>
      </c>
      <c r="S103" t="str">
        <f ca="1"/>
        <v>Not Started</v>
      </c>
      <c r="T103" t="str">
        <f ca="1"/>
        <v/>
      </c>
      <c r="U103" t="str">
        <f ca="1"/>
        <v>Not Started</v>
      </c>
      <c r="V103" t="str">
        <f ca="1"/>
        <v xml:space="preserve">Michael </v>
      </c>
      <c r="W103" vm="11">
        <f ca="1"/>
        <v>0</v>
      </c>
      <c r="X103" t="str">
        <f ca="1"/>
        <v>No</v>
      </c>
      <c r="Y103" t="str">
        <f ca="1"/>
        <v>8</v>
      </c>
      <c r="Z103" t="str">
        <f ca="1"/>
        <v>01</v>
      </c>
      <c r="AA103" t="str">
        <f ca="1"/>
        <v>2074</v>
      </c>
      <c r="AB103" vm="11">
        <f ca="1"/>
        <v>0</v>
      </c>
      <c r="AC103" t="str">
        <f ca="1"/>
        <v/>
      </c>
      <c r="AD103" t="b">
        <f ca="1"/>
        <v>0</v>
      </c>
      <c r="AE103" t="str">
        <f ca="1"/>
        <v/>
      </c>
      <c r="AF103" t="b">
        <f ca="1"/>
        <v>1</v>
      </c>
      <c r="AG103" t="b">
        <f ca="1"/>
        <v>1</v>
      </c>
      <c r="AH103" t="b">
        <f ca="1"/>
        <v>1</v>
      </c>
      <c r="AI103" t="b">
        <f ca="1"/>
        <v>0</v>
      </c>
      <c r="AJ103" t="b">
        <f ca="1"/>
        <v>1</v>
      </c>
      <c r="AK103" t="b">
        <f ca="1"/>
        <v>1</v>
      </c>
      <c r="AL103" t="b">
        <f ca="1"/>
        <v>1</v>
      </c>
      <c r="AM103" t="b">
        <f ca="1"/>
        <v>0</v>
      </c>
      <c r="AN103">
        <f ca="1"/>
        <v>-23</v>
      </c>
      <c r="AO103" t="str">
        <f ca="1"/>
        <v>Not Started</v>
      </c>
      <c r="AP103">
        <f ca="1"/>
        <v>0</v>
      </c>
      <c r="AQ103" t="str">
        <f ca="1"/>
        <v>Inspection</v>
      </c>
      <c r="AR103" t="str">
        <f ca="1"/>
        <v>Paint</v>
      </c>
      <c r="AS103" t="b">
        <f ca="1"/>
        <v>0</v>
      </c>
      <c r="AT103" t="str">
        <f ca="1"/>
        <v>on notice</v>
      </c>
      <c r="AU103" t="b">
        <f ca="1"/>
        <v>0</v>
      </c>
      <c r="AV103" t="b">
        <f ca="1"/>
        <v>0</v>
      </c>
      <c r="AW103" t="b">
        <f ca="1"/>
        <v>0</v>
      </c>
      <c r="AX103" t="str">
        <f ca="1"/>
        <v>On Notice - Scheduled</v>
      </c>
      <c r="AY103" t="b">
        <f ca="1"/>
        <v>0</v>
      </c>
      <c r="AZ103" t="str">
        <f ca="1"/>
        <v>📋 On Notice - Scheduled</v>
      </c>
      <c r="BA103">
        <f ca="1"/>
        <v>46</v>
      </c>
      <c r="BB103" t="b">
        <f ca="1"/>
        <v>0</v>
      </c>
      <c r="BC103" t="b">
        <f ca="1"/>
        <v>0</v>
      </c>
      <c r="BD103" t="b">
        <f ca="1"/>
        <v>0</v>
      </c>
      <c r="BE103" t="b">
        <f ca="1"/>
        <v>0</v>
      </c>
    </row>
    <row r="104" spans="3:57" x14ac:dyDescent="0.4">
      <c r="C104" s="1">
        <f ca="1"/>
        <v>104</v>
      </c>
      <c r="D104" s="1" t="str">
        <f ca="1"/>
        <v>Unit 8-01-1089</v>
      </c>
      <c r="E104" s="1" t="str">
        <f ca="1"/>
        <v xml:space="preserve">On Notice </v>
      </c>
      <c r="F104" s="1" vm="173">
        <f ca="1"/>
        <v>46104</v>
      </c>
      <c r="G104" s="1" vm="165">
        <f ca="1"/>
        <v>46116</v>
      </c>
      <c r="H104">
        <f ca="1"/>
        <v>-34</v>
      </c>
      <c r="I104" t="e">
        <f ca="1"/>
        <v>#NUM!</v>
      </c>
      <c r="J104" t="str">
        <f ca="1"/>
        <v/>
      </c>
      <c r="K104" t="str">
        <f ca="1"/>
        <v>NOTICE</v>
      </c>
      <c r="L104" t="str">
        <f ca="1"/>
        <v/>
      </c>
      <c r="M104" t="str">
        <f ca="1"/>
        <v>Not Started</v>
      </c>
      <c r="N104" t="str">
        <f ca="1"/>
        <v/>
      </c>
      <c r="O104" t="str">
        <f ca="1"/>
        <v>Not Started</v>
      </c>
      <c r="P104" t="str">
        <f ca="1"/>
        <v/>
      </c>
      <c r="Q104" t="str">
        <f ca="1"/>
        <v>Not Started</v>
      </c>
      <c r="R104" t="str">
        <f ca="1"/>
        <v/>
      </c>
      <c r="S104" t="str">
        <f ca="1"/>
        <v>Not Started</v>
      </c>
      <c r="T104" t="str">
        <f ca="1"/>
        <v/>
      </c>
      <c r="U104" t="str">
        <f ca="1"/>
        <v>Not Started</v>
      </c>
      <c r="V104" t="str">
        <f ca="1"/>
        <v xml:space="preserve">Michael </v>
      </c>
      <c r="W104" vm="11">
        <f ca="1"/>
        <v>0</v>
      </c>
      <c r="X104" t="str">
        <f ca="1"/>
        <v>No</v>
      </c>
      <c r="Y104" t="str">
        <f ca="1"/>
        <v>8</v>
      </c>
      <c r="Z104" t="str">
        <f ca="1"/>
        <v>01</v>
      </c>
      <c r="AA104" t="str">
        <f ca="1"/>
        <v>1089</v>
      </c>
      <c r="AB104" vm="11">
        <f ca="1"/>
        <v>0</v>
      </c>
      <c r="AC104" t="str">
        <f ca="1"/>
        <v/>
      </c>
      <c r="AD104" t="b">
        <f ca="1"/>
        <v>0</v>
      </c>
      <c r="AE104" t="str">
        <f ca="1"/>
        <v/>
      </c>
      <c r="AF104" t="b">
        <f ca="1"/>
        <v>1</v>
      </c>
      <c r="AG104" t="b">
        <f ca="1"/>
        <v>0</v>
      </c>
      <c r="AH104" t="b">
        <f ca="1"/>
        <v>1</v>
      </c>
      <c r="AI104" t="b">
        <f ca="1"/>
        <v>0</v>
      </c>
      <c r="AJ104" t="b">
        <f ca="1"/>
        <v>0</v>
      </c>
      <c r="AK104" t="b">
        <f ca="1"/>
        <v>1</v>
      </c>
      <c r="AL104" t="b">
        <f ca="1"/>
        <v>1</v>
      </c>
      <c r="AM104" t="b">
        <f ca="1"/>
        <v>0</v>
      </c>
      <c r="AN104">
        <f ca="1"/>
        <v>-24</v>
      </c>
      <c r="AO104" t="str">
        <f ca="1"/>
        <v>Not Started</v>
      </c>
      <c r="AP104">
        <f ca="1"/>
        <v>0</v>
      </c>
      <c r="AQ104" t="str">
        <f ca="1"/>
        <v>Inspection</v>
      </c>
      <c r="AR104" t="str">
        <f ca="1"/>
        <v>Paint</v>
      </c>
      <c r="AS104" t="b">
        <f ca="1"/>
        <v>0</v>
      </c>
      <c r="AT104" t="str">
        <f ca="1"/>
        <v>on notice</v>
      </c>
      <c r="AU104" t="b">
        <f ca="1"/>
        <v>0</v>
      </c>
      <c r="AV104" t="b">
        <f ca="1"/>
        <v>0</v>
      </c>
      <c r="AW104" t="b">
        <f ca="1"/>
        <v>0</v>
      </c>
      <c r="AX104" t="str">
        <f ca="1"/>
        <v>On Notice</v>
      </c>
      <c r="AY104" t="b">
        <f ca="1"/>
        <v>0</v>
      </c>
      <c r="AZ104" t="str">
        <f ca="1"/>
        <v>📋 On Notice</v>
      </c>
      <c r="BA104" t="e">
        <f ca="1"/>
        <v>#NUM!</v>
      </c>
      <c r="BB104" t="b">
        <f ca="1"/>
        <v>0</v>
      </c>
      <c r="BC104" t="b">
        <f ca="1"/>
        <v>0</v>
      </c>
      <c r="BD104" t="b">
        <f ca="1"/>
        <v>0</v>
      </c>
      <c r="BE104" t="b">
        <f ca="1"/>
        <v>0</v>
      </c>
    </row>
    <row r="105" spans="3:57" x14ac:dyDescent="0.4">
      <c r="C105" s="1">
        <f ca="1"/>
        <v>23</v>
      </c>
      <c r="D105" s="1" t="str">
        <f ca="1"/>
        <v>Unit 5-03-0427</v>
      </c>
      <c r="E105" s="1" t="str">
        <f ca="1"/>
        <v xml:space="preserve">On Notice </v>
      </c>
      <c r="F105" s="1" vm="159">
        <f ca="1"/>
        <v>46107</v>
      </c>
      <c r="G105" s="1" vm="174">
        <f ca="1"/>
        <v>46118</v>
      </c>
      <c r="H105">
        <f ca="1"/>
        <v>-37</v>
      </c>
      <c r="I105" vm="175">
        <f ca="1"/>
        <v>46122</v>
      </c>
      <c r="J105">
        <f ca="1"/>
        <v>-52</v>
      </c>
      <c r="K105" t="str">
        <f ca="1"/>
        <v>NOTICE + SMI</v>
      </c>
      <c r="L105" t="str">
        <f ca="1"/>
        <v/>
      </c>
      <c r="M105" t="str">
        <f ca="1"/>
        <v>Not Started</v>
      </c>
      <c r="N105" t="str">
        <f ca="1"/>
        <v/>
      </c>
      <c r="O105" t="str">
        <f ca="1"/>
        <v>Not Started</v>
      </c>
      <c r="P105" t="str">
        <f ca="1"/>
        <v/>
      </c>
      <c r="Q105" t="str">
        <f ca="1"/>
        <v>Not Started</v>
      </c>
      <c r="R105" t="str">
        <f ca="1"/>
        <v/>
      </c>
      <c r="S105" t="str">
        <f ca="1"/>
        <v>Not Started</v>
      </c>
      <c r="T105" t="str">
        <f ca="1"/>
        <v/>
      </c>
      <c r="U105" t="str">
        <f ca="1"/>
        <v>Not Started</v>
      </c>
      <c r="V105" t="str">
        <f ca="1"/>
        <v>Total</v>
      </c>
      <c r="W105" vm="11">
        <f ca="1"/>
        <v>0</v>
      </c>
      <c r="X105" t="str">
        <f ca="1"/>
        <v>No</v>
      </c>
      <c r="Y105" t="str">
        <f ca="1"/>
        <v>5</v>
      </c>
      <c r="Z105" t="str">
        <f ca="1"/>
        <v>03</v>
      </c>
      <c r="AA105" t="str">
        <f ca="1"/>
        <v>0427</v>
      </c>
      <c r="AB105" vm="11">
        <f ca="1"/>
        <v>0</v>
      </c>
      <c r="AC105" t="str">
        <f ca="1"/>
        <v/>
      </c>
      <c r="AD105" t="b">
        <f ca="1"/>
        <v>0</v>
      </c>
      <c r="AE105" t="str">
        <f ca="1"/>
        <v/>
      </c>
      <c r="AF105" t="b">
        <f ca="1"/>
        <v>0</v>
      </c>
      <c r="AG105" t="b">
        <f ca="1"/>
        <v>1</v>
      </c>
      <c r="AH105" t="b">
        <f ca="1"/>
        <v>1</v>
      </c>
      <c r="AI105" t="b">
        <f ca="1"/>
        <v>0</v>
      </c>
      <c r="AJ105" t="b">
        <f ca="1"/>
        <v>1</v>
      </c>
      <c r="AK105" t="b">
        <f ca="1"/>
        <v>1</v>
      </c>
      <c r="AL105" t="b">
        <f ca="1"/>
        <v>1</v>
      </c>
      <c r="AM105" t="b">
        <f ca="1"/>
        <v>0</v>
      </c>
      <c r="AN105">
        <f ca="1"/>
        <v>-27</v>
      </c>
      <c r="AO105" t="str">
        <f ca="1"/>
        <v>Not Started</v>
      </c>
      <c r="AP105">
        <f ca="1"/>
        <v>0</v>
      </c>
      <c r="AQ105" t="str">
        <f ca="1"/>
        <v>Inspection</v>
      </c>
      <c r="AR105" t="str">
        <f ca="1"/>
        <v>Paint</v>
      </c>
      <c r="AS105" t="b">
        <f ca="1"/>
        <v>0</v>
      </c>
      <c r="AT105" t="str">
        <f ca="1"/>
        <v>on notice</v>
      </c>
      <c r="AU105" t="b">
        <f ca="1"/>
        <v>0</v>
      </c>
      <c r="AV105" t="b">
        <f ca="1"/>
        <v>0</v>
      </c>
      <c r="AW105" t="b">
        <f ca="1"/>
        <v>0</v>
      </c>
      <c r="AX105" t="str">
        <f ca="1"/>
        <v>On Notice - Scheduled</v>
      </c>
      <c r="AY105" t="b">
        <f ca="1"/>
        <v>0</v>
      </c>
      <c r="AZ105" t="str">
        <f ca="1"/>
        <v>📋 On Notice - Scheduled</v>
      </c>
      <c r="BA105">
        <f ca="1"/>
        <v>52</v>
      </c>
      <c r="BB105" t="b">
        <f ca="1"/>
        <v>0</v>
      </c>
      <c r="BC105" t="b">
        <f ca="1"/>
        <v>0</v>
      </c>
      <c r="BD105" t="b">
        <f ca="1"/>
        <v>0</v>
      </c>
      <c r="BE105" t="b">
        <f ca="1"/>
        <v>0</v>
      </c>
    </row>
    <row r="106" spans="3:57" x14ac:dyDescent="0.4">
      <c r="C106" s="1">
        <f ca="1"/>
        <v>105</v>
      </c>
      <c r="D106" s="1" t="str">
        <f ca="1"/>
        <v>Unit 5-13-0207</v>
      </c>
      <c r="E106" s="1" t="str">
        <f ca="1"/>
        <v xml:space="preserve">On Notice </v>
      </c>
      <c r="F106" s="1" vm="159">
        <f ca="1"/>
        <v>46107</v>
      </c>
      <c r="G106" s="1" vm="172">
        <f ca="1"/>
        <v>46121</v>
      </c>
      <c r="H106">
        <f ca="1"/>
        <v>-37</v>
      </c>
      <c r="I106" t="e">
        <f ca="1"/>
        <v>#NUM!</v>
      </c>
      <c r="J106" t="str">
        <f ca="1"/>
        <v/>
      </c>
      <c r="K106" t="str">
        <f ca="1"/>
        <v>NOTICE</v>
      </c>
      <c r="L106" t="str">
        <f ca="1"/>
        <v/>
      </c>
      <c r="M106" t="str">
        <f ca="1"/>
        <v>Not Started</v>
      </c>
      <c r="N106" t="str">
        <f ca="1"/>
        <v/>
      </c>
      <c r="O106" t="str">
        <f ca="1"/>
        <v>Not Started</v>
      </c>
      <c r="P106" t="str">
        <f ca="1"/>
        <v/>
      </c>
      <c r="Q106" t="str">
        <f ca="1"/>
        <v>Not Started</v>
      </c>
      <c r="R106" t="str">
        <f ca="1"/>
        <v/>
      </c>
      <c r="S106" t="str">
        <f ca="1"/>
        <v>Not Started</v>
      </c>
      <c r="T106" t="str">
        <f ca="1"/>
        <v/>
      </c>
      <c r="U106" t="str">
        <f ca="1"/>
        <v>Not Started</v>
      </c>
      <c r="V106" t="str">
        <f ca="1"/>
        <v>Total</v>
      </c>
      <c r="W106" vm="11">
        <f ca="1"/>
        <v>0</v>
      </c>
      <c r="X106" t="str">
        <f ca="1"/>
        <v>No</v>
      </c>
      <c r="Y106" t="str">
        <f ca="1"/>
        <v>5</v>
      </c>
      <c r="Z106" t="str">
        <f ca="1"/>
        <v>13</v>
      </c>
      <c r="AA106" t="str">
        <f ca="1"/>
        <v>0207</v>
      </c>
      <c r="AB106" vm="11">
        <f ca="1"/>
        <v>0</v>
      </c>
      <c r="AC106" t="str">
        <f ca="1"/>
        <v/>
      </c>
      <c r="AD106" t="b">
        <f ca="1"/>
        <v>0</v>
      </c>
      <c r="AE106" t="str">
        <f ca="1"/>
        <v/>
      </c>
      <c r="AF106" t="b">
        <f ca="1"/>
        <v>0</v>
      </c>
      <c r="AG106" t="b">
        <f ca="1"/>
        <v>0</v>
      </c>
      <c r="AH106" t="b">
        <f ca="1"/>
        <v>1</v>
      </c>
      <c r="AI106" t="b">
        <f ca="1"/>
        <v>0</v>
      </c>
      <c r="AJ106" t="b">
        <f ca="1"/>
        <v>0</v>
      </c>
      <c r="AK106" t="b">
        <f ca="1"/>
        <v>1</v>
      </c>
      <c r="AL106" t="b">
        <f ca="1"/>
        <v>1</v>
      </c>
      <c r="AM106" t="b">
        <f ca="1"/>
        <v>0</v>
      </c>
      <c r="AN106">
        <f ca="1"/>
        <v>-27</v>
      </c>
      <c r="AO106" t="str">
        <f ca="1"/>
        <v>Not Started</v>
      </c>
      <c r="AP106">
        <f ca="1"/>
        <v>0</v>
      </c>
      <c r="AQ106" t="str">
        <f ca="1"/>
        <v>Inspection</v>
      </c>
      <c r="AR106" t="str">
        <f ca="1"/>
        <v>Paint</v>
      </c>
      <c r="AS106" t="b">
        <f ca="1"/>
        <v>0</v>
      </c>
      <c r="AT106" t="str">
        <f ca="1"/>
        <v>on notice</v>
      </c>
      <c r="AU106" t="b">
        <f ca="1"/>
        <v>0</v>
      </c>
      <c r="AV106" t="b">
        <f ca="1"/>
        <v>0</v>
      </c>
      <c r="AW106" t="b">
        <f ca="1"/>
        <v>0</v>
      </c>
      <c r="AX106" t="str">
        <f ca="1"/>
        <v>On Notice</v>
      </c>
      <c r="AY106" t="b">
        <f ca="1"/>
        <v>0</v>
      </c>
      <c r="AZ106" t="str">
        <f ca="1"/>
        <v>📋 On Notice</v>
      </c>
      <c r="BA106" t="e">
        <f ca="1"/>
        <v>#NUM!</v>
      </c>
      <c r="BB106" t="b">
        <f ca="1"/>
        <v>0</v>
      </c>
      <c r="BC106" t="b">
        <f ca="1"/>
        <v>0</v>
      </c>
      <c r="BD106" t="b">
        <f ca="1"/>
        <v>0</v>
      </c>
      <c r="BE106" t="b">
        <f ca="1"/>
        <v>0</v>
      </c>
    </row>
    <row r="107" spans="3:57" x14ac:dyDescent="0.4">
      <c r="C107" s="1">
        <f ca="1"/>
        <v>25</v>
      </c>
      <c r="D107" s="1" t="str">
        <f ca="1"/>
        <v>Unit 5-02-0305</v>
      </c>
      <c r="E107" s="1" t="str">
        <f ca="1"/>
        <v xml:space="preserve">On Notice </v>
      </c>
      <c r="F107" s="1" vm="176">
        <f ca="1"/>
        <v>46110</v>
      </c>
      <c r="G107" s="1" vm="172">
        <f ca="1"/>
        <v>46121</v>
      </c>
      <c r="H107">
        <f ca="1"/>
        <v>-40</v>
      </c>
      <c r="I107" vm="168">
        <f ca="1"/>
        <v>46123</v>
      </c>
      <c r="J107">
        <f ca="1"/>
        <v>-53</v>
      </c>
      <c r="K107" t="str">
        <f ca="1"/>
        <v>NOTICE + SMI</v>
      </c>
      <c r="L107" t="str">
        <f ca="1"/>
        <v/>
      </c>
      <c r="M107" t="str">
        <f ca="1"/>
        <v>Not Started</v>
      </c>
      <c r="N107" t="str">
        <f ca="1"/>
        <v/>
      </c>
      <c r="O107" t="str">
        <f ca="1"/>
        <v>Not Started</v>
      </c>
      <c r="P107" t="str">
        <f ca="1"/>
        <v/>
      </c>
      <c r="Q107" t="str">
        <f ca="1"/>
        <v>Not Started</v>
      </c>
      <c r="R107" t="str">
        <f ca="1"/>
        <v/>
      </c>
      <c r="S107" t="str">
        <f ca="1"/>
        <v>Not Started</v>
      </c>
      <c r="T107" t="str">
        <f ca="1"/>
        <v/>
      </c>
      <c r="U107" t="str">
        <f ca="1"/>
        <v>Not Started</v>
      </c>
      <c r="V107" t="str">
        <f ca="1"/>
        <v>Total</v>
      </c>
      <c r="W107" vm="11">
        <f ca="1"/>
        <v>0</v>
      </c>
      <c r="X107" t="str">
        <f ca="1"/>
        <v>No</v>
      </c>
      <c r="Y107" t="str">
        <f ca="1"/>
        <v>5</v>
      </c>
      <c r="Z107" t="str">
        <f ca="1"/>
        <v>02</v>
      </c>
      <c r="AA107" t="str">
        <f ca="1"/>
        <v>0305</v>
      </c>
      <c r="AB107" vm="11">
        <f ca="1"/>
        <v>0</v>
      </c>
      <c r="AC107" t="str">
        <f ca="1"/>
        <v/>
      </c>
      <c r="AD107" t="b">
        <f ca="1"/>
        <v>0</v>
      </c>
      <c r="AE107" t="str">
        <f ca="1"/>
        <v/>
      </c>
      <c r="AF107" t="b">
        <f ca="1"/>
        <v>0</v>
      </c>
      <c r="AG107" t="b">
        <f ca="1"/>
        <v>1</v>
      </c>
      <c r="AH107" t="b">
        <f ca="1"/>
        <v>1</v>
      </c>
      <c r="AI107" t="b">
        <f ca="1"/>
        <v>0</v>
      </c>
      <c r="AJ107" t="b">
        <f ca="1"/>
        <v>1</v>
      </c>
      <c r="AK107" t="b">
        <f ca="1"/>
        <v>1</v>
      </c>
      <c r="AL107" t="b">
        <f ca="1"/>
        <v>1</v>
      </c>
      <c r="AM107" t="b">
        <f ca="1"/>
        <v>0</v>
      </c>
      <c r="AN107">
        <f ca="1"/>
        <v>-28</v>
      </c>
      <c r="AO107" t="str">
        <f ca="1"/>
        <v>Not Started</v>
      </c>
      <c r="AP107">
        <f ca="1"/>
        <v>0</v>
      </c>
      <c r="AQ107" t="str">
        <f ca="1"/>
        <v>Inspection</v>
      </c>
      <c r="AR107" t="str">
        <f ca="1"/>
        <v>Paint</v>
      </c>
      <c r="AS107" t="b">
        <f ca="1"/>
        <v>0</v>
      </c>
      <c r="AT107" t="str">
        <f ca="1"/>
        <v>on notice</v>
      </c>
      <c r="AU107" t="b">
        <f ca="1"/>
        <v>0</v>
      </c>
      <c r="AV107" t="b">
        <f ca="1"/>
        <v>0</v>
      </c>
      <c r="AW107" t="b">
        <f ca="1"/>
        <v>0</v>
      </c>
      <c r="AX107" t="str">
        <f ca="1"/>
        <v>On Notice - Scheduled</v>
      </c>
      <c r="AY107" t="b">
        <f ca="1"/>
        <v>0</v>
      </c>
      <c r="AZ107" t="str">
        <f ca="1"/>
        <v>📋 On Notice - Scheduled</v>
      </c>
      <c r="BA107">
        <f ca="1"/>
        <v>53</v>
      </c>
      <c r="BB107" t="b">
        <f ca="1"/>
        <v>0</v>
      </c>
      <c r="BC107" t="b">
        <f ca="1"/>
        <v>0</v>
      </c>
      <c r="BD107" t="b">
        <f ca="1"/>
        <v>0</v>
      </c>
      <c r="BE107" t="b">
        <f ca="1"/>
        <v>0</v>
      </c>
    </row>
    <row r="108" spans="3:57" x14ac:dyDescent="0.4">
      <c r="C108" s="1">
        <f ca="1"/>
        <v>106</v>
      </c>
      <c r="D108" s="1" t="str">
        <f ca="1"/>
        <v>Unit 5-18-0234</v>
      </c>
      <c r="E108" s="1" t="str">
        <f ca="1"/>
        <v xml:space="preserve">On Notice </v>
      </c>
      <c r="F108" s="1" vm="177">
        <f ca="1"/>
        <v>46108</v>
      </c>
      <c r="G108" s="1" vm="175">
        <f ca="1"/>
        <v>46122</v>
      </c>
      <c r="H108">
        <f ca="1"/>
        <v>-38</v>
      </c>
      <c r="I108" t="e">
        <f ca="1"/>
        <v>#NUM!</v>
      </c>
      <c r="J108" t="str">
        <f ca="1"/>
        <v/>
      </c>
      <c r="K108" t="str">
        <f ca="1"/>
        <v>NOTICE</v>
      </c>
      <c r="L108" t="str">
        <f ca="1"/>
        <v/>
      </c>
      <c r="M108" t="str">
        <f ca="1"/>
        <v>Not Started</v>
      </c>
      <c r="N108" t="str">
        <f ca="1"/>
        <v/>
      </c>
      <c r="O108" t="str">
        <f ca="1"/>
        <v>Not Started</v>
      </c>
      <c r="P108" t="str">
        <f ca="1"/>
        <v/>
      </c>
      <c r="Q108" t="str">
        <f ca="1"/>
        <v>Not Started</v>
      </c>
      <c r="R108" t="str">
        <f ca="1"/>
        <v/>
      </c>
      <c r="S108" t="str">
        <f ca="1"/>
        <v>Not Started</v>
      </c>
      <c r="T108" t="str">
        <f ca="1"/>
        <v/>
      </c>
      <c r="U108" t="str">
        <f ca="1"/>
        <v>Not Started</v>
      </c>
      <c r="V108" t="str">
        <f ca="1"/>
        <v>Total</v>
      </c>
      <c r="W108" vm="11">
        <f ca="1"/>
        <v>0</v>
      </c>
      <c r="X108" t="str">
        <f ca="1"/>
        <v>No</v>
      </c>
      <c r="Y108" t="str">
        <f ca="1"/>
        <v>5</v>
      </c>
      <c r="Z108" t="str">
        <f ca="1"/>
        <v>18</v>
      </c>
      <c r="AA108" t="str">
        <f ca="1"/>
        <v>0234</v>
      </c>
      <c r="AB108" vm="11">
        <f ca="1"/>
        <v>0</v>
      </c>
      <c r="AC108" t="str">
        <f ca="1"/>
        <v/>
      </c>
      <c r="AD108" t="b">
        <f ca="1"/>
        <v>0</v>
      </c>
      <c r="AE108" t="str">
        <f ca="1"/>
        <v/>
      </c>
      <c r="AF108" t="b">
        <f ca="1"/>
        <v>0</v>
      </c>
      <c r="AG108" t="b">
        <f ca="1"/>
        <v>0</v>
      </c>
      <c r="AH108" t="b">
        <f ca="1"/>
        <v>1</v>
      </c>
      <c r="AI108" t="b">
        <f ca="1"/>
        <v>0</v>
      </c>
      <c r="AJ108" t="b">
        <f ca="1"/>
        <v>0</v>
      </c>
      <c r="AK108" t="b">
        <f ca="1"/>
        <v>1</v>
      </c>
      <c r="AL108" t="b">
        <f ca="1"/>
        <v>1</v>
      </c>
      <c r="AM108" t="b">
        <f ca="1"/>
        <v>0</v>
      </c>
      <c r="AN108">
        <f ca="1"/>
        <v>-28</v>
      </c>
      <c r="AO108" t="str">
        <f ca="1"/>
        <v>Not Started</v>
      </c>
      <c r="AP108">
        <f ca="1"/>
        <v>0</v>
      </c>
      <c r="AQ108" t="str">
        <f ca="1"/>
        <v>Inspection</v>
      </c>
      <c r="AR108" t="str">
        <f ca="1"/>
        <v>Paint</v>
      </c>
      <c r="AS108" t="b">
        <f ca="1"/>
        <v>0</v>
      </c>
      <c r="AT108" t="str">
        <f ca="1"/>
        <v>on notice</v>
      </c>
      <c r="AU108" t="b">
        <f ca="1"/>
        <v>0</v>
      </c>
      <c r="AV108" t="b">
        <f ca="1"/>
        <v>0</v>
      </c>
      <c r="AW108" t="b">
        <f ca="1"/>
        <v>0</v>
      </c>
      <c r="AX108" t="str">
        <f ca="1"/>
        <v>On Notice</v>
      </c>
      <c r="AY108" t="b">
        <f ca="1"/>
        <v>0</v>
      </c>
      <c r="AZ108" t="str">
        <f ca="1"/>
        <v>📋 On Notice</v>
      </c>
      <c r="BA108" t="e">
        <f ca="1"/>
        <v>#NUM!</v>
      </c>
      <c r="BB108" t="b">
        <f ca="1"/>
        <v>0</v>
      </c>
      <c r="BC108" t="b">
        <f ca="1"/>
        <v>0</v>
      </c>
      <c r="BD108" t="b">
        <f ca="1"/>
        <v>0</v>
      </c>
      <c r="BE108" t="b">
        <f ca="1"/>
        <v>0</v>
      </c>
    </row>
    <row r="109" spans="3:57" x14ac:dyDescent="0.4">
      <c r="C109" s="1">
        <f ca="1"/>
        <v>107</v>
      </c>
      <c r="D109" s="1" t="str">
        <f ca="1"/>
        <v>Unit 8-01-4051</v>
      </c>
      <c r="E109" s="1" t="str">
        <f ca="1"/>
        <v xml:space="preserve">On Notice </v>
      </c>
      <c r="F109" s="1" vm="178">
        <f ca="1"/>
        <v>46111</v>
      </c>
      <c r="G109" s="1" vm="168">
        <f ca="1"/>
        <v>46123</v>
      </c>
      <c r="H109">
        <f ca="1"/>
        <v>-41</v>
      </c>
      <c r="I109" t="e">
        <f ca="1"/>
        <v>#NUM!</v>
      </c>
      <c r="J109" t="str">
        <f ca="1"/>
        <v/>
      </c>
      <c r="K109" t="str">
        <f ca="1"/>
        <v>NOTICE</v>
      </c>
      <c r="L109" t="str">
        <f ca="1"/>
        <v/>
      </c>
      <c r="M109" t="str">
        <f ca="1"/>
        <v>Not Started</v>
      </c>
      <c r="N109" t="str">
        <f ca="1"/>
        <v/>
      </c>
      <c r="O109" t="str">
        <f ca="1"/>
        <v>Not Started</v>
      </c>
      <c r="P109" t="str">
        <f ca="1"/>
        <v/>
      </c>
      <c r="Q109" t="str">
        <f ca="1"/>
        <v>Not Started</v>
      </c>
      <c r="R109" t="str">
        <f ca="1"/>
        <v/>
      </c>
      <c r="S109" t="str">
        <f ca="1"/>
        <v>Not Started</v>
      </c>
      <c r="T109" t="str">
        <f ca="1"/>
        <v/>
      </c>
      <c r="U109" t="str">
        <f ca="1"/>
        <v>Not Started</v>
      </c>
      <c r="V109" t="str">
        <f ca="1"/>
        <v xml:space="preserve">Michael </v>
      </c>
      <c r="W109" vm="11">
        <f ca="1"/>
        <v>0</v>
      </c>
      <c r="X109" t="str">
        <f ca="1"/>
        <v>No</v>
      </c>
      <c r="Y109" t="str">
        <f ca="1"/>
        <v>8</v>
      </c>
      <c r="Z109" t="str">
        <f ca="1"/>
        <v>01</v>
      </c>
      <c r="AA109" t="str">
        <f ca="1"/>
        <v>4051</v>
      </c>
      <c r="AB109" vm="11">
        <f ca="1"/>
        <v>0</v>
      </c>
      <c r="AC109" t="str">
        <f ca="1"/>
        <v/>
      </c>
      <c r="AD109" t="b">
        <f ca="1"/>
        <v>0</v>
      </c>
      <c r="AE109" t="str">
        <f ca="1"/>
        <v/>
      </c>
      <c r="AF109" t="b">
        <f ca="1"/>
        <v>1</v>
      </c>
      <c r="AG109" t="b">
        <f ca="1"/>
        <v>0</v>
      </c>
      <c r="AH109" t="b">
        <f ca="1"/>
        <v>1</v>
      </c>
      <c r="AI109" t="b">
        <f ca="1"/>
        <v>0</v>
      </c>
      <c r="AJ109" t="b">
        <f ca="1"/>
        <v>0</v>
      </c>
      <c r="AK109" t="b">
        <f ca="1"/>
        <v>1</v>
      </c>
      <c r="AL109" t="b">
        <f ca="1"/>
        <v>1</v>
      </c>
      <c r="AM109" t="b">
        <f ca="1"/>
        <v>0</v>
      </c>
      <c r="AN109">
        <f ca="1"/>
        <v>-29</v>
      </c>
      <c r="AO109" t="str">
        <f ca="1"/>
        <v>Not Started</v>
      </c>
      <c r="AP109">
        <f ca="1"/>
        <v>0</v>
      </c>
      <c r="AQ109" t="str">
        <f ca="1"/>
        <v>Inspection</v>
      </c>
      <c r="AR109" t="str">
        <f ca="1"/>
        <v>Paint</v>
      </c>
      <c r="AS109" t="b">
        <f ca="1"/>
        <v>0</v>
      </c>
      <c r="AT109" t="str">
        <f ca="1"/>
        <v>on notice</v>
      </c>
      <c r="AU109" t="b">
        <f ca="1"/>
        <v>0</v>
      </c>
      <c r="AV109" t="b">
        <f ca="1"/>
        <v>0</v>
      </c>
      <c r="AW109" t="b">
        <f ca="1"/>
        <v>0</v>
      </c>
      <c r="AX109" t="str">
        <f ca="1"/>
        <v>On Notice</v>
      </c>
      <c r="AY109" t="b">
        <f ca="1"/>
        <v>0</v>
      </c>
      <c r="AZ109" t="str">
        <f ca="1"/>
        <v>📋 On Notice</v>
      </c>
      <c r="BA109" t="e">
        <f ca="1"/>
        <v>#NUM!</v>
      </c>
      <c r="BB109" t="b">
        <f ca="1"/>
        <v>0</v>
      </c>
      <c r="BC109" t="b">
        <f ca="1"/>
        <v>0</v>
      </c>
      <c r="BD109" t="b">
        <f ca="1"/>
        <v>0</v>
      </c>
      <c r="BE109" t="b">
        <f ca="1"/>
        <v>0</v>
      </c>
    </row>
    <row r="110" spans="3:57" x14ac:dyDescent="0.4">
      <c r="C110" s="1">
        <f ca="1"/>
        <v>108</v>
      </c>
      <c r="D110" s="1" t="str">
        <f ca="1"/>
        <v>Unit 8-01-4124</v>
      </c>
      <c r="E110" s="1" t="str">
        <f ca="1"/>
        <v xml:space="preserve">On Notice </v>
      </c>
      <c r="F110" s="1" vm="161">
        <f ca="1"/>
        <v>46112</v>
      </c>
      <c r="G110" s="1" vm="179">
        <f ca="1"/>
        <v>46126</v>
      </c>
      <c r="H110">
        <f ca="1"/>
        <v>-42</v>
      </c>
      <c r="I110" t="e">
        <f ca="1"/>
        <v>#NUM!</v>
      </c>
      <c r="J110" t="str">
        <f ca="1"/>
        <v/>
      </c>
      <c r="K110" t="str">
        <f ca="1"/>
        <v>NOTICE</v>
      </c>
      <c r="L110" t="str">
        <f ca="1"/>
        <v/>
      </c>
      <c r="M110" t="str">
        <f ca="1"/>
        <v>Not Started</v>
      </c>
      <c r="N110" t="str">
        <f ca="1"/>
        <v/>
      </c>
      <c r="O110" t="str">
        <f ca="1"/>
        <v>Not Started</v>
      </c>
      <c r="P110" t="str">
        <f ca="1"/>
        <v/>
      </c>
      <c r="Q110" t="str">
        <f ca="1"/>
        <v>Not Started</v>
      </c>
      <c r="R110" t="str">
        <f ca="1"/>
        <v/>
      </c>
      <c r="S110" t="str">
        <f ca="1"/>
        <v>Not Started</v>
      </c>
      <c r="T110" t="str">
        <f ca="1"/>
        <v/>
      </c>
      <c r="U110" t="str">
        <f ca="1"/>
        <v>Not Started</v>
      </c>
      <c r="V110" t="str">
        <f ca="1"/>
        <v xml:space="preserve">Michael </v>
      </c>
      <c r="W110" vm="11">
        <f ca="1"/>
        <v>0</v>
      </c>
      <c r="X110" t="str">
        <f ca="1"/>
        <v>No</v>
      </c>
      <c r="Y110" t="str">
        <f ca="1"/>
        <v>8</v>
      </c>
      <c r="Z110" t="str">
        <f ca="1"/>
        <v>01</v>
      </c>
      <c r="AA110" t="str">
        <f ca="1"/>
        <v>4124</v>
      </c>
      <c r="AB110" vm="11">
        <f ca="1"/>
        <v>0</v>
      </c>
      <c r="AC110" t="str">
        <f ca="1"/>
        <v/>
      </c>
      <c r="AD110" t="b">
        <f ca="1"/>
        <v>0</v>
      </c>
      <c r="AE110" t="str">
        <f ca="1"/>
        <v/>
      </c>
      <c r="AF110" t="b">
        <f ca="1"/>
        <v>1</v>
      </c>
      <c r="AG110" t="b">
        <f ca="1"/>
        <v>0</v>
      </c>
      <c r="AH110" t="b">
        <f ca="1"/>
        <v>1</v>
      </c>
      <c r="AI110" t="b">
        <f ca="1"/>
        <v>0</v>
      </c>
      <c r="AJ110" t="b">
        <f ca="1"/>
        <v>0</v>
      </c>
      <c r="AK110" t="b">
        <f ca="1"/>
        <v>1</v>
      </c>
      <c r="AL110" t="b">
        <f ca="1"/>
        <v>1</v>
      </c>
      <c r="AM110" t="b">
        <f ca="1"/>
        <v>0</v>
      </c>
      <c r="AN110">
        <f ca="1"/>
        <v>-30</v>
      </c>
      <c r="AO110" t="str">
        <f ca="1"/>
        <v>Not Started</v>
      </c>
      <c r="AP110">
        <f ca="1"/>
        <v>0</v>
      </c>
      <c r="AQ110" t="str">
        <f ca="1"/>
        <v>Inspection</v>
      </c>
      <c r="AR110" t="str">
        <f ca="1"/>
        <v>Paint</v>
      </c>
      <c r="AS110" t="b">
        <f ca="1"/>
        <v>0</v>
      </c>
      <c r="AT110" t="str">
        <f ca="1"/>
        <v>on notice</v>
      </c>
      <c r="AU110" t="b">
        <f ca="1"/>
        <v>0</v>
      </c>
      <c r="AV110" t="b">
        <f ca="1"/>
        <v>0</v>
      </c>
      <c r="AW110" t="b">
        <f ca="1"/>
        <v>0</v>
      </c>
      <c r="AX110" t="str">
        <f ca="1"/>
        <v>On Notice</v>
      </c>
      <c r="AY110" t="b">
        <f ca="1"/>
        <v>0</v>
      </c>
      <c r="AZ110" t="str">
        <f ca="1"/>
        <v>📋 On Notice</v>
      </c>
      <c r="BA110" t="e">
        <f ca="1"/>
        <v>#NUM!</v>
      </c>
      <c r="BB110" t="b">
        <f ca="1"/>
        <v>0</v>
      </c>
      <c r="BC110" t="b">
        <f ca="1"/>
        <v>0</v>
      </c>
      <c r="BD110" t="b">
        <f ca="1"/>
        <v>0</v>
      </c>
      <c r="BE110" t="b">
        <f ca="1"/>
        <v>0</v>
      </c>
    </row>
    <row r="111" spans="3:57" x14ac:dyDescent="0.4">
      <c r="C111" s="1">
        <f ca="1"/>
        <v>109</v>
      </c>
      <c r="D111" s="1" t="str">
        <f ca="1"/>
        <v>Unit 5-01-0206</v>
      </c>
      <c r="E111" s="1" t="str">
        <f ca="1"/>
        <v xml:space="preserve">On Notice </v>
      </c>
      <c r="F111" s="1" vm="163">
        <f ca="1"/>
        <v>46113</v>
      </c>
      <c r="G111" s="1" vm="180">
        <f ca="1"/>
        <v>46127</v>
      </c>
      <c r="H111">
        <f ca="1"/>
        <v>-43</v>
      </c>
      <c r="I111" t="e">
        <f ca="1"/>
        <v>#NUM!</v>
      </c>
      <c r="J111" t="str">
        <f ca="1"/>
        <v/>
      </c>
      <c r="K111" t="str">
        <f ca="1"/>
        <v>NOTICE</v>
      </c>
      <c r="L111" t="str">
        <f ca="1"/>
        <v/>
      </c>
      <c r="M111" t="str">
        <f ca="1"/>
        <v>Not Started</v>
      </c>
      <c r="N111" t="str">
        <f ca="1"/>
        <v/>
      </c>
      <c r="O111" t="str">
        <f ca="1"/>
        <v>Not Started</v>
      </c>
      <c r="P111" t="str">
        <f ca="1"/>
        <v/>
      </c>
      <c r="Q111" t="str">
        <f ca="1"/>
        <v>Not Started</v>
      </c>
      <c r="R111" t="str">
        <f ca="1"/>
        <v/>
      </c>
      <c r="S111" t="str">
        <f ca="1"/>
        <v>Not Started</v>
      </c>
      <c r="T111" t="str">
        <f ca="1"/>
        <v/>
      </c>
      <c r="U111" t="str">
        <f ca="1"/>
        <v>Not Started</v>
      </c>
      <c r="V111" t="str">
        <f ca="1"/>
        <v>Total</v>
      </c>
      <c r="W111" vm="11">
        <f ca="1"/>
        <v>0</v>
      </c>
      <c r="X111" t="str">
        <f ca="1"/>
        <v>No</v>
      </c>
      <c r="Y111" t="str">
        <f ca="1"/>
        <v>5</v>
      </c>
      <c r="Z111" t="str">
        <f ca="1"/>
        <v>01</v>
      </c>
      <c r="AA111" t="str">
        <f ca="1"/>
        <v>0206</v>
      </c>
      <c r="AB111" vm="11">
        <f ca="1"/>
        <v>0</v>
      </c>
      <c r="AC111" t="str">
        <f ca="1"/>
        <v/>
      </c>
      <c r="AD111" t="b">
        <f ca="1"/>
        <v>0</v>
      </c>
      <c r="AE111" t="str">
        <f ca="1"/>
        <v/>
      </c>
      <c r="AF111" t="b">
        <f ca="1"/>
        <v>0</v>
      </c>
      <c r="AG111" t="b">
        <f ca="1"/>
        <v>0</v>
      </c>
      <c r="AH111" t="b">
        <f ca="1"/>
        <v>1</v>
      </c>
      <c r="AI111" t="b">
        <f ca="1"/>
        <v>0</v>
      </c>
      <c r="AJ111" t="b">
        <f ca="1"/>
        <v>0</v>
      </c>
      <c r="AK111" t="b">
        <f ca="1"/>
        <v>1</v>
      </c>
      <c r="AL111" t="b">
        <f ca="1"/>
        <v>1</v>
      </c>
      <c r="AM111" t="b">
        <f ca="1"/>
        <v>0</v>
      </c>
      <c r="AN111">
        <f ca="1"/>
        <v>-31</v>
      </c>
      <c r="AO111" t="str">
        <f ca="1"/>
        <v>Not Started</v>
      </c>
      <c r="AP111">
        <f ca="1"/>
        <v>0</v>
      </c>
      <c r="AQ111" t="str">
        <f ca="1"/>
        <v>Inspection</v>
      </c>
      <c r="AR111" t="str">
        <f ca="1"/>
        <v>Paint</v>
      </c>
      <c r="AS111" t="b">
        <f ca="1"/>
        <v>0</v>
      </c>
      <c r="AT111" t="str">
        <f ca="1"/>
        <v>on notice</v>
      </c>
      <c r="AU111" t="b">
        <f ca="1"/>
        <v>0</v>
      </c>
      <c r="AV111" t="b">
        <f ca="1"/>
        <v>0</v>
      </c>
      <c r="AW111" t="b">
        <f ca="1"/>
        <v>0</v>
      </c>
      <c r="AX111" t="str">
        <f ca="1"/>
        <v>On Notice</v>
      </c>
      <c r="AY111" t="b">
        <f ca="1"/>
        <v>0</v>
      </c>
      <c r="AZ111" t="str">
        <f ca="1"/>
        <v>📋 On Notice</v>
      </c>
      <c r="BA111" t="e">
        <f ca="1"/>
        <v>#NUM!</v>
      </c>
      <c r="BB111" t="b">
        <f ca="1"/>
        <v>0</v>
      </c>
      <c r="BC111" t="b">
        <f ca="1"/>
        <v>0</v>
      </c>
      <c r="BD111" t="b">
        <f ca="1"/>
        <v>0</v>
      </c>
      <c r="BE111" t="b">
        <f ca="1"/>
        <v>0</v>
      </c>
    </row>
    <row r="112" spans="3:57" x14ac:dyDescent="0.4">
      <c r="C112" s="1">
        <f ca="1"/>
        <v>110</v>
      </c>
      <c r="D112" s="1" t="str">
        <f ca="1"/>
        <v>Unit 7-08-0306</v>
      </c>
      <c r="E112" s="1" t="str">
        <f ca="1"/>
        <v xml:space="preserve">On Notice </v>
      </c>
      <c r="F112" s="1" vm="166">
        <f ca="1"/>
        <v>46114</v>
      </c>
      <c r="G112" s="1" vm="181">
        <f ca="1"/>
        <v>46128</v>
      </c>
      <c r="H112">
        <f ca="1"/>
        <v>-44</v>
      </c>
      <c r="I112" t="e">
        <f ca="1"/>
        <v>#NUM!</v>
      </c>
      <c r="J112" t="str">
        <f ca="1"/>
        <v/>
      </c>
      <c r="K112" t="str">
        <f ca="1"/>
        <v>NOTICE</v>
      </c>
      <c r="L112" t="str">
        <f ca="1"/>
        <v/>
      </c>
      <c r="M112" t="str">
        <f ca="1"/>
        <v>Not Started</v>
      </c>
      <c r="N112" t="str">
        <f ca="1"/>
        <v/>
      </c>
      <c r="O112" t="str">
        <f ca="1"/>
        <v>Not Started</v>
      </c>
      <c r="P112" t="str">
        <f ca="1"/>
        <v/>
      </c>
      <c r="Q112" t="str">
        <f ca="1"/>
        <v>Not Started</v>
      </c>
      <c r="R112" t="str">
        <f ca="1"/>
        <v/>
      </c>
      <c r="S112" t="str">
        <f ca="1"/>
        <v>Not Started</v>
      </c>
      <c r="T112" t="str">
        <f ca="1"/>
        <v/>
      </c>
      <c r="U112" t="str">
        <f ca="1"/>
        <v>Not Started</v>
      </c>
      <c r="V112" t="str">
        <f ca="1"/>
        <v>Brad</v>
      </c>
      <c r="W112" vm="11">
        <f ca="1"/>
        <v>0</v>
      </c>
      <c r="X112" t="str">
        <f ca="1"/>
        <v>No</v>
      </c>
      <c r="Y112" t="str">
        <f ca="1"/>
        <v>7</v>
      </c>
      <c r="Z112" t="str">
        <f ca="1"/>
        <v>08</v>
      </c>
      <c r="AA112" t="str">
        <f ca="1"/>
        <v>0306</v>
      </c>
      <c r="AB112" vm="11">
        <f ca="1"/>
        <v>0</v>
      </c>
      <c r="AC112" t="str">
        <f ca="1"/>
        <v/>
      </c>
      <c r="AD112" t="b">
        <f ca="1"/>
        <v>0</v>
      </c>
      <c r="AE112" t="str">
        <f ca="1"/>
        <v/>
      </c>
      <c r="AF112" t="b">
        <f ca="1"/>
        <v>1</v>
      </c>
      <c r="AG112" t="b">
        <f ca="1"/>
        <v>0</v>
      </c>
      <c r="AH112" t="b">
        <f ca="1"/>
        <v>1</v>
      </c>
      <c r="AI112" t="b">
        <f ca="1"/>
        <v>0</v>
      </c>
      <c r="AJ112" t="b">
        <f ca="1"/>
        <v>0</v>
      </c>
      <c r="AK112" t="b">
        <f ca="1"/>
        <v>1</v>
      </c>
      <c r="AL112" t="b">
        <f ca="1"/>
        <v>1</v>
      </c>
      <c r="AM112" t="b">
        <f ca="1"/>
        <v>0</v>
      </c>
      <c r="AN112">
        <f ca="1"/>
        <v>-32</v>
      </c>
      <c r="AO112" t="str">
        <f ca="1"/>
        <v>Not Started</v>
      </c>
      <c r="AP112">
        <f ca="1"/>
        <v>0</v>
      </c>
      <c r="AQ112" t="str">
        <f ca="1"/>
        <v>Inspection</v>
      </c>
      <c r="AR112" t="str">
        <f ca="1"/>
        <v>Paint</v>
      </c>
      <c r="AS112" t="b">
        <f ca="1"/>
        <v>0</v>
      </c>
      <c r="AT112" t="str">
        <f ca="1"/>
        <v>on notice</v>
      </c>
      <c r="AU112" t="b">
        <f ca="1"/>
        <v>0</v>
      </c>
      <c r="AV112" t="b">
        <f ca="1"/>
        <v>0</v>
      </c>
      <c r="AW112" t="b">
        <f ca="1"/>
        <v>0</v>
      </c>
      <c r="AX112" t="str">
        <f ca="1"/>
        <v>On Notice</v>
      </c>
      <c r="AY112" t="b">
        <f ca="1"/>
        <v>0</v>
      </c>
      <c r="AZ112" t="str">
        <f ca="1"/>
        <v>📋 On Notice</v>
      </c>
      <c r="BA112" t="e">
        <f ca="1"/>
        <v>#NUM!</v>
      </c>
      <c r="BB112" t="b">
        <f ca="1"/>
        <v>0</v>
      </c>
      <c r="BC112" t="b">
        <f ca="1"/>
        <v>0</v>
      </c>
      <c r="BD112" t="b">
        <f ca="1"/>
        <v>0</v>
      </c>
      <c r="BE112" t="b">
        <f ca="1"/>
        <v>0</v>
      </c>
    </row>
    <row r="113" spans="3:57" x14ac:dyDescent="0.4">
      <c r="C113" s="1">
        <f ca="1"/>
        <v>111</v>
      </c>
      <c r="D113" s="1" t="str">
        <f ca="1"/>
        <v>Unit 5-10-0302</v>
      </c>
      <c r="E113" s="1" t="str">
        <f ca="1"/>
        <v xml:space="preserve">On Notice </v>
      </c>
      <c r="F113" s="1" vm="174">
        <f ca="1"/>
        <v>46118</v>
      </c>
      <c r="G113" s="1" vm="171">
        <f ca="1"/>
        <v>46130</v>
      </c>
      <c r="H113">
        <f ca="1"/>
        <v>-48</v>
      </c>
      <c r="I113" t="e">
        <f ca="1"/>
        <v>#NUM!</v>
      </c>
      <c r="J113" t="str">
        <f ca="1"/>
        <v/>
      </c>
      <c r="K113" t="str">
        <f ca="1"/>
        <v>NOTICE</v>
      </c>
      <c r="L113" t="str">
        <f ca="1"/>
        <v/>
      </c>
      <c r="M113" t="str">
        <f ca="1"/>
        <v>Not Started</v>
      </c>
      <c r="N113" t="str">
        <f ca="1"/>
        <v/>
      </c>
      <c r="O113" t="str">
        <f ca="1"/>
        <v>Not Started</v>
      </c>
      <c r="P113" t="str">
        <f ca="1"/>
        <v/>
      </c>
      <c r="Q113" t="str">
        <f ca="1"/>
        <v>Not Started</v>
      </c>
      <c r="R113" t="str">
        <f ca="1"/>
        <v/>
      </c>
      <c r="S113" t="str">
        <f ca="1"/>
        <v>Not Started</v>
      </c>
      <c r="T113" t="str">
        <f ca="1"/>
        <v/>
      </c>
      <c r="U113" t="str">
        <f ca="1"/>
        <v>Not Started</v>
      </c>
      <c r="V113" t="str">
        <f ca="1"/>
        <v>Total</v>
      </c>
      <c r="W113" vm="11">
        <f ca="1"/>
        <v>0</v>
      </c>
      <c r="X113" t="str">
        <f ca="1"/>
        <v>No</v>
      </c>
      <c r="Y113" t="str">
        <f ca="1"/>
        <v>5</v>
      </c>
      <c r="Z113" t="str">
        <f ca="1"/>
        <v>10</v>
      </c>
      <c r="AA113" t="str">
        <f ca="1"/>
        <v>0302</v>
      </c>
      <c r="AB113" vm="11">
        <f ca="1"/>
        <v>0</v>
      </c>
      <c r="AC113" t="str">
        <f ca="1"/>
        <v/>
      </c>
      <c r="AD113" t="b">
        <f ca="1"/>
        <v>0</v>
      </c>
      <c r="AE113" t="str">
        <f ca="1"/>
        <v/>
      </c>
      <c r="AF113" t="b">
        <f ca="1"/>
        <v>0</v>
      </c>
      <c r="AG113" t="b">
        <f ca="1"/>
        <v>0</v>
      </c>
      <c r="AH113" t="b">
        <f ca="1"/>
        <v>1</v>
      </c>
      <c r="AI113" t="b">
        <f ca="1"/>
        <v>0</v>
      </c>
      <c r="AJ113" t="b">
        <f ca="1"/>
        <v>0</v>
      </c>
      <c r="AK113" t="b">
        <f ca="1"/>
        <v>1</v>
      </c>
      <c r="AL113" t="b">
        <f ca="1"/>
        <v>1</v>
      </c>
      <c r="AM113" t="b">
        <f ca="1"/>
        <v>0</v>
      </c>
      <c r="AN113">
        <f ca="1"/>
        <v>-34</v>
      </c>
      <c r="AO113" t="str">
        <f ca="1"/>
        <v>Not Started</v>
      </c>
      <c r="AP113">
        <f ca="1"/>
        <v>0</v>
      </c>
      <c r="AQ113" t="str">
        <f ca="1"/>
        <v>Inspection</v>
      </c>
      <c r="AR113" t="str">
        <f ca="1"/>
        <v>Paint</v>
      </c>
      <c r="AS113" t="b">
        <f ca="1"/>
        <v>0</v>
      </c>
      <c r="AT113" t="str">
        <f ca="1"/>
        <v>on notice</v>
      </c>
      <c r="AU113" t="b">
        <f ca="1"/>
        <v>0</v>
      </c>
      <c r="AV113" t="b">
        <f ca="1"/>
        <v>0</v>
      </c>
      <c r="AW113" t="b">
        <f ca="1"/>
        <v>0</v>
      </c>
      <c r="AX113" t="str">
        <f ca="1"/>
        <v>On Notice</v>
      </c>
      <c r="AY113" t="b">
        <f ca="1"/>
        <v>0</v>
      </c>
      <c r="AZ113" t="str">
        <f ca="1"/>
        <v>📋 On Notice</v>
      </c>
      <c r="BA113" t="e">
        <f ca="1"/>
        <v>#NUM!</v>
      </c>
      <c r="BB113" t="b">
        <f ca="1"/>
        <v>0</v>
      </c>
      <c r="BC113" t="b">
        <f ca="1"/>
        <v>0</v>
      </c>
      <c r="BD113" t="b">
        <f ca="1"/>
        <v>0</v>
      </c>
      <c r="BE113" t="b">
        <f ca="1"/>
        <v>0</v>
      </c>
    </row>
    <row r="114" spans="3:57" x14ac:dyDescent="0.4">
      <c r="C114" s="1">
        <f ca="1"/>
        <v>112</v>
      </c>
      <c r="D114" s="1" t="str">
        <f ca="1"/>
        <v>Unit 8-01-1122</v>
      </c>
      <c r="E114" s="1" t="str">
        <f ca="1"/>
        <v xml:space="preserve">On Notice </v>
      </c>
      <c r="F114" s="1" vm="182">
        <f ca="1"/>
        <v>46119</v>
      </c>
      <c r="G114" s="1" vm="183">
        <f ca="1"/>
        <v>46133</v>
      </c>
      <c r="H114">
        <f ca="1"/>
        <v>-49</v>
      </c>
      <c r="I114" t="e">
        <f ca="1"/>
        <v>#NUM!</v>
      </c>
      <c r="J114" t="str">
        <f ca="1"/>
        <v/>
      </c>
      <c r="K114" t="str">
        <f ca="1"/>
        <v>NOTICE</v>
      </c>
      <c r="L114" t="str">
        <f ca="1"/>
        <v/>
      </c>
      <c r="M114" t="str">
        <f ca="1"/>
        <v>Not Started</v>
      </c>
      <c r="N114" t="str">
        <f ca="1"/>
        <v/>
      </c>
      <c r="O114" t="str">
        <f ca="1"/>
        <v>Not Started</v>
      </c>
      <c r="P114" t="str">
        <f ca="1"/>
        <v/>
      </c>
      <c r="Q114" t="str">
        <f ca="1"/>
        <v>Not Started</v>
      </c>
      <c r="R114" t="str">
        <f ca="1"/>
        <v/>
      </c>
      <c r="S114" t="str">
        <f ca="1"/>
        <v>Not Started</v>
      </c>
      <c r="T114" t="str">
        <f ca="1"/>
        <v/>
      </c>
      <c r="U114" t="str">
        <f ca="1"/>
        <v>Not Started</v>
      </c>
      <c r="V114" t="str">
        <f ca="1"/>
        <v xml:space="preserve">Michael </v>
      </c>
      <c r="W114" vm="11">
        <f ca="1"/>
        <v>0</v>
      </c>
      <c r="X114" t="str">
        <f ca="1"/>
        <v>No</v>
      </c>
      <c r="Y114" t="str">
        <f ca="1"/>
        <v>8</v>
      </c>
      <c r="Z114" t="str">
        <f ca="1"/>
        <v>01</v>
      </c>
      <c r="AA114" t="str">
        <f ca="1"/>
        <v>1122</v>
      </c>
      <c r="AB114" vm="11">
        <f ca="1"/>
        <v>0</v>
      </c>
      <c r="AC114" t="str">
        <f ca="1"/>
        <v/>
      </c>
      <c r="AD114" t="b">
        <f ca="1"/>
        <v>0</v>
      </c>
      <c r="AE114" t="str">
        <f ca="1"/>
        <v/>
      </c>
      <c r="AF114" t="b">
        <f ca="1"/>
        <v>1</v>
      </c>
      <c r="AG114" t="b">
        <f ca="1"/>
        <v>0</v>
      </c>
      <c r="AH114" t="b">
        <f ca="1"/>
        <v>1</v>
      </c>
      <c r="AI114" t="b">
        <f ca="1"/>
        <v>0</v>
      </c>
      <c r="AJ114" t="b">
        <f ca="1"/>
        <v>0</v>
      </c>
      <c r="AK114" t="b">
        <f ca="1"/>
        <v>1</v>
      </c>
      <c r="AL114" t="b">
        <f ca="1"/>
        <v>1</v>
      </c>
      <c r="AM114" t="b">
        <f ca="1"/>
        <v>0</v>
      </c>
      <c r="AN114">
        <f ca="1"/>
        <v>-35</v>
      </c>
      <c r="AO114" t="str">
        <f ca="1"/>
        <v>Not Started</v>
      </c>
      <c r="AP114">
        <f ca="1"/>
        <v>0</v>
      </c>
      <c r="AQ114" t="str">
        <f ca="1"/>
        <v>Inspection</v>
      </c>
      <c r="AR114" t="str">
        <f ca="1"/>
        <v>Paint</v>
      </c>
      <c r="AS114" t="b">
        <f ca="1"/>
        <v>0</v>
      </c>
      <c r="AT114" t="str">
        <f ca="1"/>
        <v>on notice</v>
      </c>
      <c r="AU114" t="b">
        <f ca="1"/>
        <v>0</v>
      </c>
      <c r="AV114" t="b">
        <f ca="1"/>
        <v>0</v>
      </c>
      <c r="AW114" t="b">
        <f ca="1"/>
        <v>0</v>
      </c>
      <c r="AX114" t="str">
        <f ca="1"/>
        <v>On Notice</v>
      </c>
      <c r="AY114" t="b">
        <f ca="1"/>
        <v>0</v>
      </c>
      <c r="AZ114" t="str">
        <f ca="1"/>
        <v>📋 On Notice</v>
      </c>
      <c r="BA114" t="e">
        <f ca="1"/>
        <v>#NUM!</v>
      </c>
      <c r="BB114" t="b">
        <f ca="1"/>
        <v>0</v>
      </c>
      <c r="BC114" t="b">
        <f ca="1"/>
        <v>0</v>
      </c>
      <c r="BD114" t="b">
        <f ca="1"/>
        <v>0</v>
      </c>
      <c r="BE114" t="b">
        <f ca="1"/>
        <v>0</v>
      </c>
    </row>
    <row r="115" spans="3:57" x14ac:dyDescent="0.4">
      <c r="C115" s="1">
        <f ca="1"/>
        <v>113</v>
      </c>
      <c r="D115" s="1" t="str">
        <f ca="1"/>
        <v>Unit 8-01-2010</v>
      </c>
      <c r="E115" s="1" t="str">
        <f ca="1"/>
        <v xml:space="preserve">On Notice </v>
      </c>
      <c r="F115" s="1" vm="182">
        <f ca="1"/>
        <v>46119</v>
      </c>
      <c r="G115" s="1" vm="183">
        <f ca="1"/>
        <v>46133</v>
      </c>
      <c r="H115">
        <f ca="1"/>
        <v>-49</v>
      </c>
      <c r="I115" t="e">
        <f ca="1"/>
        <v>#NUM!</v>
      </c>
      <c r="J115" t="str">
        <f ca="1"/>
        <v/>
      </c>
      <c r="K115" t="str">
        <f ca="1"/>
        <v>NOTICE</v>
      </c>
      <c r="L115" t="str">
        <f ca="1"/>
        <v/>
      </c>
      <c r="M115" t="str">
        <f ca="1"/>
        <v>Not Started</v>
      </c>
      <c r="N115" t="str">
        <f ca="1"/>
        <v/>
      </c>
      <c r="O115" t="str">
        <f ca="1"/>
        <v>Not Started</v>
      </c>
      <c r="P115" t="str">
        <f ca="1"/>
        <v/>
      </c>
      <c r="Q115" t="str">
        <f ca="1"/>
        <v>Not Started</v>
      </c>
      <c r="R115" t="str">
        <f ca="1"/>
        <v/>
      </c>
      <c r="S115" t="str">
        <f ca="1"/>
        <v>Not Started</v>
      </c>
      <c r="T115" t="str">
        <f ca="1"/>
        <v/>
      </c>
      <c r="U115" t="str">
        <f ca="1"/>
        <v>Not Started</v>
      </c>
      <c r="V115" t="str">
        <f ca="1"/>
        <v xml:space="preserve">Michael </v>
      </c>
      <c r="W115" vm="11">
        <f ca="1"/>
        <v>0</v>
      </c>
      <c r="X115" t="str">
        <f ca="1"/>
        <v>No</v>
      </c>
      <c r="Y115" t="str">
        <f ca="1"/>
        <v>8</v>
      </c>
      <c r="Z115" t="str">
        <f ca="1"/>
        <v>01</v>
      </c>
      <c r="AA115" t="str">
        <f ca="1"/>
        <v>2010</v>
      </c>
      <c r="AB115" vm="11">
        <f ca="1"/>
        <v>0</v>
      </c>
      <c r="AC115" t="str">
        <f ca="1"/>
        <v/>
      </c>
      <c r="AD115" t="b">
        <f ca="1"/>
        <v>0</v>
      </c>
      <c r="AE115" t="str">
        <f ca="1"/>
        <v/>
      </c>
      <c r="AF115" t="b">
        <f ca="1"/>
        <v>1</v>
      </c>
      <c r="AG115" t="b">
        <f ca="1"/>
        <v>0</v>
      </c>
      <c r="AH115" t="b">
        <f ca="1"/>
        <v>1</v>
      </c>
      <c r="AI115" t="b">
        <f ca="1"/>
        <v>0</v>
      </c>
      <c r="AJ115" t="b">
        <f ca="1"/>
        <v>0</v>
      </c>
      <c r="AK115" t="b">
        <f ca="1"/>
        <v>1</v>
      </c>
      <c r="AL115" t="b">
        <f ca="1"/>
        <v>1</v>
      </c>
      <c r="AM115" t="b">
        <f ca="1"/>
        <v>0</v>
      </c>
      <c r="AN115">
        <f ca="1"/>
        <v>-35</v>
      </c>
      <c r="AO115" t="str">
        <f ca="1"/>
        <v>Not Started</v>
      </c>
      <c r="AP115">
        <f ca="1"/>
        <v>0</v>
      </c>
      <c r="AQ115" t="str">
        <f ca="1"/>
        <v>Inspection</v>
      </c>
      <c r="AR115" t="str">
        <f ca="1"/>
        <v>Paint</v>
      </c>
      <c r="AS115" t="b">
        <f ca="1"/>
        <v>0</v>
      </c>
      <c r="AT115" t="str">
        <f ca="1"/>
        <v>on notice</v>
      </c>
      <c r="AU115" t="b">
        <f ca="1"/>
        <v>0</v>
      </c>
      <c r="AV115" t="b">
        <f ca="1"/>
        <v>0</v>
      </c>
      <c r="AW115" t="b">
        <f ca="1"/>
        <v>0</v>
      </c>
      <c r="AX115" t="str">
        <f ca="1"/>
        <v>On Notice</v>
      </c>
      <c r="AY115" t="b">
        <f ca="1"/>
        <v>0</v>
      </c>
      <c r="AZ115" t="str">
        <f ca="1"/>
        <v>📋 On Notice</v>
      </c>
      <c r="BA115" t="e">
        <f ca="1"/>
        <v>#NUM!</v>
      </c>
      <c r="BB115" t="b">
        <f ca="1"/>
        <v>0</v>
      </c>
      <c r="BC115" t="b">
        <f ca="1"/>
        <v>0</v>
      </c>
      <c r="BD115" t="b">
        <f ca="1"/>
        <v>0</v>
      </c>
      <c r="BE115" t="b">
        <f ca="1"/>
        <v>0</v>
      </c>
    </row>
    <row r="116" spans="3:57" x14ac:dyDescent="0.4">
      <c r="C116" s="1">
        <f ca="1"/>
        <v>114</v>
      </c>
      <c r="D116" s="1" t="str">
        <f ca="1"/>
        <v>Unit 8-01-2053</v>
      </c>
      <c r="E116" s="1" t="str">
        <f ca="1"/>
        <v xml:space="preserve">On Notice </v>
      </c>
      <c r="F116" s="1" vm="182">
        <f ca="1"/>
        <v>46119</v>
      </c>
      <c r="G116" s="1" vm="183">
        <f ca="1"/>
        <v>46133</v>
      </c>
      <c r="H116">
        <f ca="1"/>
        <v>-49</v>
      </c>
      <c r="I116" t="e">
        <f ca="1"/>
        <v>#NUM!</v>
      </c>
      <c r="J116" t="str">
        <f ca="1"/>
        <v/>
      </c>
      <c r="K116" t="str">
        <f ca="1"/>
        <v>NOTICE</v>
      </c>
      <c r="L116" t="str">
        <f ca="1"/>
        <v/>
      </c>
      <c r="M116" t="str">
        <f ca="1"/>
        <v>Not Started</v>
      </c>
      <c r="N116" t="str">
        <f ca="1"/>
        <v/>
      </c>
      <c r="O116" t="str">
        <f ca="1"/>
        <v>Not Started</v>
      </c>
      <c r="P116" t="str">
        <f ca="1"/>
        <v/>
      </c>
      <c r="Q116" t="str">
        <f ca="1"/>
        <v>Not Started</v>
      </c>
      <c r="R116" t="str">
        <f ca="1"/>
        <v/>
      </c>
      <c r="S116" t="str">
        <f ca="1"/>
        <v>Not Started</v>
      </c>
      <c r="T116" t="str">
        <f ca="1"/>
        <v/>
      </c>
      <c r="U116" t="str">
        <f ca="1"/>
        <v>Not Started</v>
      </c>
      <c r="V116" t="str">
        <f ca="1"/>
        <v xml:space="preserve">Michael </v>
      </c>
      <c r="W116" vm="11">
        <f ca="1"/>
        <v>0</v>
      </c>
      <c r="X116" t="str">
        <f ca="1"/>
        <v>No</v>
      </c>
      <c r="Y116" t="str">
        <f ca="1"/>
        <v>8</v>
      </c>
      <c r="Z116" t="str">
        <f ca="1"/>
        <v>01</v>
      </c>
      <c r="AA116" t="str">
        <f ca="1"/>
        <v>2053</v>
      </c>
      <c r="AB116" vm="11">
        <f ca="1"/>
        <v>0</v>
      </c>
      <c r="AC116" t="str">
        <f ca="1"/>
        <v/>
      </c>
      <c r="AD116" t="b">
        <f ca="1"/>
        <v>0</v>
      </c>
      <c r="AE116" t="str">
        <f ca="1"/>
        <v/>
      </c>
      <c r="AF116" t="b">
        <f ca="1"/>
        <v>1</v>
      </c>
      <c r="AG116" t="b">
        <f ca="1"/>
        <v>0</v>
      </c>
      <c r="AH116" t="b">
        <f ca="1"/>
        <v>1</v>
      </c>
      <c r="AI116" t="b">
        <f ca="1"/>
        <v>0</v>
      </c>
      <c r="AJ116" t="b">
        <f ca="1"/>
        <v>0</v>
      </c>
      <c r="AK116" t="b">
        <f ca="1"/>
        <v>1</v>
      </c>
      <c r="AL116" t="b">
        <f ca="1"/>
        <v>1</v>
      </c>
      <c r="AM116" t="b">
        <f ca="1"/>
        <v>0</v>
      </c>
      <c r="AN116">
        <f ca="1"/>
        <v>-35</v>
      </c>
      <c r="AO116" t="str">
        <f ca="1"/>
        <v>Not Started</v>
      </c>
      <c r="AP116">
        <f ca="1"/>
        <v>0</v>
      </c>
      <c r="AQ116" t="str">
        <f ca="1"/>
        <v>Inspection</v>
      </c>
      <c r="AR116" t="str">
        <f ca="1"/>
        <v>Paint</v>
      </c>
      <c r="AS116" t="b">
        <f ca="1"/>
        <v>0</v>
      </c>
      <c r="AT116" t="str">
        <f ca="1"/>
        <v>on notice</v>
      </c>
      <c r="AU116" t="b">
        <f ca="1"/>
        <v>0</v>
      </c>
      <c r="AV116" t="b">
        <f ca="1"/>
        <v>0</v>
      </c>
      <c r="AW116" t="b">
        <f ca="1"/>
        <v>0</v>
      </c>
      <c r="AX116" t="str">
        <f ca="1"/>
        <v>On Notice</v>
      </c>
      <c r="AY116" t="b">
        <f ca="1"/>
        <v>0</v>
      </c>
      <c r="AZ116" t="str">
        <f ca="1"/>
        <v>📋 On Notice</v>
      </c>
      <c r="BA116" t="e">
        <f ca="1"/>
        <v>#NUM!</v>
      </c>
      <c r="BB116" t="b">
        <f ca="1"/>
        <v>0</v>
      </c>
      <c r="BC116" t="b">
        <f ca="1"/>
        <v>0</v>
      </c>
      <c r="BD116" t="b">
        <f ca="1"/>
        <v>0</v>
      </c>
      <c r="BE116" t="b">
        <f ca="1"/>
        <v>0</v>
      </c>
    </row>
    <row r="117" spans="3:57" x14ac:dyDescent="0.4">
      <c r="C117" s="1">
        <f ca="1"/>
        <v>115</v>
      </c>
      <c r="D117" s="1" t="str">
        <f ca="1"/>
        <v>Unit 5-18-0413</v>
      </c>
      <c r="E117" s="1" t="str">
        <f ca="1"/>
        <v xml:space="preserve">On Notice </v>
      </c>
      <c r="F117" s="1" vm="175">
        <f ca="1"/>
        <v>46122</v>
      </c>
      <c r="G117" s="1" vm="184">
        <f ca="1"/>
        <v>46136</v>
      </c>
      <c r="H117">
        <f ca="1"/>
        <v>-52</v>
      </c>
      <c r="I117" t="e">
        <f ca="1"/>
        <v>#NUM!</v>
      </c>
      <c r="J117" t="str">
        <f ca="1"/>
        <v/>
      </c>
      <c r="K117" t="str">
        <f ca="1"/>
        <v>NOTICE</v>
      </c>
      <c r="L117" t="str">
        <f ca="1"/>
        <v/>
      </c>
      <c r="M117" t="str">
        <f ca="1"/>
        <v>Not Started</v>
      </c>
      <c r="N117" t="str">
        <f ca="1"/>
        <v/>
      </c>
      <c r="O117" t="str">
        <f ca="1"/>
        <v>Not Started</v>
      </c>
      <c r="P117" t="str">
        <f ca="1"/>
        <v/>
      </c>
      <c r="Q117" t="str">
        <f ca="1"/>
        <v>Not Started</v>
      </c>
      <c r="R117" t="str">
        <f ca="1"/>
        <v/>
      </c>
      <c r="S117" t="str">
        <f ca="1"/>
        <v>Not Started</v>
      </c>
      <c r="T117" t="str">
        <f ca="1"/>
        <v/>
      </c>
      <c r="U117" t="str">
        <f ca="1"/>
        <v>Not Started</v>
      </c>
      <c r="V117" t="str">
        <f ca="1"/>
        <v>Total</v>
      </c>
      <c r="W117" vm="11">
        <f ca="1"/>
        <v>0</v>
      </c>
      <c r="X117" t="str">
        <f ca="1"/>
        <v>No</v>
      </c>
      <c r="Y117" t="str">
        <f ca="1"/>
        <v>5</v>
      </c>
      <c r="Z117" t="str">
        <f ca="1"/>
        <v>18</v>
      </c>
      <c r="AA117" t="str">
        <f ca="1"/>
        <v>0413</v>
      </c>
      <c r="AB117" vm="11">
        <f ca="1"/>
        <v>0</v>
      </c>
      <c r="AC117" t="str">
        <f ca="1"/>
        <v/>
      </c>
      <c r="AD117" t="b">
        <f ca="1"/>
        <v>0</v>
      </c>
      <c r="AE117" t="str">
        <f ca="1"/>
        <v/>
      </c>
      <c r="AF117" t="b">
        <f ca="1"/>
        <v>0</v>
      </c>
      <c r="AG117" t="b">
        <f ca="1"/>
        <v>0</v>
      </c>
      <c r="AH117" t="b">
        <f ca="1"/>
        <v>1</v>
      </c>
      <c r="AI117" t="b">
        <f ca="1"/>
        <v>0</v>
      </c>
      <c r="AJ117" t="b">
        <f ca="1"/>
        <v>0</v>
      </c>
      <c r="AK117" t="b">
        <f ca="1"/>
        <v>1</v>
      </c>
      <c r="AL117" t="b">
        <f ca="1"/>
        <v>1</v>
      </c>
      <c r="AM117" t="b">
        <f ca="1"/>
        <v>0</v>
      </c>
      <c r="AN117">
        <f ca="1"/>
        <v>-38</v>
      </c>
      <c r="AO117" t="str">
        <f ca="1"/>
        <v>Not Started</v>
      </c>
      <c r="AP117">
        <f ca="1"/>
        <v>0</v>
      </c>
      <c r="AQ117" t="str">
        <f ca="1"/>
        <v>Inspection</v>
      </c>
      <c r="AR117" t="str">
        <f ca="1"/>
        <v>Paint</v>
      </c>
      <c r="AS117" t="b">
        <f ca="1"/>
        <v>0</v>
      </c>
      <c r="AT117" t="str">
        <f ca="1"/>
        <v>on notice</v>
      </c>
      <c r="AU117" t="b">
        <f ca="1"/>
        <v>0</v>
      </c>
      <c r="AV117" t="b">
        <f ca="1"/>
        <v>0</v>
      </c>
      <c r="AW117" t="b">
        <f ca="1"/>
        <v>0</v>
      </c>
      <c r="AX117" t="str">
        <f ca="1"/>
        <v>On Notice</v>
      </c>
      <c r="AY117" t="b">
        <f ca="1"/>
        <v>0</v>
      </c>
      <c r="AZ117" t="str">
        <f ca="1"/>
        <v>📋 On Notice</v>
      </c>
      <c r="BA117" t="e">
        <f ca="1"/>
        <v>#NUM!</v>
      </c>
      <c r="BB117" t="b">
        <f ca="1"/>
        <v>0</v>
      </c>
      <c r="BC117" t="b">
        <f ca="1"/>
        <v>0</v>
      </c>
      <c r="BD117" t="b">
        <f ca="1"/>
        <v>0</v>
      </c>
      <c r="BE117" t="b">
        <f ca="1"/>
        <v>0</v>
      </c>
    </row>
    <row r="118" spans="3:57" x14ac:dyDescent="0.4">
      <c r="C118" s="1">
        <f ca="1"/>
        <v>116</v>
      </c>
      <c r="D118" s="1" t="str">
        <f ca="1"/>
        <v>Unit 7-03-0308</v>
      </c>
      <c r="E118" s="1" t="str">
        <f ca="1"/>
        <v xml:space="preserve">On Notice </v>
      </c>
      <c r="F118" s="1" vm="175">
        <f ca="1"/>
        <v>46122</v>
      </c>
      <c r="G118" s="1" vm="184">
        <f ca="1"/>
        <v>46136</v>
      </c>
      <c r="H118">
        <f ca="1"/>
        <v>-52</v>
      </c>
      <c r="I118" t="e">
        <f ca="1"/>
        <v>#NUM!</v>
      </c>
      <c r="J118" t="str">
        <f ca="1"/>
        <v/>
      </c>
      <c r="K118" t="str">
        <f ca="1"/>
        <v>NOTICE</v>
      </c>
      <c r="L118" t="str">
        <f ca="1"/>
        <v/>
      </c>
      <c r="M118" t="str">
        <f ca="1"/>
        <v>Not Started</v>
      </c>
      <c r="N118" t="str">
        <f ca="1"/>
        <v/>
      </c>
      <c r="O118" t="str">
        <f ca="1"/>
        <v>Not Started</v>
      </c>
      <c r="P118" t="str">
        <f ca="1"/>
        <v/>
      </c>
      <c r="Q118" t="str">
        <f ca="1"/>
        <v>Not Started</v>
      </c>
      <c r="R118" t="str">
        <f ca="1"/>
        <v/>
      </c>
      <c r="S118" t="str">
        <f ca="1"/>
        <v>Not Started</v>
      </c>
      <c r="T118" t="str">
        <f ca="1"/>
        <v/>
      </c>
      <c r="U118" t="str">
        <f ca="1"/>
        <v>Not Started</v>
      </c>
      <c r="V118" t="str">
        <f ca="1"/>
        <v>Brad</v>
      </c>
      <c r="W118" vm="11">
        <f ca="1"/>
        <v>0</v>
      </c>
      <c r="X118" t="str">
        <f ca="1"/>
        <v>No</v>
      </c>
      <c r="Y118" t="str">
        <f ca="1"/>
        <v>7</v>
      </c>
      <c r="Z118" t="str">
        <f ca="1"/>
        <v>03</v>
      </c>
      <c r="AA118" t="str">
        <f ca="1"/>
        <v>0308</v>
      </c>
      <c r="AB118" vm="11">
        <f ca="1"/>
        <v>0</v>
      </c>
      <c r="AC118" t="str">
        <f ca="1"/>
        <v/>
      </c>
      <c r="AD118" t="b">
        <f ca="1"/>
        <v>0</v>
      </c>
      <c r="AE118" t="str">
        <f ca="1"/>
        <v/>
      </c>
      <c r="AF118" t="b">
        <f ca="1"/>
        <v>1</v>
      </c>
      <c r="AG118" t="b">
        <f ca="1"/>
        <v>0</v>
      </c>
      <c r="AH118" t="b">
        <f ca="1"/>
        <v>1</v>
      </c>
      <c r="AI118" t="b">
        <f ca="1"/>
        <v>0</v>
      </c>
      <c r="AJ118" t="b">
        <f ca="1"/>
        <v>0</v>
      </c>
      <c r="AK118" t="b">
        <f ca="1"/>
        <v>1</v>
      </c>
      <c r="AL118" t="b">
        <f ca="1"/>
        <v>1</v>
      </c>
      <c r="AM118" t="b">
        <f ca="1"/>
        <v>0</v>
      </c>
      <c r="AN118">
        <f ca="1"/>
        <v>-38</v>
      </c>
      <c r="AO118" t="str">
        <f ca="1"/>
        <v>Not Started</v>
      </c>
      <c r="AP118">
        <f ca="1"/>
        <v>0</v>
      </c>
      <c r="AQ118" t="str">
        <f ca="1"/>
        <v>Inspection</v>
      </c>
      <c r="AR118" t="str">
        <f ca="1"/>
        <v>Paint</v>
      </c>
      <c r="AS118" t="b">
        <f ca="1"/>
        <v>0</v>
      </c>
      <c r="AT118" t="str">
        <f ca="1"/>
        <v>on notice</v>
      </c>
      <c r="AU118" t="b">
        <f ca="1"/>
        <v>0</v>
      </c>
      <c r="AV118" t="b">
        <f ca="1"/>
        <v>0</v>
      </c>
      <c r="AW118" t="b">
        <f ca="1"/>
        <v>0</v>
      </c>
      <c r="AX118" t="str">
        <f ca="1"/>
        <v>On Notice</v>
      </c>
      <c r="AY118" t="b">
        <f ca="1"/>
        <v>0</v>
      </c>
      <c r="AZ118" t="str">
        <f ca="1"/>
        <v>📋 On Notice</v>
      </c>
      <c r="BA118" t="e">
        <f ca="1"/>
        <v>#NUM!</v>
      </c>
      <c r="BB118" t="b">
        <f ca="1"/>
        <v>0</v>
      </c>
      <c r="BC118" t="b">
        <f ca="1"/>
        <v>0</v>
      </c>
      <c r="BD118" t="b">
        <f ca="1"/>
        <v>0</v>
      </c>
      <c r="BE118" t="b">
        <f ca="1"/>
        <v>0</v>
      </c>
    </row>
    <row r="119" spans="3:57" x14ac:dyDescent="0.4">
      <c r="C119" s="1">
        <f ca="1"/>
        <v>117</v>
      </c>
      <c r="D119" s="1" t="str">
        <f ca="1"/>
        <v>Unit 8-01-1119</v>
      </c>
      <c r="E119" s="1" t="str">
        <f ca="1"/>
        <v xml:space="preserve">On Notice </v>
      </c>
      <c r="F119" s="1" vm="168">
        <f ca="1"/>
        <v>46123</v>
      </c>
      <c r="G119" s="1" vm="169">
        <f ca="1"/>
        <v>46137</v>
      </c>
      <c r="H119">
        <f ca="1"/>
        <v>-53</v>
      </c>
      <c r="I119" t="e">
        <f ca="1"/>
        <v>#NUM!</v>
      </c>
      <c r="J119" t="str">
        <f ca="1"/>
        <v/>
      </c>
      <c r="K119" t="str">
        <f ca="1"/>
        <v>NOTICE</v>
      </c>
      <c r="L119" t="str">
        <f ca="1"/>
        <v/>
      </c>
      <c r="M119" t="str">
        <f ca="1"/>
        <v>Not Started</v>
      </c>
      <c r="N119" t="str">
        <f ca="1"/>
        <v/>
      </c>
      <c r="O119" t="str">
        <f ca="1"/>
        <v>Not Started</v>
      </c>
      <c r="P119" t="str">
        <f ca="1"/>
        <v/>
      </c>
      <c r="Q119" t="str">
        <f ca="1"/>
        <v>Not Started</v>
      </c>
      <c r="R119" t="str">
        <f ca="1"/>
        <v/>
      </c>
      <c r="S119" t="str">
        <f ca="1"/>
        <v>Not Started</v>
      </c>
      <c r="T119" t="str">
        <f ca="1"/>
        <v/>
      </c>
      <c r="U119" t="str">
        <f ca="1"/>
        <v>Not Started</v>
      </c>
      <c r="V119" t="str">
        <f ca="1"/>
        <v xml:space="preserve">Michael </v>
      </c>
      <c r="W119" vm="11">
        <f ca="1"/>
        <v>0</v>
      </c>
      <c r="X119" t="str">
        <f ca="1"/>
        <v>No</v>
      </c>
      <c r="Y119" t="str">
        <f ca="1"/>
        <v>8</v>
      </c>
      <c r="Z119" t="str">
        <f ca="1"/>
        <v>01</v>
      </c>
      <c r="AA119" t="str">
        <f ca="1"/>
        <v>1119</v>
      </c>
      <c r="AB119" vm="11">
        <f ca="1"/>
        <v>0</v>
      </c>
      <c r="AC119" t="str">
        <f ca="1"/>
        <v/>
      </c>
      <c r="AD119" t="b">
        <f ca="1"/>
        <v>0</v>
      </c>
      <c r="AE119" t="str">
        <f ca="1"/>
        <v/>
      </c>
      <c r="AF119" t="b">
        <f ca="1"/>
        <v>1</v>
      </c>
      <c r="AG119" t="b">
        <f ca="1"/>
        <v>0</v>
      </c>
      <c r="AH119" t="b">
        <f ca="1"/>
        <v>1</v>
      </c>
      <c r="AI119" t="b">
        <f ca="1"/>
        <v>0</v>
      </c>
      <c r="AJ119" t="b">
        <f ca="1"/>
        <v>0</v>
      </c>
      <c r="AK119" t="b">
        <f ca="1"/>
        <v>1</v>
      </c>
      <c r="AL119" t="b">
        <f ca="1"/>
        <v>1</v>
      </c>
      <c r="AM119" t="b">
        <f ca="1"/>
        <v>0</v>
      </c>
      <c r="AN119">
        <f ca="1"/>
        <v>-38</v>
      </c>
      <c r="AO119" t="str">
        <f ca="1"/>
        <v>Not Started</v>
      </c>
      <c r="AP119">
        <f ca="1"/>
        <v>0</v>
      </c>
      <c r="AQ119" t="str">
        <f ca="1"/>
        <v>Inspection</v>
      </c>
      <c r="AR119" t="str">
        <f ca="1"/>
        <v>Paint</v>
      </c>
      <c r="AS119" t="b">
        <f ca="1"/>
        <v>0</v>
      </c>
      <c r="AT119" t="str">
        <f ca="1"/>
        <v>on notice</v>
      </c>
      <c r="AU119" t="b">
        <f ca="1"/>
        <v>0</v>
      </c>
      <c r="AV119" t="b">
        <f ca="1"/>
        <v>0</v>
      </c>
      <c r="AW119" t="b">
        <f ca="1"/>
        <v>0</v>
      </c>
      <c r="AX119" t="str">
        <f ca="1"/>
        <v>On Notice</v>
      </c>
      <c r="AY119" t="b">
        <f ca="1"/>
        <v>0</v>
      </c>
      <c r="AZ119" t="str">
        <f ca="1"/>
        <v>📋 On Notice</v>
      </c>
      <c r="BA119" t="e">
        <f ca="1"/>
        <v>#NUM!</v>
      </c>
      <c r="BB119" t="b">
        <f ca="1"/>
        <v>0</v>
      </c>
      <c r="BC119" t="b">
        <f ca="1"/>
        <v>0</v>
      </c>
      <c r="BD119" t="b">
        <f ca="1"/>
        <v>0</v>
      </c>
      <c r="BE119" t="b">
        <f ca="1"/>
        <v>0</v>
      </c>
    </row>
    <row r="120" spans="3:57" x14ac:dyDescent="0.4">
      <c r="C120" s="1">
        <f ca="1"/>
        <v>118</v>
      </c>
      <c r="D120" s="1" t="str">
        <f ca="1"/>
        <v>Unit 5-15-0205</v>
      </c>
      <c r="E120" s="1" t="str">
        <f ca="1"/>
        <v xml:space="preserve">On Notice </v>
      </c>
      <c r="F120" s="1" vm="179">
        <f ca="1"/>
        <v>46126</v>
      </c>
      <c r="G120" s="1" vm="185">
        <f ca="1"/>
        <v>46140</v>
      </c>
      <c r="H120">
        <f ca="1"/>
        <v>-56</v>
      </c>
      <c r="I120" t="e">
        <f ca="1"/>
        <v>#NUM!</v>
      </c>
      <c r="J120" t="str">
        <f ca="1"/>
        <v/>
      </c>
      <c r="K120" t="str">
        <f ca="1"/>
        <v>NOTICE</v>
      </c>
      <c r="L120" t="str">
        <f ca="1"/>
        <v/>
      </c>
      <c r="M120" t="str">
        <f ca="1"/>
        <v>Not Started</v>
      </c>
      <c r="N120" t="str">
        <f ca="1"/>
        <v/>
      </c>
      <c r="O120" t="str">
        <f ca="1"/>
        <v>Not Started</v>
      </c>
      <c r="P120" t="str">
        <f ca="1"/>
        <v/>
      </c>
      <c r="Q120" t="str">
        <f ca="1"/>
        <v>Not Started</v>
      </c>
      <c r="R120" t="str">
        <f ca="1"/>
        <v/>
      </c>
      <c r="S120" t="str">
        <f ca="1"/>
        <v>Not Started</v>
      </c>
      <c r="T120" t="str">
        <f ca="1"/>
        <v/>
      </c>
      <c r="U120" t="str">
        <f ca="1"/>
        <v>Not Started</v>
      </c>
      <c r="V120" t="str">
        <f ca="1"/>
        <v>Total</v>
      </c>
      <c r="W120" vm="11">
        <f ca="1"/>
        <v>0</v>
      </c>
      <c r="X120" t="str">
        <f ca="1"/>
        <v>No</v>
      </c>
      <c r="Y120" t="str">
        <f ca="1"/>
        <v>5</v>
      </c>
      <c r="Z120" t="str">
        <f ca="1"/>
        <v>15</v>
      </c>
      <c r="AA120" t="str">
        <f ca="1"/>
        <v>0205</v>
      </c>
      <c r="AB120" vm="11">
        <f ca="1"/>
        <v>0</v>
      </c>
      <c r="AC120" t="str">
        <f ca="1"/>
        <v/>
      </c>
      <c r="AD120" t="b">
        <f ca="1"/>
        <v>0</v>
      </c>
      <c r="AE120" t="str">
        <f ca="1"/>
        <v/>
      </c>
      <c r="AF120" t="b">
        <f ca="1"/>
        <v>0</v>
      </c>
      <c r="AG120" t="b">
        <f ca="1"/>
        <v>0</v>
      </c>
      <c r="AH120" t="b">
        <f ca="1"/>
        <v>1</v>
      </c>
      <c r="AI120" t="b">
        <f ca="1"/>
        <v>0</v>
      </c>
      <c r="AJ120" t="b">
        <f ca="1"/>
        <v>0</v>
      </c>
      <c r="AK120" t="b">
        <f ca="1"/>
        <v>1</v>
      </c>
      <c r="AL120" t="b">
        <f ca="1"/>
        <v>1</v>
      </c>
      <c r="AM120" t="b">
        <f ca="1"/>
        <v>0</v>
      </c>
      <c r="AN120">
        <f ca="1"/>
        <v>-40</v>
      </c>
      <c r="AO120" t="str">
        <f ca="1"/>
        <v>Not Started</v>
      </c>
      <c r="AP120">
        <f ca="1"/>
        <v>0</v>
      </c>
      <c r="AQ120" t="str">
        <f ca="1"/>
        <v>Inspection</v>
      </c>
      <c r="AR120" t="str">
        <f ca="1"/>
        <v>Paint</v>
      </c>
      <c r="AS120" t="b">
        <f ca="1"/>
        <v>0</v>
      </c>
      <c r="AT120" t="str">
        <f ca="1"/>
        <v>on notice</v>
      </c>
      <c r="AU120" t="b">
        <f ca="1"/>
        <v>0</v>
      </c>
      <c r="AV120" t="b">
        <f ca="1"/>
        <v>0</v>
      </c>
      <c r="AW120" t="b">
        <f ca="1"/>
        <v>0</v>
      </c>
      <c r="AX120" t="str">
        <f ca="1"/>
        <v>On Notice</v>
      </c>
      <c r="AY120" t="b">
        <f ca="1"/>
        <v>0</v>
      </c>
      <c r="AZ120" t="str">
        <f ca="1"/>
        <v>📋 On Notice</v>
      </c>
      <c r="BA120" t="e">
        <f ca="1"/>
        <v>#NUM!</v>
      </c>
      <c r="BB120" t="b">
        <f ca="1"/>
        <v>0</v>
      </c>
      <c r="BC120" t="b">
        <f ca="1"/>
        <v>0</v>
      </c>
      <c r="BD120" t="b">
        <f ca="1"/>
        <v>0</v>
      </c>
      <c r="BE120" t="b">
        <f ca="1"/>
        <v>0</v>
      </c>
    </row>
    <row r="121" spans="3:57" x14ac:dyDescent="0.4">
      <c r="C121" s="1">
        <f ca="1"/>
        <v>119</v>
      </c>
      <c r="D121" s="1" t="str">
        <f ca="1"/>
        <v>Unit 5-17-0209</v>
      </c>
      <c r="E121" s="1" t="str">
        <f ca="1"/>
        <v xml:space="preserve">On Notice </v>
      </c>
      <c r="F121" s="1" vm="179">
        <f ca="1"/>
        <v>46126</v>
      </c>
      <c r="G121" s="1" vm="185">
        <f ca="1"/>
        <v>46140</v>
      </c>
      <c r="H121">
        <f ca="1"/>
        <v>-56</v>
      </c>
      <c r="I121" t="e">
        <f ca="1"/>
        <v>#NUM!</v>
      </c>
      <c r="J121" t="str">
        <f ca="1"/>
        <v/>
      </c>
      <c r="K121" t="str">
        <f ca="1"/>
        <v>NOTICE</v>
      </c>
      <c r="L121" t="str">
        <f ca="1"/>
        <v/>
      </c>
      <c r="M121" t="str">
        <f ca="1"/>
        <v>Not Started</v>
      </c>
      <c r="N121" t="str">
        <f ca="1"/>
        <v/>
      </c>
      <c r="O121" t="str">
        <f ca="1"/>
        <v>Not Started</v>
      </c>
      <c r="P121" t="str">
        <f ca="1"/>
        <v/>
      </c>
      <c r="Q121" t="str">
        <f ca="1"/>
        <v>Not Started</v>
      </c>
      <c r="R121" t="str">
        <f ca="1"/>
        <v/>
      </c>
      <c r="S121" t="str">
        <f ca="1"/>
        <v>Not Started</v>
      </c>
      <c r="T121" t="str">
        <f ca="1"/>
        <v/>
      </c>
      <c r="U121" t="str">
        <f ca="1"/>
        <v>Not Started</v>
      </c>
      <c r="V121" t="str">
        <f ca="1"/>
        <v>Total</v>
      </c>
      <c r="W121" vm="11">
        <f ca="1"/>
        <v>0</v>
      </c>
      <c r="X121" t="str">
        <f ca="1"/>
        <v>No</v>
      </c>
      <c r="Y121" t="str">
        <f ca="1"/>
        <v>5</v>
      </c>
      <c r="Z121" t="str">
        <f ca="1"/>
        <v>17</v>
      </c>
      <c r="AA121" t="str">
        <f ca="1"/>
        <v>0209</v>
      </c>
      <c r="AB121" vm="11">
        <f ca="1"/>
        <v>0</v>
      </c>
      <c r="AC121" t="str">
        <f ca="1"/>
        <v/>
      </c>
      <c r="AD121" t="b">
        <f ca="1"/>
        <v>0</v>
      </c>
      <c r="AE121" t="str">
        <f ca="1"/>
        <v/>
      </c>
      <c r="AF121" t="b">
        <f ca="1"/>
        <v>0</v>
      </c>
      <c r="AG121" t="b">
        <f ca="1"/>
        <v>0</v>
      </c>
      <c r="AH121" t="b">
        <f ca="1"/>
        <v>1</v>
      </c>
      <c r="AI121" t="b">
        <f ca="1"/>
        <v>0</v>
      </c>
      <c r="AJ121" t="b">
        <f ca="1"/>
        <v>0</v>
      </c>
      <c r="AK121" t="b">
        <f ca="1"/>
        <v>1</v>
      </c>
      <c r="AL121" t="b">
        <f ca="1"/>
        <v>1</v>
      </c>
      <c r="AM121" t="b">
        <f ca="1"/>
        <v>0</v>
      </c>
      <c r="AN121">
        <f ca="1"/>
        <v>-40</v>
      </c>
      <c r="AO121" t="str">
        <f ca="1"/>
        <v>Not Started</v>
      </c>
      <c r="AP121">
        <f ca="1"/>
        <v>0</v>
      </c>
      <c r="AQ121" t="str">
        <f ca="1"/>
        <v>Inspection</v>
      </c>
      <c r="AR121" t="str">
        <f ca="1"/>
        <v>Paint</v>
      </c>
      <c r="AS121" t="b">
        <f ca="1"/>
        <v>0</v>
      </c>
      <c r="AT121" t="str">
        <f ca="1"/>
        <v>on notice</v>
      </c>
      <c r="AU121" t="b">
        <f ca="1"/>
        <v>0</v>
      </c>
      <c r="AV121" t="b">
        <f ca="1"/>
        <v>0</v>
      </c>
      <c r="AW121" t="b">
        <f ca="1"/>
        <v>0</v>
      </c>
      <c r="AX121" t="str">
        <f ca="1"/>
        <v>On Notice</v>
      </c>
      <c r="AY121" t="b">
        <f ca="1"/>
        <v>0</v>
      </c>
      <c r="AZ121" t="str">
        <f ca="1"/>
        <v>📋 On Notice</v>
      </c>
      <c r="BA121" t="e">
        <f ca="1"/>
        <v>#NUM!</v>
      </c>
      <c r="BB121" t="b">
        <f ca="1"/>
        <v>0</v>
      </c>
      <c r="BC121" t="b">
        <f ca="1"/>
        <v>0</v>
      </c>
      <c r="BD121" t="b">
        <f ca="1"/>
        <v>0</v>
      </c>
      <c r="BE121" t="b">
        <f ca="1"/>
        <v>0</v>
      </c>
    </row>
    <row r="122" spans="3:57" x14ac:dyDescent="0.4">
      <c r="C122" s="1">
        <f ca="1"/>
        <v>120</v>
      </c>
      <c r="D122" s="1" t="str">
        <f ca="1"/>
        <v>Unit 8-01-4110</v>
      </c>
      <c r="E122" s="1" t="str">
        <f ca="1"/>
        <v xml:space="preserve">On Notice </v>
      </c>
      <c r="F122" s="1" vm="179">
        <f ca="1"/>
        <v>46126</v>
      </c>
      <c r="G122" s="1" vm="185">
        <f ca="1"/>
        <v>46140</v>
      </c>
      <c r="H122">
        <f ca="1"/>
        <v>-56</v>
      </c>
      <c r="I122" t="e">
        <f ca="1"/>
        <v>#NUM!</v>
      </c>
      <c r="J122" t="str">
        <f ca="1"/>
        <v/>
      </c>
      <c r="K122" t="str">
        <f ca="1"/>
        <v>NOTICE</v>
      </c>
      <c r="L122" t="str">
        <f ca="1"/>
        <v/>
      </c>
      <c r="M122" t="str">
        <f ca="1"/>
        <v>Not Started</v>
      </c>
      <c r="N122" t="str">
        <f ca="1"/>
        <v/>
      </c>
      <c r="O122" t="str">
        <f ca="1"/>
        <v>Not Started</v>
      </c>
      <c r="P122" t="str">
        <f ca="1"/>
        <v/>
      </c>
      <c r="Q122" t="str">
        <f ca="1"/>
        <v>Not Started</v>
      </c>
      <c r="R122" t="str">
        <f ca="1"/>
        <v/>
      </c>
      <c r="S122" t="str">
        <f ca="1"/>
        <v>Not Started</v>
      </c>
      <c r="T122" t="str">
        <f ca="1"/>
        <v/>
      </c>
      <c r="U122" t="str">
        <f ca="1"/>
        <v>Not Started</v>
      </c>
      <c r="V122" t="str">
        <f ca="1"/>
        <v xml:space="preserve">Michael </v>
      </c>
      <c r="W122" vm="11">
        <f ca="1"/>
        <v>0</v>
      </c>
      <c r="X122" t="str">
        <f ca="1"/>
        <v>No</v>
      </c>
      <c r="Y122" t="str">
        <f ca="1"/>
        <v>8</v>
      </c>
      <c r="Z122" t="str">
        <f ca="1"/>
        <v>01</v>
      </c>
      <c r="AA122" t="str">
        <f ca="1"/>
        <v>4110</v>
      </c>
      <c r="AB122" vm="11">
        <f ca="1"/>
        <v>0</v>
      </c>
      <c r="AC122" t="str">
        <f ca="1"/>
        <v/>
      </c>
      <c r="AD122" t="b">
        <f ca="1"/>
        <v>0</v>
      </c>
      <c r="AE122" t="str">
        <f ca="1"/>
        <v/>
      </c>
      <c r="AF122" t="b">
        <f ca="1"/>
        <v>1</v>
      </c>
      <c r="AG122" t="b">
        <f ca="1"/>
        <v>0</v>
      </c>
      <c r="AH122" t="b">
        <f ca="1"/>
        <v>1</v>
      </c>
      <c r="AI122" t="b">
        <f ca="1"/>
        <v>0</v>
      </c>
      <c r="AJ122" t="b">
        <f ca="1"/>
        <v>0</v>
      </c>
      <c r="AK122" t="b">
        <f ca="1"/>
        <v>1</v>
      </c>
      <c r="AL122" t="b">
        <f ca="1"/>
        <v>1</v>
      </c>
      <c r="AM122" t="b">
        <f ca="1"/>
        <v>0</v>
      </c>
      <c r="AN122">
        <f ca="1"/>
        <v>-40</v>
      </c>
      <c r="AO122" t="str">
        <f ca="1"/>
        <v>Not Started</v>
      </c>
      <c r="AP122">
        <f ca="1"/>
        <v>0</v>
      </c>
      <c r="AQ122" t="str">
        <f ca="1"/>
        <v>Inspection</v>
      </c>
      <c r="AR122" t="str">
        <f ca="1"/>
        <v>Paint</v>
      </c>
      <c r="AS122" t="b">
        <f ca="1"/>
        <v>0</v>
      </c>
      <c r="AT122" t="str">
        <f ca="1"/>
        <v>on notice</v>
      </c>
      <c r="AU122" t="b">
        <f ca="1"/>
        <v>0</v>
      </c>
      <c r="AV122" t="b">
        <f ca="1"/>
        <v>0</v>
      </c>
      <c r="AW122" t="b">
        <f ca="1"/>
        <v>0</v>
      </c>
      <c r="AX122" t="str">
        <f ca="1"/>
        <v>On Notice</v>
      </c>
      <c r="AY122" t="b">
        <f ca="1"/>
        <v>0</v>
      </c>
      <c r="AZ122" t="str">
        <f ca="1"/>
        <v>📋 On Notice</v>
      </c>
      <c r="BA122" t="e">
        <f ca="1"/>
        <v>#NUM!</v>
      </c>
      <c r="BB122" t="b">
        <f ca="1"/>
        <v>0</v>
      </c>
      <c r="BC122" t="b">
        <f ca="1"/>
        <v>0</v>
      </c>
      <c r="BD122" t="b">
        <f ca="1"/>
        <v>0</v>
      </c>
      <c r="BE122" t="b">
        <f ca="1"/>
        <v>0</v>
      </c>
    </row>
    <row r="123" spans="3:57" x14ac:dyDescent="0.4">
      <c r="C123" s="1">
        <f ca="1"/>
        <v>121</v>
      </c>
      <c r="D123" s="1" t="str">
        <f ca="1"/>
        <v>Unit 8-01-4017</v>
      </c>
      <c r="E123" s="1" t="str">
        <f ca="1"/>
        <v xml:space="preserve">On Notice </v>
      </c>
      <c r="F123" s="1" vm="186">
        <f ca="1"/>
        <v>46131</v>
      </c>
      <c r="G123" s="1" vm="142">
        <f ca="1"/>
        <v>46144</v>
      </c>
      <c r="H123">
        <f ca="1"/>
        <v>-61</v>
      </c>
      <c r="I123" t="e">
        <f ca="1"/>
        <v>#NUM!</v>
      </c>
      <c r="J123" t="str">
        <f ca="1"/>
        <v/>
      </c>
      <c r="K123" t="str">
        <f ca="1"/>
        <v>NOTICE</v>
      </c>
      <c r="L123" t="str">
        <f ca="1"/>
        <v/>
      </c>
      <c r="M123" t="str">
        <f ca="1"/>
        <v>Not Started</v>
      </c>
      <c r="N123" t="str">
        <f ca="1"/>
        <v/>
      </c>
      <c r="O123" t="str">
        <f ca="1"/>
        <v>Not Started</v>
      </c>
      <c r="P123" t="str">
        <f ca="1"/>
        <v/>
      </c>
      <c r="Q123" t="str">
        <f ca="1"/>
        <v>Not Started</v>
      </c>
      <c r="R123" t="str">
        <f ca="1"/>
        <v/>
      </c>
      <c r="S123" t="str">
        <f ca="1"/>
        <v>Not Started</v>
      </c>
      <c r="T123" t="str">
        <f ca="1"/>
        <v/>
      </c>
      <c r="U123" t="str">
        <f ca="1"/>
        <v>Not Started</v>
      </c>
      <c r="V123" t="str">
        <f ca="1"/>
        <v xml:space="preserve">Michael </v>
      </c>
      <c r="W123" vm="11">
        <f ca="1"/>
        <v>0</v>
      </c>
      <c r="X123" t="str">
        <f ca="1"/>
        <v>No</v>
      </c>
      <c r="Y123" t="str">
        <f ca="1"/>
        <v>8</v>
      </c>
      <c r="Z123" t="str">
        <f ca="1"/>
        <v>01</v>
      </c>
      <c r="AA123" t="str">
        <f ca="1"/>
        <v>4017</v>
      </c>
      <c r="AB123" vm="11">
        <f ca="1"/>
        <v>0</v>
      </c>
      <c r="AC123" t="str">
        <f ca="1"/>
        <v/>
      </c>
      <c r="AD123" t="b">
        <f ca="1"/>
        <v>0</v>
      </c>
      <c r="AE123" t="str">
        <f ca="1"/>
        <v/>
      </c>
      <c r="AF123" t="b">
        <f ca="1"/>
        <v>1</v>
      </c>
      <c r="AG123" t="b">
        <f ca="1"/>
        <v>0</v>
      </c>
      <c r="AH123" t="b">
        <f ca="1"/>
        <v>1</v>
      </c>
      <c r="AI123" t="b">
        <f ca="1"/>
        <v>0</v>
      </c>
      <c r="AJ123" t="b">
        <f ca="1"/>
        <v>0</v>
      </c>
      <c r="AK123" t="b">
        <f ca="1"/>
        <v>1</v>
      </c>
      <c r="AL123" t="b">
        <f ca="1"/>
        <v>1</v>
      </c>
      <c r="AM123" t="b">
        <f ca="1"/>
        <v>0</v>
      </c>
      <c r="AN123">
        <f ca="1"/>
        <v>-43</v>
      </c>
      <c r="AO123" t="str">
        <f ca="1"/>
        <v>Not Started</v>
      </c>
      <c r="AP123">
        <f ca="1"/>
        <v>0</v>
      </c>
      <c r="AQ123" t="str">
        <f ca="1"/>
        <v>Inspection</v>
      </c>
      <c r="AR123" t="str">
        <f ca="1"/>
        <v>Paint</v>
      </c>
      <c r="AS123" t="b">
        <f ca="1"/>
        <v>0</v>
      </c>
      <c r="AT123" t="str">
        <f ca="1"/>
        <v>on notice</v>
      </c>
      <c r="AU123" t="b">
        <f ca="1"/>
        <v>0</v>
      </c>
      <c r="AV123" t="b">
        <f ca="1"/>
        <v>0</v>
      </c>
      <c r="AW123" t="b">
        <f ca="1"/>
        <v>0</v>
      </c>
      <c r="AX123" t="str">
        <f ca="1"/>
        <v>On Notice</v>
      </c>
      <c r="AY123" t="b">
        <f ca="1"/>
        <v>0</v>
      </c>
      <c r="AZ123" t="str">
        <f ca="1"/>
        <v>📋 On Notice</v>
      </c>
      <c r="BA123" t="e">
        <f ca="1"/>
        <v>#NUM!</v>
      </c>
      <c r="BB123" t="b">
        <f ca="1"/>
        <v>0</v>
      </c>
      <c r="BC123" t="b">
        <f ca="1"/>
        <v>0</v>
      </c>
      <c r="BD123" t="b">
        <f ca="1"/>
        <v>0</v>
      </c>
      <c r="BE123" t="b">
        <f ca="1"/>
        <v>0</v>
      </c>
    </row>
    <row r="124" spans="3:57" x14ac:dyDescent="0.4">
      <c r="C124" s="1">
        <f ca="1"/>
        <v>122</v>
      </c>
      <c r="D124" s="1" t="str">
        <f ca="1"/>
        <v>Unit 5-16-0203</v>
      </c>
      <c r="E124" s="1" t="str">
        <f ca="1"/>
        <v xml:space="preserve">On Notice </v>
      </c>
      <c r="F124" s="1" vm="187">
        <f ca="1"/>
        <v>46135</v>
      </c>
      <c r="G124" s="1" vm="188">
        <f ca="1"/>
        <v>46149</v>
      </c>
      <c r="H124">
        <f ca="1"/>
        <v>-65</v>
      </c>
      <c r="I124" t="e">
        <f ca="1"/>
        <v>#NUM!</v>
      </c>
      <c r="J124" t="str">
        <f ca="1"/>
        <v/>
      </c>
      <c r="K124" t="str">
        <f ca="1"/>
        <v>NOTICE</v>
      </c>
      <c r="L124" t="str">
        <f ca="1"/>
        <v/>
      </c>
      <c r="M124" t="str">
        <f ca="1"/>
        <v>Not Started</v>
      </c>
      <c r="N124" t="str">
        <f ca="1"/>
        <v/>
      </c>
      <c r="O124" t="str">
        <f ca="1"/>
        <v>Not Started</v>
      </c>
      <c r="P124" t="str">
        <f ca="1"/>
        <v/>
      </c>
      <c r="Q124" t="str">
        <f ca="1"/>
        <v>Not Started</v>
      </c>
      <c r="R124" t="str">
        <f ca="1"/>
        <v/>
      </c>
      <c r="S124" t="str">
        <f ca="1"/>
        <v>Not Started</v>
      </c>
      <c r="T124" t="str">
        <f ca="1"/>
        <v/>
      </c>
      <c r="U124" t="str">
        <f ca="1"/>
        <v>Not Started</v>
      </c>
      <c r="V124" t="str">
        <f ca="1"/>
        <v>Total</v>
      </c>
      <c r="W124" vm="11">
        <f ca="1"/>
        <v>0</v>
      </c>
      <c r="X124" t="str">
        <f ca="1"/>
        <v>No</v>
      </c>
      <c r="Y124" t="str">
        <f ca="1"/>
        <v>5</v>
      </c>
      <c r="Z124" t="str">
        <f ca="1"/>
        <v>16</v>
      </c>
      <c r="AA124" t="str">
        <f ca="1"/>
        <v>0203</v>
      </c>
      <c r="AB124" vm="11">
        <f ca="1"/>
        <v>0</v>
      </c>
      <c r="AC124" t="str">
        <f ca="1"/>
        <v/>
      </c>
      <c r="AD124" t="b">
        <f ca="1"/>
        <v>0</v>
      </c>
      <c r="AE124" t="str">
        <f ca="1"/>
        <v/>
      </c>
      <c r="AF124" t="b">
        <f ca="1"/>
        <v>0</v>
      </c>
      <c r="AG124" t="b">
        <f ca="1"/>
        <v>0</v>
      </c>
      <c r="AH124" t="b">
        <f ca="1"/>
        <v>1</v>
      </c>
      <c r="AI124" t="b">
        <f ca="1"/>
        <v>0</v>
      </c>
      <c r="AJ124" t="b">
        <f ca="1"/>
        <v>0</v>
      </c>
      <c r="AK124" t="b">
        <f ca="1"/>
        <v>1</v>
      </c>
      <c r="AL124" t="b">
        <f ca="1"/>
        <v>1</v>
      </c>
      <c r="AM124" t="b">
        <f ca="1"/>
        <v>0</v>
      </c>
      <c r="AN124">
        <f ca="1"/>
        <v>-47</v>
      </c>
      <c r="AO124" t="str">
        <f ca="1"/>
        <v>Not Started</v>
      </c>
      <c r="AP124">
        <f ca="1"/>
        <v>0</v>
      </c>
      <c r="AQ124" t="str">
        <f ca="1"/>
        <v>Inspection</v>
      </c>
      <c r="AR124" t="str">
        <f ca="1"/>
        <v>Paint</v>
      </c>
      <c r="AS124" t="b">
        <f ca="1"/>
        <v>0</v>
      </c>
      <c r="AT124" t="str">
        <f ca="1"/>
        <v>on notice</v>
      </c>
      <c r="AU124" t="b">
        <f ca="1"/>
        <v>0</v>
      </c>
      <c r="AV124" t="b">
        <f ca="1"/>
        <v>0</v>
      </c>
      <c r="AW124" t="b">
        <f ca="1"/>
        <v>0</v>
      </c>
      <c r="AX124" t="str">
        <f ca="1"/>
        <v>On Notice</v>
      </c>
      <c r="AY124" t="b">
        <f ca="1"/>
        <v>0</v>
      </c>
      <c r="AZ124" t="str">
        <f ca="1"/>
        <v>📋 On Notice</v>
      </c>
      <c r="BA124" t="e">
        <f ca="1"/>
        <v>#NUM!</v>
      </c>
      <c r="BB124" t="b">
        <f ca="1"/>
        <v>0</v>
      </c>
      <c r="BC124" t="b">
        <f ca="1"/>
        <v>0</v>
      </c>
      <c r="BD124" t="b">
        <f ca="1"/>
        <v>0</v>
      </c>
      <c r="BE124" t="b">
        <f ca="1"/>
        <v>0</v>
      </c>
    </row>
    <row r="125" spans="3:57" x14ac:dyDescent="0.4">
      <c r="C125" s="1">
        <f ca="1"/>
        <v>123</v>
      </c>
      <c r="D125" s="1" t="str">
        <f ca="1"/>
        <v>Unit 7-03-0118</v>
      </c>
      <c r="E125" s="1" t="str">
        <f ca="1"/>
        <v xml:space="preserve">On Notice </v>
      </c>
      <c r="F125" s="1" vm="189">
        <f ca="1"/>
        <v>46139</v>
      </c>
      <c r="G125" s="1" vm="190">
        <f ca="1"/>
        <v>46151</v>
      </c>
      <c r="H125">
        <f ca="1"/>
        <v>-69</v>
      </c>
      <c r="I125" t="e">
        <f ca="1"/>
        <v>#NUM!</v>
      </c>
      <c r="J125" t="str">
        <f ca="1"/>
        <v/>
      </c>
      <c r="K125" t="str">
        <f ca="1"/>
        <v>NOTICE</v>
      </c>
      <c r="L125" t="str">
        <f ca="1"/>
        <v/>
      </c>
      <c r="M125" t="str">
        <f ca="1"/>
        <v>Not Started</v>
      </c>
      <c r="N125" t="str">
        <f ca="1"/>
        <v/>
      </c>
      <c r="O125" t="str">
        <f ca="1"/>
        <v>Not Started</v>
      </c>
      <c r="P125" t="str">
        <f ca="1"/>
        <v/>
      </c>
      <c r="Q125" t="str">
        <f ca="1"/>
        <v>Not Started</v>
      </c>
      <c r="R125" t="str">
        <f ca="1"/>
        <v/>
      </c>
      <c r="S125" t="str">
        <f ca="1"/>
        <v>Not Started</v>
      </c>
      <c r="T125" t="str">
        <f ca="1"/>
        <v/>
      </c>
      <c r="U125" t="str">
        <f ca="1"/>
        <v>Not Started</v>
      </c>
      <c r="V125" t="str">
        <f ca="1"/>
        <v>Brad</v>
      </c>
      <c r="W125" vm="11">
        <f ca="1"/>
        <v>0</v>
      </c>
      <c r="X125" t="str">
        <f ca="1"/>
        <v>No</v>
      </c>
      <c r="Y125" t="str">
        <f ca="1"/>
        <v>7</v>
      </c>
      <c r="Z125" t="str">
        <f ca="1"/>
        <v>03</v>
      </c>
      <c r="AA125" t="str">
        <f ca="1"/>
        <v>0118</v>
      </c>
      <c r="AB125" vm="11">
        <f ca="1"/>
        <v>0</v>
      </c>
      <c r="AC125" t="str">
        <f ca="1"/>
        <v/>
      </c>
      <c r="AD125" t="b">
        <f ca="1"/>
        <v>0</v>
      </c>
      <c r="AE125" t="str">
        <f ca="1"/>
        <v/>
      </c>
      <c r="AF125" t="b">
        <f ca="1"/>
        <v>1</v>
      </c>
      <c r="AG125" t="b">
        <f ca="1"/>
        <v>0</v>
      </c>
      <c r="AH125" t="b">
        <f ca="1"/>
        <v>1</v>
      </c>
      <c r="AI125" t="b">
        <f ca="1"/>
        <v>0</v>
      </c>
      <c r="AJ125" t="b">
        <f ca="1"/>
        <v>0</v>
      </c>
      <c r="AK125" t="b">
        <f ca="1"/>
        <v>1</v>
      </c>
      <c r="AL125" t="b">
        <f ca="1"/>
        <v>1</v>
      </c>
      <c r="AM125" t="b">
        <f ca="1"/>
        <v>0</v>
      </c>
      <c r="AN125">
        <f ca="1"/>
        <v>-49</v>
      </c>
      <c r="AO125" t="str">
        <f ca="1"/>
        <v>Not Started</v>
      </c>
      <c r="AP125">
        <f ca="1"/>
        <v>0</v>
      </c>
      <c r="AQ125" t="str">
        <f ca="1"/>
        <v>Inspection</v>
      </c>
      <c r="AR125" t="str">
        <f ca="1"/>
        <v>Paint</v>
      </c>
      <c r="AS125" t="b">
        <f ca="1"/>
        <v>0</v>
      </c>
      <c r="AT125" t="str">
        <f ca="1"/>
        <v>on notice</v>
      </c>
      <c r="AU125" t="b">
        <f ca="1"/>
        <v>0</v>
      </c>
      <c r="AV125" t="b">
        <f ca="1"/>
        <v>0</v>
      </c>
      <c r="AW125" t="b">
        <f ca="1"/>
        <v>0</v>
      </c>
      <c r="AX125" t="str">
        <f ca="1"/>
        <v>On Notice</v>
      </c>
      <c r="AY125" t="b">
        <f ca="1"/>
        <v>0</v>
      </c>
      <c r="AZ125" t="str">
        <f ca="1"/>
        <v>📋 On Notice</v>
      </c>
      <c r="BA125" t="e">
        <f ca="1"/>
        <v>#NUM!</v>
      </c>
      <c r="BB125" t="b">
        <f ca="1"/>
        <v>0</v>
      </c>
      <c r="BC125" t="b">
        <f ca="1"/>
        <v>0</v>
      </c>
      <c r="BD125" t="b">
        <f ca="1"/>
        <v>0</v>
      </c>
      <c r="BE125" t="b">
        <f ca="1"/>
        <v>0</v>
      </c>
    </row>
    <row r="126" spans="3:57" x14ac:dyDescent="0.4">
      <c r="C126" s="1">
        <f ca="1"/>
        <v>124</v>
      </c>
      <c r="D126" s="1" t="str">
        <f ca="1"/>
        <v>Unit 8-01-2094</v>
      </c>
      <c r="E126" s="1" t="str">
        <f ca="1"/>
        <v xml:space="preserve">On Notice </v>
      </c>
      <c r="F126" s="1" vm="185">
        <f ca="1"/>
        <v>46140</v>
      </c>
      <c r="G126" s="1" vm="191">
        <f ca="1"/>
        <v>46154</v>
      </c>
      <c r="H126">
        <f ca="1"/>
        <v>-70</v>
      </c>
      <c r="I126" t="e">
        <f ca="1"/>
        <v>#NUM!</v>
      </c>
      <c r="J126" t="str">
        <f ca="1"/>
        <v/>
      </c>
      <c r="K126" t="str">
        <f ca="1"/>
        <v>NOTICE</v>
      </c>
      <c r="L126" t="str">
        <f ca="1"/>
        <v/>
      </c>
      <c r="M126" t="str">
        <f ca="1"/>
        <v>Not Started</v>
      </c>
      <c r="N126" t="str">
        <f ca="1"/>
        <v/>
      </c>
      <c r="O126" t="str">
        <f ca="1"/>
        <v>Not Started</v>
      </c>
      <c r="P126" t="str">
        <f ca="1"/>
        <v/>
      </c>
      <c r="Q126" t="str">
        <f ca="1"/>
        <v>Not Started</v>
      </c>
      <c r="R126" t="str">
        <f ca="1"/>
        <v/>
      </c>
      <c r="S126" t="str">
        <f ca="1"/>
        <v>Not Started</v>
      </c>
      <c r="T126" t="str">
        <f ca="1"/>
        <v/>
      </c>
      <c r="U126" t="str">
        <f ca="1"/>
        <v>Not Started</v>
      </c>
      <c r="V126" t="str">
        <f ca="1"/>
        <v xml:space="preserve">Michael </v>
      </c>
      <c r="W126" vm="11">
        <f ca="1"/>
        <v>0</v>
      </c>
      <c r="X126" t="str">
        <f ca="1"/>
        <v>No</v>
      </c>
      <c r="Y126" t="str">
        <f ca="1"/>
        <v>8</v>
      </c>
      <c r="Z126" t="str">
        <f ca="1"/>
        <v>01</v>
      </c>
      <c r="AA126" t="str">
        <f ca="1"/>
        <v>2094</v>
      </c>
      <c r="AB126" vm="11">
        <f ca="1"/>
        <v>0</v>
      </c>
      <c r="AC126" t="str">
        <f ca="1"/>
        <v/>
      </c>
      <c r="AD126" t="b">
        <f ca="1"/>
        <v>0</v>
      </c>
      <c r="AE126" t="str">
        <f ca="1"/>
        <v/>
      </c>
      <c r="AF126" t="b">
        <f ca="1"/>
        <v>1</v>
      </c>
      <c r="AG126" t="b">
        <f ca="1"/>
        <v>0</v>
      </c>
      <c r="AH126" t="b">
        <f ca="1"/>
        <v>1</v>
      </c>
      <c r="AI126" t="b">
        <f ca="1"/>
        <v>0</v>
      </c>
      <c r="AJ126" t="b">
        <f ca="1"/>
        <v>0</v>
      </c>
      <c r="AK126" t="b">
        <f ca="1"/>
        <v>1</v>
      </c>
      <c r="AL126" t="b">
        <f ca="1"/>
        <v>1</v>
      </c>
      <c r="AM126" t="b">
        <f ca="1"/>
        <v>0</v>
      </c>
      <c r="AN126">
        <f ca="1"/>
        <v>-50</v>
      </c>
      <c r="AO126" t="str">
        <f ca="1"/>
        <v>Not Started</v>
      </c>
      <c r="AP126">
        <f ca="1"/>
        <v>0</v>
      </c>
      <c r="AQ126" t="str">
        <f ca="1"/>
        <v>Inspection</v>
      </c>
      <c r="AR126" t="str">
        <f ca="1"/>
        <v>Paint</v>
      </c>
      <c r="AS126" t="b">
        <f ca="1"/>
        <v>0</v>
      </c>
      <c r="AT126" t="str">
        <f ca="1"/>
        <v>on notice</v>
      </c>
      <c r="AU126" t="b">
        <f ca="1"/>
        <v>0</v>
      </c>
      <c r="AV126" t="b">
        <f ca="1"/>
        <v>0</v>
      </c>
      <c r="AW126" t="b">
        <f ca="1"/>
        <v>0</v>
      </c>
      <c r="AX126" t="str">
        <f ca="1"/>
        <v>On Notice</v>
      </c>
      <c r="AY126" t="b">
        <f ca="1"/>
        <v>0</v>
      </c>
      <c r="AZ126" t="str">
        <f ca="1"/>
        <v>📋 On Notice</v>
      </c>
      <c r="BA126" t="e">
        <f ca="1"/>
        <v>#NUM!</v>
      </c>
      <c r="BB126" t="b">
        <f ca="1"/>
        <v>0</v>
      </c>
      <c r="BC126" t="b">
        <f ca="1"/>
        <v>0</v>
      </c>
      <c r="BD126" t="b">
        <f ca="1"/>
        <v>0</v>
      </c>
      <c r="BE126" t="b">
        <f ca="1"/>
        <v>0</v>
      </c>
    </row>
    <row r="127" spans="3:57" x14ac:dyDescent="0.4">
      <c r="C127" s="1">
        <f ca="1"/>
        <v>125</v>
      </c>
      <c r="D127" s="1" t="str">
        <f ca="1"/>
        <v>Unit 7-11-0202</v>
      </c>
      <c r="E127" s="1" t="str">
        <f ca="1"/>
        <v xml:space="preserve">On Notice </v>
      </c>
      <c r="F127" s="1" vm="192">
        <f ca="1"/>
        <v>46153</v>
      </c>
      <c r="G127" s="1" vm="193">
        <f ca="1"/>
        <v>46165</v>
      </c>
      <c r="H127">
        <f ca="1"/>
        <v>-83</v>
      </c>
      <c r="I127" t="e">
        <f ca="1"/>
        <v>#NUM!</v>
      </c>
      <c r="J127" t="str">
        <f ca="1"/>
        <v/>
      </c>
      <c r="K127" t="str">
        <f ca="1"/>
        <v>NOTICE</v>
      </c>
      <c r="L127" t="str">
        <f ca="1"/>
        <v/>
      </c>
      <c r="M127" t="str">
        <f ca="1"/>
        <v>Not Started</v>
      </c>
      <c r="N127" t="str">
        <f ca="1"/>
        <v/>
      </c>
      <c r="O127" t="str">
        <f ca="1"/>
        <v>Not Started</v>
      </c>
      <c r="P127" t="str">
        <f ca="1"/>
        <v/>
      </c>
      <c r="Q127" t="str">
        <f ca="1"/>
        <v>Not Started</v>
      </c>
      <c r="R127" t="str">
        <f ca="1"/>
        <v/>
      </c>
      <c r="S127" t="str">
        <f ca="1"/>
        <v>Not Started</v>
      </c>
      <c r="T127" t="str">
        <f ca="1"/>
        <v/>
      </c>
      <c r="U127" t="str">
        <f ca="1"/>
        <v>Not Started</v>
      </c>
      <c r="V127" t="str">
        <f ca="1"/>
        <v>Brad</v>
      </c>
      <c r="W127" vm="11">
        <f ca="1"/>
        <v>0</v>
      </c>
      <c r="X127" t="str">
        <f ca="1"/>
        <v>No</v>
      </c>
      <c r="Y127" t="str">
        <f ca="1"/>
        <v>7</v>
      </c>
      <c r="Z127" t="str">
        <f ca="1"/>
        <v>11</v>
      </c>
      <c r="AA127" t="str">
        <f ca="1"/>
        <v>0202</v>
      </c>
      <c r="AB127" vm="11">
        <f ca="1"/>
        <v>0</v>
      </c>
      <c r="AC127" t="str">
        <f ca="1"/>
        <v/>
      </c>
      <c r="AD127" t="b">
        <f ca="1"/>
        <v>0</v>
      </c>
      <c r="AE127" t="str">
        <f ca="1"/>
        <v/>
      </c>
      <c r="AF127" t="b">
        <f ca="1"/>
        <v>1</v>
      </c>
      <c r="AG127" t="b">
        <f ca="1"/>
        <v>0</v>
      </c>
      <c r="AH127" t="b">
        <f ca="1"/>
        <v>1</v>
      </c>
      <c r="AI127" t="b">
        <f ca="1"/>
        <v>0</v>
      </c>
      <c r="AJ127" t="b">
        <f ca="1"/>
        <v>0</v>
      </c>
      <c r="AK127" t="b">
        <f ca="1"/>
        <v>1</v>
      </c>
      <c r="AL127" t="b">
        <f ca="1"/>
        <v>1</v>
      </c>
      <c r="AM127" t="b">
        <f ca="1"/>
        <v>0</v>
      </c>
      <c r="AN127">
        <f ca="1"/>
        <v>-59</v>
      </c>
      <c r="AO127" t="str">
        <f ca="1"/>
        <v>Not Started</v>
      </c>
      <c r="AP127">
        <f ca="1"/>
        <v>0</v>
      </c>
      <c r="AQ127" t="str">
        <f ca="1"/>
        <v>Inspection</v>
      </c>
      <c r="AR127" t="str">
        <f ca="1"/>
        <v>Paint</v>
      </c>
      <c r="AS127" t="b">
        <f ca="1"/>
        <v>0</v>
      </c>
      <c r="AT127" t="str">
        <f ca="1"/>
        <v>on notice</v>
      </c>
      <c r="AU127" t="b">
        <f ca="1"/>
        <v>0</v>
      </c>
      <c r="AV127" t="b">
        <f ca="1"/>
        <v>0</v>
      </c>
      <c r="AW127" t="b">
        <f ca="1"/>
        <v>0</v>
      </c>
      <c r="AX127" t="str">
        <f ca="1"/>
        <v>On Notice</v>
      </c>
      <c r="AY127" t="b">
        <f ca="1"/>
        <v>0</v>
      </c>
      <c r="AZ127" t="str">
        <f ca="1"/>
        <v>📋 On Notice</v>
      </c>
      <c r="BA127" t="e">
        <f ca="1"/>
        <v>#NUM!</v>
      </c>
      <c r="BB127" t="b">
        <f ca="1"/>
        <v>0</v>
      </c>
      <c r="BC127" t="b">
        <f ca="1"/>
        <v>0</v>
      </c>
      <c r="BD127" t="b">
        <f ca="1"/>
        <v>0</v>
      </c>
      <c r="BE127" t="b">
        <f ca="1"/>
        <v>0</v>
      </c>
    </row>
    <row r="128" spans="3:57" x14ac:dyDescent="0.4">
      <c r="C128" s="1">
        <f ca="1"/>
        <v>126</v>
      </c>
      <c r="D128" s="1" t="str">
        <f ca="1"/>
        <v>Unit 5-13-0203</v>
      </c>
      <c r="E128" s="1" t="str">
        <f ca="1"/>
        <v xml:space="preserve">On Notice </v>
      </c>
      <c r="F128" s="1" vm="194">
        <f ca="1"/>
        <v>46174</v>
      </c>
      <c r="G128" s="1" vm="195">
        <f ca="1"/>
        <v>46186</v>
      </c>
      <c r="H128">
        <f ca="1"/>
        <v>-104</v>
      </c>
      <c r="I128" t="e">
        <f ca="1"/>
        <v>#NUM!</v>
      </c>
      <c r="J128" t="str">
        <f ca="1"/>
        <v/>
      </c>
      <c r="K128" t="str">
        <f ca="1"/>
        <v>NOTICE</v>
      </c>
      <c r="L128" t="str">
        <f ca="1"/>
        <v/>
      </c>
      <c r="M128" t="str">
        <f ca="1"/>
        <v>Not Started</v>
      </c>
      <c r="N128" t="str">
        <f ca="1"/>
        <v/>
      </c>
      <c r="O128" t="str">
        <f ca="1"/>
        <v>Not Started</v>
      </c>
      <c r="P128" t="str">
        <f ca="1"/>
        <v/>
      </c>
      <c r="Q128" t="str">
        <f ca="1"/>
        <v>Not Started</v>
      </c>
      <c r="R128" t="str">
        <f ca="1"/>
        <v/>
      </c>
      <c r="S128" t="str">
        <f ca="1"/>
        <v>Not Started</v>
      </c>
      <c r="T128" t="str">
        <f ca="1"/>
        <v/>
      </c>
      <c r="U128" t="str">
        <f ca="1"/>
        <v>Not Started</v>
      </c>
      <c r="V128" t="str">
        <f ca="1"/>
        <v>Total</v>
      </c>
      <c r="W128" vm="11">
        <f ca="1"/>
        <v>0</v>
      </c>
      <c r="X128" t="str">
        <f ca="1"/>
        <v>No</v>
      </c>
      <c r="Y128" t="str">
        <f ca="1"/>
        <v>5</v>
      </c>
      <c r="Z128" t="str">
        <f ca="1"/>
        <v>13</v>
      </c>
      <c r="AA128" t="str">
        <f ca="1"/>
        <v>0203</v>
      </c>
      <c r="AB128" vm="11">
        <f ca="1"/>
        <v>0</v>
      </c>
      <c r="AC128" t="str">
        <f ca="1"/>
        <v/>
      </c>
      <c r="AD128" t="b">
        <f ca="1"/>
        <v>0</v>
      </c>
      <c r="AE128" t="str">
        <f ca="1"/>
        <v/>
      </c>
      <c r="AF128" t="b">
        <f ca="1"/>
        <v>0</v>
      </c>
      <c r="AG128" t="b">
        <f ca="1"/>
        <v>0</v>
      </c>
      <c r="AH128" t="b">
        <f ca="1"/>
        <v>1</v>
      </c>
      <c r="AI128" t="b">
        <f ca="1"/>
        <v>0</v>
      </c>
      <c r="AJ128" t="b">
        <f ca="1"/>
        <v>0</v>
      </c>
      <c r="AK128" t="b">
        <f ca="1"/>
        <v>1</v>
      </c>
      <c r="AL128" t="b">
        <f ca="1"/>
        <v>1</v>
      </c>
      <c r="AM128" t="b">
        <f ca="1"/>
        <v>0</v>
      </c>
      <c r="AN128">
        <f ca="1"/>
        <v>-74</v>
      </c>
      <c r="AO128" t="str">
        <f ca="1"/>
        <v>Not Started</v>
      </c>
      <c r="AP128">
        <f ca="1"/>
        <v>0</v>
      </c>
      <c r="AQ128" t="str">
        <f ca="1"/>
        <v>Inspection</v>
      </c>
      <c r="AR128" t="str">
        <f ca="1"/>
        <v>Paint</v>
      </c>
      <c r="AS128" t="b">
        <f ca="1"/>
        <v>0</v>
      </c>
      <c r="AT128" t="str">
        <f ca="1"/>
        <v>on notice</v>
      </c>
      <c r="AU128" t="b">
        <f ca="1"/>
        <v>0</v>
      </c>
      <c r="AV128" t="b">
        <f ca="1"/>
        <v>0</v>
      </c>
      <c r="AW128" t="b">
        <f ca="1"/>
        <v>0</v>
      </c>
      <c r="AX128" t="str">
        <f ca="1"/>
        <v>On Notice</v>
      </c>
      <c r="AY128" t="b">
        <f ca="1"/>
        <v>0</v>
      </c>
      <c r="AZ128" t="str">
        <f ca="1"/>
        <v>📋 On Notice</v>
      </c>
      <c r="BA128" t="e">
        <f ca="1"/>
        <v>#NUM!</v>
      </c>
      <c r="BB128" t="b">
        <f ca="1"/>
        <v>0</v>
      </c>
      <c r="BC128" t="b">
        <f ca="1"/>
        <v>0</v>
      </c>
      <c r="BD128" t="b">
        <f ca="1"/>
        <v>0</v>
      </c>
      <c r="BE128" t="b">
        <f ca="1"/>
        <v>0</v>
      </c>
    </row>
    <row r="129" spans="3:57" x14ac:dyDescent="0.4">
      <c r="C129" s="1">
        <f ca="1"/>
        <v>127</v>
      </c>
      <c r="D129" s="1" t="str">
        <f ca="1"/>
        <v>Unit 7-04-0201</v>
      </c>
      <c r="E129" s="1" t="str">
        <f ca="1"/>
        <v xml:space="preserve">On Notice </v>
      </c>
      <c r="F129" s="1" vm="194">
        <f ca="1"/>
        <v>46174</v>
      </c>
      <c r="G129" s="1" vm="195">
        <f ca="1"/>
        <v>46186</v>
      </c>
      <c r="H129">
        <f ca="1"/>
        <v>-104</v>
      </c>
      <c r="I129" t="e">
        <f ca="1"/>
        <v>#NUM!</v>
      </c>
      <c r="J129" t="str">
        <f ca="1"/>
        <v/>
      </c>
      <c r="K129" t="str">
        <f ca="1"/>
        <v>NOTICE</v>
      </c>
      <c r="L129" t="str">
        <f ca="1"/>
        <v/>
      </c>
      <c r="M129" t="str">
        <f ca="1"/>
        <v>Not Started</v>
      </c>
      <c r="N129" t="str">
        <f ca="1"/>
        <v/>
      </c>
      <c r="O129" t="str">
        <f ca="1"/>
        <v>Not Started</v>
      </c>
      <c r="P129" t="str">
        <f ca="1"/>
        <v/>
      </c>
      <c r="Q129" t="str">
        <f ca="1"/>
        <v>Not Started</v>
      </c>
      <c r="R129" t="str">
        <f ca="1"/>
        <v/>
      </c>
      <c r="S129" t="str">
        <f ca="1"/>
        <v>Not Started</v>
      </c>
      <c r="T129" t="str">
        <f ca="1"/>
        <v/>
      </c>
      <c r="U129" t="str">
        <f ca="1"/>
        <v>Not Started</v>
      </c>
      <c r="V129" t="str">
        <f ca="1"/>
        <v>Brad</v>
      </c>
      <c r="W129" vm="11">
        <f ca="1"/>
        <v>0</v>
      </c>
      <c r="X129" t="str">
        <f ca="1"/>
        <v>No</v>
      </c>
      <c r="Y129" t="str">
        <f ca="1"/>
        <v>7</v>
      </c>
      <c r="Z129" t="str">
        <f ca="1"/>
        <v>04</v>
      </c>
      <c r="AA129" t="str">
        <f ca="1"/>
        <v>0201</v>
      </c>
      <c r="AB129" vm="11">
        <f ca="1"/>
        <v>0</v>
      </c>
      <c r="AC129" t="str">
        <f ca="1"/>
        <v/>
      </c>
      <c r="AD129" t="b">
        <f ca="1"/>
        <v>0</v>
      </c>
      <c r="AE129" t="str">
        <f ca="1"/>
        <v/>
      </c>
      <c r="AF129" t="b">
        <f ca="1"/>
        <v>1</v>
      </c>
      <c r="AG129" t="b">
        <f ca="1"/>
        <v>0</v>
      </c>
      <c r="AH129" t="b">
        <f ca="1"/>
        <v>1</v>
      </c>
      <c r="AI129" t="b">
        <f ca="1"/>
        <v>0</v>
      </c>
      <c r="AJ129" t="b">
        <f ca="1"/>
        <v>0</v>
      </c>
      <c r="AK129" t="b">
        <f ca="1"/>
        <v>1</v>
      </c>
      <c r="AL129" t="b">
        <f ca="1"/>
        <v>1</v>
      </c>
      <c r="AM129" t="b">
        <f ca="1"/>
        <v>0</v>
      </c>
      <c r="AN129">
        <f ca="1"/>
        <v>-74</v>
      </c>
      <c r="AO129" t="str">
        <f ca="1"/>
        <v>Not Started</v>
      </c>
      <c r="AP129">
        <f ca="1"/>
        <v>0</v>
      </c>
      <c r="AQ129" t="str">
        <f ca="1"/>
        <v>Inspection</v>
      </c>
      <c r="AR129" t="str">
        <f ca="1"/>
        <v>Paint</v>
      </c>
      <c r="AS129" t="b">
        <f ca="1"/>
        <v>0</v>
      </c>
      <c r="AT129" t="str">
        <f ca="1"/>
        <v>on notice</v>
      </c>
      <c r="AU129" t="b">
        <f ca="1"/>
        <v>0</v>
      </c>
      <c r="AV129" t="b">
        <f ca="1"/>
        <v>0</v>
      </c>
      <c r="AW129" t="b">
        <f ca="1"/>
        <v>0</v>
      </c>
      <c r="AX129" t="str">
        <f ca="1"/>
        <v>On Notice</v>
      </c>
      <c r="AY129" t="b">
        <f ca="1"/>
        <v>0</v>
      </c>
      <c r="AZ129" t="str">
        <f ca="1"/>
        <v>📋 On Notice</v>
      </c>
      <c r="BA129" t="e">
        <f ca="1"/>
        <v>#NUM!</v>
      </c>
      <c r="BB129" t="b">
        <f ca="1"/>
        <v>0</v>
      </c>
      <c r="BC129" t="b">
        <f ca="1"/>
        <v>0</v>
      </c>
      <c r="BD129" t="b">
        <f ca="1"/>
        <v>0</v>
      </c>
      <c r="BE129" t="b">
        <f ca="1"/>
        <v>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E389-0888-7548-982B-E02EB1F1E4FB}">
  <dimension ref="A1:X75"/>
  <sheetViews>
    <sheetView topLeftCell="F1" zoomScale="80" zoomScaleNormal="80" workbookViewId="0">
      <selection activeCell="R6" sqref="R6"/>
    </sheetView>
  </sheetViews>
  <sheetFormatPr defaultColWidth="10.83203125" defaultRowHeight="16" x14ac:dyDescent="0.4"/>
  <cols>
    <col min="1" max="1" width="2.5" style="1" customWidth="1"/>
    <col min="2" max="2" width="15" style="38" customWidth="1"/>
    <col min="3" max="3" width="16.83203125" style="36" customWidth="1"/>
    <col min="4" max="4" width="11.1640625" style="36" bestFit="1" customWidth="1"/>
    <col min="5" max="5" width="11" style="36" customWidth="1"/>
    <col min="6" max="6" width="22.6640625" style="39" customWidth="1"/>
    <col min="7" max="7" width="3.1640625" style="1" customWidth="1"/>
    <col min="8" max="8" width="14.33203125" style="38" bestFit="1" customWidth="1"/>
    <col min="9" max="9" width="11.5" style="36" customWidth="1"/>
    <col min="10" max="10" width="19" style="36" customWidth="1"/>
    <col min="11" max="11" width="22.83203125" style="85" customWidth="1"/>
    <col min="12" max="12" width="16.33203125" style="39" bestFit="1" customWidth="1"/>
    <col min="13" max="13" width="4" style="1" customWidth="1"/>
    <col min="14" max="14" width="21.83203125" style="1" customWidth="1"/>
    <col min="15" max="15" width="21.5" style="1" customWidth="1"/>
    <col min="16" max="16" width="23.1640625" style="1" customWidth="1"/>
    <col min="17" max="17" width="3.33203125" style="1" customWidth="1"/>
    <col min="18" max="18" width="37.33203125" style="1" customWidth="1"/>
    <col min="19" max="19" width="37" style="1" customWidth="1"/>
    <col min="20" max="20" width="39.33203125" style="1" customWidth="1"/>
    <col min="21" max="21" width="35.83203125" style="1" bestFit="1" customWidth="1"/>
    <col min="22" max="22" width="37" style="1" bestFit="1" customWidth="1"/>
    <col min="23" max="23" width="38.83203125" style="1" customWidth="1"/>
    <col min="24" max="24" width="15" style="1" bestFit="1" customWidth="1"/>
    <col min="25" max="16384" width="10.83203125" style="1"/>
  </cols>
  <sheetData>
    <row r="1" spans="1:24" s="50" customFormat="1" x14ac:dyDescent="0.4">
      <c r="A1" s="35"/>
      <c r="B1" s="35"/>
      <c r="C1" s="35"/>
      <c r="D1" s="35"/>
      <c r="E1" s="35"/>
      <c r="K1" s="49"/>
    </row>
    <row r="2" spans="1:24" ht="16.5" thickBot="1" x14ac:dyDescent="0.45">
      <c r="B2" s="1"/>
      <c r="C2" s="1"/>
      <c r="D2" s="1"/>
      <c r="E2" s="1"/>
      <c r="F2" s="1"/>
      <c r="H2" s="1"/>
      <c r="I2" s="1"/>
      <c r="J2" s="1"/>
      <c r="K2"/>
      <c r="L2" s="1"/>
    </row>
    <row r="3" spans="1:24" ht="25" customHeight="1" thickBot="1" x14ac:dyDescent="0.6">
      <c r="B3" s="46" t="s">
        <v>29</v>
      </c>
      <c r="C3" s="46" t="s">
        <v>52</v>
      </c>
      <c r="D3" s="82" t="s">
        <v>130</v>
      </c>
      <c r="E3" s="98" t="s">
        <v>54</v>
      </c>
      <c r="F3" s="99"/>
      <c r="G3" s="51"/>
      <c r="H3" s="46" t="s">
        <v>29</v>
      </c>
      <c r="I3" s="48" t="s">
        <v>52</v>
      </c>
      <c r="J3" s="83" t="s">
        <v>130</v>
      </c>
      <c r="K3" s="102" t="s">
        <v>55</v>
      </c>
      <c r="L3" s="103"/>
      <c r="O3" s="44" t="s">
        <v>127</v>
      </c>
      <c r="P3" s="38" t="str">
        <f ca="1">$B$6</f>
        <v>Unit 5-02-0301</v>
      </c>
      <c r="R3" s="46" t="s">
        <v>29</v>
      </c>
      <c r="S3" s="46" t="s">
        <v>52</v>
      </c>
      <c r="T3" s="92" t="s">
        <v>129</v>
      </c>
      <c r="U3" s="93"/>
      <c r="V3" s="94"/>
    </row>
    <row r="4" spans="1:24" ht="17" customHeight="1" thickBot="1" x14ac:dyDescent="0.45">
      <c r="B4" s="44" t="s">
        <v>142</v>
      </c>
      <c r="C4" s="44" t="s">
        <v>32</v>
      </c>
      <c r="D4" s="54" t="s">
        <v>32</v>
      </c>
      <c r="E4" s="100"/>
      <c r="F4" s="101"/>
      <c r="G4" s="51"/>
      <c r="H4" s="40" t="s">
        <v>142</v>
      </c>
      <c r="I4" s="41" t="s">
        <v>32</v>
      </c>
      <c r="J4" s="54" t="s">
        <v>32</v>
      </c>
      <c r="K4" s="104"/>
      <c r="L4" s="105"/>
      <c r="R4" s="44" t="s">
        <v>142</v>
      </c>
      <c r="S4" s="44" t="s">
        <v>32</v>
      </c>
      <c r="T4" s="95"/>
      <c r="U4" s="96"/>
      <c r="V4" s="97"/>
    </row>
    <row r="5" spans="1:24" x14ac:dyDescent="0.4">
      <c r="B5" s="45" t="str" cm="1">
        <f t="array" aca="1" ref="B5:F75" ca="1">_xlfn._xlws.PY(3,0,C4,B4,D4)</f>
        <v>Unit</v>
      </c>
      <c r="C5" s="42" t="str">
        <f ca="1"/>
        <v>Status</v>
      </c>
      <c r="D5" s="42" t="str">
        <f ca="1"/>
        <v>Days Vacant</v>
      </c>
      <c r="E5" s="42" t="str">
        <f ca="1"/>
        <v>M-I Date</v>
      </c>
      <c r="F5" s="43" t="str">
        <f ca="1"/>
        <v>⚠️ Alert</v>
      </c>
      <c r="H5" s="47" t="str" cm="1">
        <f t="array" aca="1" ref="H5:L75" ca="1">_xlfn._xlws.PY(4,0,I4,H4,J4)</f>
        <v>Unit</v>
      </c>
      <c r="I5" s="37" t="str">
        <f ca="1"/>
        <v>W/D</v>
      </c>
      <c r="J5" s="42" t="str">
        <f ca="1"/>
        <v>Status</v>
      </c>
      <c r="K5" s="84" t="str">
        <f ca="1"/>
        <v>Move Ins ⚠️ Alert</v>
      </c>
      <c r="L5" s="43" t="str">
        <f ca="1"/>
        <v>Current Task</v>
      </c>
      <c r="N5" s="55" t="str" cm="1">
        <f t="array" aca="1" ref="N5:P44" ca="1">_xlfn._xlws.PY(5,0,P3)</f>
        <v>═══════════════</v>
      </c>
      <c r="O5" s="56" t="str">
        <f ca="1"/>
        <v>═══════════════</v>
      </c>
      <c r="P5" s="57" t="str">
        <f ca="1"/>
        <v>═══════════════</v>
      </c>
      <c r="R5" s="73" t="str" cm="1">
        <f t="array" aca="1" ref="R5:X11" ca="1">_xlfn._xlws.PY(6,0,S4,R4)</f>
        <v>Age Range</v>
      </c>
      <c r="S5" s="73" t="str">
        <f ca="1"/>
        <v>Units</v>
      </c>
      <c r="T5" s="73" t="str">
        <f ca="1"/>
        <v>% of Vacant</v>
      </c>
      <c r="U5" s="73" t="str">
        <f ca="1"/>
        <v>% With Alert</v>
      </c>
      <c r="V5" s="73" t="str">
        <f ca="1"/>
        <v>Avg Days Vacant</v>
      </c>
      <c r="W5" s="73" t="str">
        <f ca="1"/>
        <v>Ready_Units</v>
      </c>
      <c r="X5" s="73" t="str">
        <f ca="1"/>
        <v>Not_Ready_Units</v>
      </c>
    </row>
    <row r="6" spans="1:24" x14ac:dyDescent="0.4">
      <c r="B6" s="38" t="str">
        <f ca="1"/>
        <v>Unit 5-02-0301</v>
      </c>
      <c r="C6" s="36" t="str">
        <f ca="1"/>
        <v>Vacant ready</v>
      </c>
      <c r="D6" s="36" t="str">
        <f ca="1"/>
        <v>47</v>
      </c>
      <c r="E6" s="36" t="str">
        <f ca="1"/>
        <v>02/17/26</v>
      </c>
      <c r="F6" s="39" t="str">
        <f ca="1"/>
        <v>📅 Scheduled to Move In</v>
      </c>
      <c r="H6" s="38" t="str">
        <f ca="1"/>
        <v>Unit 5-01-0221</v>
      </c>
      <c r="I6" s="36" t="str">
        <f ca="1"/>
        <v>yes</v>
      </c>
      <c r="J6" s="36" t="str">
        <f ca="1"/>
        <v>Vacant ready</v>
      </c>
      <c r="K6" s="85" t="str">
        <f ca="1"/>
        <v>🟢 Apartment Ready</v>
      </c>
      <c r="L6" s="39" t="str">
        <f ca="1"/>
        <v>Inspection</v>
      </c>
      <c r="N6" s="58" t="str">
        <f ca="1"/>
        <v/>
      </c>
      <c r="O6" s="1" t="str">
        <f ca="1"/>
        <v>UNIT SUMMARY</v>
      </c>
      <c r="P6" s="59" t="str">
        <f ca="1"/>
        <v/>
      </c>
      <c r="R6" s="1" t="str">
        <f ca="1"/>
        <v>0–14</v>
      </c>
      <c r="S6" s="1" t="str">
        <f ca="1"/>
        <v>15</v>
      </c>
      <c r="T6" s="1" t="str">
        <f ca="1"/>
        <v>27.3%</v>
      </c>
      <c r="U6" s="1" t="str">
        <f ca="1"/>
        <v>100.0%</v>
      </c>
      <c r="V6" s="1" t="str">
        <f ca="1"/>
        <v>6.9</v>
      </c>
      <c r="W6" s="1" t="str">
        <f ca="1"/>
        <v>2</v>
      </c>
      <c r="X6" s="1" t="str">
        <f ca="1"/>
        <v>12</v>
      </c>
    </row>
    <row r="7" spans="1:24" x14ac:dyDescent="0.4">
      <c r="B7" s="38" t="str">
        <f ca="1"/>
        <v>Unit 8-01-4058</v>
      </c>
      <c r="C7" s="36" t="str">
        <f ca="1"/>
        <v>Vacant ready</v>
      </c>
      <c r="D7" s="36" t="str">
        <f ca="1"/>
        <v>30</v>
      </c>
      <c r="E7" s="36" t="str">
        <f ca="1"/>
        <v>02/18/26</v>
      </c>
      <c r="F7" s="39" t="str">
        <f ca="1"/>
        <v>📅 Scheduled to Move In</v>
      </c>
      <c r="H7" s="38" t="str">
        <f ca="1"/>
        <v>Unit 5-02-0109</v>
      </c>
      <c r="I7" s="36" t="str">
        <f ca="1"/>
        <v>yes</v>
      </c>
      <c r="J7" s="36" t="str">
        <f ca="1"/>
        <v>Vacant ready</v>
      </c>
      <c r="K7" s="85" t="str">
        <f ca="1"/>
        <v>🟢 Apartment Ready</v>
      </c>
      <c r="L7" s="39" t="str">
        <f ca="1"/>
        <v>Inspection</v>
      </c>
      <c r="N7" s="60" t="str">
        <f ca="1"/>
        <v>═══════════════</v>
      </c>
      <c r="O7" s="52" t="str">
        <f ca="1"/>
        <v>═══════════════</v>
      </c>
      <c r="P7" s="61" t="str">
        <f ca="1"/>
        <v>═══════════════</v>
      </c>
      <c r="R7" s="1" t="str">
        <f ca="1"/>
        <v>15–30</v>
      </c>
      <c r="S7" s="1" t="str">
        <f ca="1"/>
        <v>13</v>
      </c>
      <c r="T7" s="1" t="str">
        <f ca="1"/>
        <v>23.6%</v>
      </c>
      <c r="U7" s="1" t="str">
        <f ca="1"/>
        <v>100.0%</v>
      </c>
      <c r="V7" s="1" t="str">
        <f ca="1"/>
        <v>29.9</v>
      </c>
      <c r="W7" s="1" t="str">
        <f ca="1"/>
        <v>12</v>
      </c>
      <c r="X7" s="1" t="str">
        <f ca="1"/>
        <v>1</v>
      </c>
    </row>
    <row r="8" spans="1:24" ht="16.5" thickBot="1" x14ac:dyDescent="0.45">
      <c r="B8" s="38" t="str">
        <f ca="1"/>
        <v>Unit 8-01-3008</v>
      </c>
      <c r="C8" s="36" t="str">
        <f ca="1"/>
        <v>Vacant not ready</v>
      </c>
      <c r="D8" s="36" t="str">
        <f ca="1"/>
        <v>13</v>
      </c>
      <c r="E8" s="36" t="str">
        <f ca="1"/>
        <v>02/19/26</v>
      </c>
      <c r="F8" s="39" t="str">
        <f ca="1"/>
        <v>📅 Scheduled to Move In</v>
      </c>
      <c r="H8" s="38" t="str">
        <f ca="1"/>
        <v>Unit 5-02-0301</v>
      </c>
      <c r="I8" s="36" t="str">
        <f ca="1"/>
        <v>Yes</v>
      </c>
      <c r="J8" s="36" t="str">
        <f ca="1"/>
        <v>Vacant ready</v>
      </c>
      <c r="K8" s="85" t="str">
        <f ca="1"/>
        <v>📅 Scheduled to Move In</v>
      </c>
      <c r="L8" s="39" t="str">
        <f ca="1"/>
        <v>Inspection</v>
      </c>
      <c r="N8" s="58" t="str">
        <f ca="1"/>
        <v/>
      </c>
      <c r="O8" s="1" t="str">
        <f ca="1"/>
        <v/>
      </c>
      <c r="P8" s="59" t="str">
        <f ca="1"/>
        <v/>
      </c>
      <c r="R8" s="1" t="str">
        <f ca="1"/>
        <v>31–60</v>
      </c>
      <c r="S8" s="1" t="str">
        <f ca="1"/>
        <v>14</v>
      </c>
      <c r="T8" s="1" t="str">
        <f ca="1"/>
        <v>25.5%</v>
      </c>
      <c r="U8" s="1" t="str">
        <f ca="1"/>
        <v>100.0%</v>
      </c>
      <c r="V8" s="1" t="str">
        <f ca="1"/>
        <v>55.3</v>
      </c>
      <c r="W8" s="1" t="str">
        <f ca="1"/>
        <v>14</v>
      </c>
      <c r="X8" s="1" t="str">
        <f ca="1"/>
        <v>0</v>
      </c>
    </row>
    <row r="9" spans="1:24" ht="16.5" thickBot="1" x14ac:dyDescent="0.45">
      <c r="B9" s="38" t="str">
        <f ca="1"/>
        <v>Unit 5-18-0131</v>
      </c>
      <c r="C9" s="36" t="str">
        <f ca="1"/>
        <v>Vacant not ready</v>
      </c>
      <c r="D9" s="36" t="str">
        <f ca="1"/>
        <v>12</v>
      </c>
      <c r="E9" s="36" t="str">
        <f ca="1"/>
        <v>02/19/26</v>
      </c>
      <c r="F9" s="39" t="str">
        <f ca="1"/>
        <v>📅 Scheduled to Move In</v>
      </c>
      <c r="H9" s="38" t="str">
        <f ca="1"/>
        <v>Unit 5-02-0306</v>
      </c>
      <c r="I9" s="36" t="str">
        <f ca="1"/>
        <v>Yes</v>
      </c>
      <c r="J9" s="36" t="str">
        <f ca="1"/>
        <v>Vacant not ready</v>
      </c>
      <c r="K9" s="85" t="str">
        <f ca="1"/>
        <v>📅 Scheduled to Move In</v>
      </c>
      <c r="L9" s="39" t="str">
        <f ca="1"/>
        <v>Paint</v>
      </c>
      <c r="N9" s="44" t="str">
        <f ca="1"/>
        <v>Unit Unit 5-02-0301</v>
      </c>
      <c r="O9" s="1" t="str">
        <f ca="1"/>
        <v/>
      </c>
      <c r="P9" s="59" t="str">
        <f ca="1"/>
        <v/>
      </c>
      <c r="R9" s="1" t="str">
        <f ca="1"/>
        <v>61–120</v>
      </c>
      <c r="S9" s="1" t="str">
        <f ca="1"/>
        <v>8</v>
      </c>
      <c r="T9" s="1" t="str">
        <f ca="1"/>
        <v>14.5%</v>
      </c>
      <c r="U9" s="1" t="str">
        <f ca="1"/>
        <v>100.0%</v>
      </c>
      <c r="V9" s="1" t="str">
        <f ca="1"/>
        <v>112.4</v>
      </c>
      <c r="W9" s="1" t="str">
        <f ca="1"/>
        <v>7</v>
      </c>
      <c r="X9" s="1" t="str">
        <f ca="1"/>
        <v>1</v>
      </c>
    </row>
    <row r="10" spans="1:24" ht="16.5" thickBot="1" x14ac:dyDescent="0.45">
      <c r="B10" s="38" t="str">
        <f ca="1"/>
        <v>Unit 8-01-1049</v>
      </c>
      <c r="C10" s="36" t="str">
        <f ca="1"/>
        <v>Vacant not ready</v>
      </c>
      <c r="D10" s="36" t="str">
        <f ca="1"/>
        <v>12</v>
      </c>
      <c r="E10" s="36" t="str">
        <f ca="1"/>
        <v>02/20/26</v>
      </c>
      <c r="F10" s="39" t="str">
        <f ca="1"/>
        <v>📅 Scheduled to Move In</v>
      </c>
      <c r="H10" s="38" t="str">
        <f ca="1"/>
        <v>Unit 5-03-0227</v>
      </c>
      <c r="I10" s="36" t="str">
        <f ca="1"/>
        <v>Yes</v>
      </c>
      <c r="J10" s="36" t="str">
        <f ca="1"/>
        <v>Vacant not ready</v>
      </c>
      <c r="K10" s="85" t="str">
        <f ca="1"/>
        <v>🟡 Needs Attention</v>
      </c>
      <c r="L10" s="39" t="str">
        <f ca="1"/>
        <v>Paint</v>
      </c>
      <c r="N10" s="58" t="str">
        <f ca="1"/>
        <v/>
      </c>
      <c r="O10" s="1" t="str">
        <f ca="1"/>
        <v/>
      </c>
      <c r="P10" s="59" t="str">
        <f ca="1"/>
        <v/>
      </c>
      <c r="R10" s="1" t="str">
        <f ca="1"/>
        <v>120+</v>
      </c>
      <c r="S10" s="1" t="str">
        <f ca="1"/>
        <v>5</v>
      </c>
      <c r="T10" s="1" t="str">
        <f ca="1"/>
        <v>9.1%</v>
      </c>
      <c r="U10" s="1" t="str">
        <f ca="1"/>
        <v>100.0%</v>
      </c>
      <c r="V10" s="1" t="str">
        <f ca="1"/>
        <v>264.4</v>
      </c>
      <c r="W10" s="1" t="str">
        <f ca="1"/>
        <v>4</v>
      </c>
      <c r="X10" s="1" t="str">
        <f ca="1"/>
        <v>1</v>
      </c>
    </row>
    <row r="11" spans="1:24" ht="16.5" thickBot="1" x14ac:dyDescent="0.45">
      <c r="B11" s="38" t="str">
        <f ca="1"/>
        <v>Unit 5-15-0102</v>
      </c>
      <c r="C11" s="36" t="str">
        <f ca="1"/>
        <v>Vacant not ready</v>
      </c>
      <c r="D11" s="36" t="str">
        <f ca="1"/>
        <v>11</v>
      </c>
      <c r="E11" s="36" t="str">
        <f ca="1"/>
        <v>02/21/26</v>
      </c>
      <c r="F11" s="39" t="str">
        <f ca="1"/>
        <v>📅 Scheduled to Move In</v>
      </c>
      <c r="H11" s="38" t="str">
        <f ca="1"/>
        <v>Unit 5-04-5760</v>
      </c>
      <c r="I11" s="36" t="str">
        <f ca="1"/>
        <v>Yes</v>
      </c>
      <c r="J11" s="36" t="str">
        <f ca="1"/>
        <v>Vacant ready</v>
      </c>
      <c r="K11" s="85" t="str">
        <f ca="1"/>
        <v>📅 Scheduled to Move In</v>
      </c>
      <c r="L11" s="39" t="str">
        <f ca="1"/>
        <v>Inspection</v>
      </c>
      <c r="N11" s="67" t="str">
        <f ca="1"/>
        <v>Phase: 5</v>
      </c>
      <c r="O11" s="68" t="str">
        <f ca="1"/>
        <v>Building: 02</v>
      </c>
      <c r="P11" s="69" t="str">
        <f ca="1"/>
        <v>Unit: 0301</v>
      </c>
      <c r="R11" s="1" t="str">
        <f ca="1"/>
        <v>TOTAL</v>
      </c>
      <c r="S11" s="1" t="str">
        <f ca="1"/>
        <v>55</v>
      </c>
      <c r="T11" s="1" t="str">
        <f ca="1"/>
        <v>100%</v>
      </c>
      <c r="U11" s="1" t="str">
        <f ca="1"/>
        <v/>
      </c>
      <c r="V11" s="1" t="str">
        <f ca="1"/>
        <v/>
      </c>
      <c r="W11" s="1" t="str">
        <f ca="1"/>
        <v>39</v>
      </c>
      <c r="X11" s="1" t="str">
        <f ca="1"/>
        <v>15</v>
      </c>
    </row>
    <row r="12" spans="1:24" ht="16.5" thickBot="1" x14ac:dyDescent="0.45">
      <c r="B12" s="38" t="str">
        <f ca="1"/>
        <v>Unit 7-02-0202</v>
      </c>
      <c r="C12" s="36" t="str">
        <f ca="1"/>
        <v>Vacant ready</v>
      </c>
      <c r="D12" s="36" t="str">
        <f ca="1"/>
        <v>99</v>
      </c>
      <c r="E12" s="36" t="str">
        <f ca="1"/>
        <v>02/24/26</v>
      </c>
      <c r="F12" s="39" t="str">
        <f ca="1"/>
        <v>📅 Scheduled to Move In</v>
      </c>
      <c r="H12" s="38" t="str">
        <f ca="1"/>
        <v>Unit 5-09-0109</v>
      </c>
      <c r="I12" s="36" t="str">
        <f ca="1"/>
        <v>Yes</v>
      </c>
      <c r="J12" s="36" t="str">
        <f ca="1"/>
        <v>Vacant not ready</v>
      </c>
      <c r="K12" s="85" t="str">
        <f ca="1"/>
        <v>⏸️ Work Stalled</v>
      </c>
      <c r="L12" s="39" t="str">
        <f ca="1"/>
        <v>Paint</v>
      </c>
      <c r="N12" s="58" t="str">
        <f ca="1"/>
        <v/>
      </c>
      <c r="O12" s="1" t="str">
        <f ca="1"/>
        <v/>
      </c>
      <c r="P12" s="59" t="str">
        <f ca="1"/>
        <v/>
      </c>
      <c r="R12" s="73" t="str" cm="1">
        <f t="array" aca="1" ref="R12:W30" ca="1">_xlfn._xlws.PY(7,0,S4,R4)</f>
        <v>1–10</v>
      </c>
      <c r="S12" s="73" t="str">
        <f ca="1"/>
        <v>11–20</v>
      </c>
      <c r="T12" s="73" t="str">
        <f ca="1"/>
        <v>21–30</v>
      </c>
      <c r="U12" s="73" t="str">
        <f ca="1"/>
        <v>31–60</v>
      </c>
      <c r="V12" s="73" t="str">
        <f ca="1"/>
        <v>61–120</v>
      </c>
      <c r="W12" s="73" t="str">
        <f ca="1"/>
        <v>120+</v>
      </c>
    </row>
    <row r="13" spans="1:24" x14ac:dyDescent="0.4">
      <c r="B13" s="38" t="str">
        <f ca="1"/>
        <v>Unit 5-17-0114</v>
      </c>
      <c r="C13" s="36" t="str">
        <f ca="1"/>
        <v>Vacant not ready</v>
      </c>
      <c r="D13" s="36" t="str">
        <f ca="1"/>
        <v>12</v>
      </c>
      <c r="E13" s="36" t="str">
        <f ca="1"/>
        <v>02/25/26</v>
      </c>
      <c r="F13" s="39" t="str">
        <f ca="1"/>
        <v>📅 Scheduled to Move In</v>
      </c>
      <c r="H13" s="38" t="str">
        <f ca="1"/>
        <v>Unit 5-11-0106</v>
      </c>
      <c r="I13" s="36" t="str">
        <f ca="1"/>
        <v xml:space="preserve">Yes stack </v>
      </c>
      <c r="J13" s="36" t="str">
        <f ca="1"/>
        <v>Vacant ready</v>
      </c>
      <c r="K13" s="85" t="str">
        <f ca="1"/>
        <v>🟢 Apartment Ready</v>
      </c>
      <c r="L13" s="39" t="str">
        <f ca="1"/>
        <v>Inspection</v>
      </c>
      <c r="N13" s="65" t="str">
        <f ca="1"/>
        <v>Move-out: 01/01/26</v>
      </c>
      <c r="O13" s="1" t="str">
        <f ca="1"/>
        <v/>
      </c>
      <c r="P13" s="65" t="str">
        <f ca="1"/>
        <v>Move-in: 02/17/26</v>
      </c>
      <c r="R13" s="1" t="str">
        <f ca="1"/>
        <v>Unit 7-02-0201 (Vacant not ready) | DV-10</v>
      </c>
      <c r="S13" s="1" t="str">
        <f ca="1"/>
        <v>Unit 8-01-1048 (Vacant ready) | DV-19</v>
      </c>
      <c r="T13" s="1" t="str">
        <f ca="1"/>
        <v>Unit 8-01-3086 (Vacant ready) | DV-30</v>
      </c>
      <c r="U13" s="1" t="str">
        <f ca="1"/>
        <v>Unit 8-01-2012 (Vacant ready) | DV-55</v>
      </c>
      <c r="V13" s="1" t="str">
        <f ca="1"/>
        <v>Unit 7-09-0107 (Vacant ready) | DV-109</v>
      </c>
      <c r="W13" s="1" t="str">
        <f ca="1"/>
        <v>Unit 5-18-0116 (Vacant not ready) | DV-322</v>
      </c>
    </row>
    <row r="14" spans="1:24" ht="16.5" thickBot="1" x14ac:dyDescent="0.45">
      <c r="B14" s="38" t="str">
        <f ca="1"/>
        <v>Unit 7-03-0109</v>
      </c>
      <c r="C14" s="36" t="str">
        <f ca="1"/>
        <v>Vacant not ready</v>
      </c>
      <c r="D14" s="36" t="str">
        <f ca="1"/>
        <v>6</v>
      </c>
      <c r="E14" s="36" t="str">
        <f ca="1"/>
        <v>02/26/26</v>
      </c>
      <c r="F14" s="39" t="str">
        <f ca="1"/>
        <v>📅 Scheduled to Move In</v>
      </c>
      <c r="H14" s="38" t="str">
        <f ca="1"/>
        <v>Unit 5-11-0303</v>
      </c>
      <c r="I14" s="36" t="str">
        <f ca="1"/>
        <v>Yes</v>
      </c>
      <c r="J14" s="36" t="str">
        <f ca="1"/>
        <v>Vacant not ready</v>
      </c>
      <c r="K14" s="85" t="str">
        <f ca="1"/>
        <v>🟡 Needs Attention</v>
      </c>
      <c r="L14" s="39" t="str">
        <f ca="1"/>
        <v>Paint</v>
      </c>
      <c r="N14" s="66" t="str">
        <f ca="1"/>
        <v>DV: 47</v>
      </c>
      <c r="O14" s="1" t="str">
        <f ca="1"/>
        <v/>
      </c>
      <c r="P14" s="66" t="str">
        <f ca="1"/>
        <v>DTBR: 0</v>
      </c>
      <c r="R14" s="1" t="str">
        <f ca="1"/>
        <v>Unit 5-18-0310 (Vacant not ready) | DV-10</v>
      </c>
      <c r="S14" s="1" t="str">
        <f ca="1"/>
        <v>Unit 5-18-0206 (Vacant not ready) | DV-17</v>
      </c>
      <c r="T14" s="1" t="str">
        <f ca="1"/>
        <v>Unit 8-01-4058 (Vacant ready) | DV-30</v>
      </c>
      <c r="U14" s="1" t="str">
        <f ca="1"/>
        <v>Unit 5-02-0109 (Vacant ready) | DV-54</v>
      </c>
      <c r="V14" s="1" t="str">
        <f ca="1"/>
        <v>Unit 5-18-0202 (Vacant ready) | DV-99</v>
      </c>
      <c r="W14" s="1" t="str">
        <f ca="1"/>
        <v>Unit 5-12-0307 (Vacant ready) | DV-322</v>
      </c>
    </row>
    <row r="15" spans="1:24" ht="16.5" thickBot="1" x14ac:dyDescent="0.45">
      <c r="B15" s="38" t="str">
        <f ca="1"/>
        <v>Unit 5-18-0206</v>
      </c>
      <c r="C15" s="36" t="str">
        <f ca="1"/>
        <v>Vacant not ready</v>
      </c>
      <c r="D15" s="36" t="str">
        <f ca="1"/>
        <v>17</v>
      </c>
      <c r="E15" s="36" t="str">
        <f ca="1"/>
        <v>02/27/26</v>
      </c>
      <c r="F15" s="39" t="str">
        <f ca="1"/>
        <v>📅 Scheduled to Move In</v>
      </c>
      <c r="H15" s="38" t="str">
        <f ca="1"/>
        <v>Unit 5-12-0307</v>
      </c>
      <c r="I15" s="36" t="str">
        <f ca="1"/>
        <v>yes</v>
      </c>
      <c r="J15" s="36" t="str">
        <f ca="1"/>
        <v>Vacant ready</v>
      </c>
      <c r="K15" s="85" t="str">
        <f ca="1"/>
        <v>🟢 Apartment Ready</v>
      </c>
      <c r="L15" s="39" t="str">
        <f ca="1"/>
        <v>Inspection</v>
      </c>
      <c r="N15" s="58" t="str">
        <f ca="1"/>
        <v/>
      </c>
      <c r="O15" s="1" t="str">
        <f ca="1"/>
        <v/>
      </c>
      <c r="P15" s="59" t="str">
        <f ca="1"/>
        <v/>
      </c>
      <c r="R15" s="1" t="str">
        <f ca="1"/>
        <v>Unit 8-01-3107 (Vacant not ready) | DV-9</v>
      </c>
      <c r="S15" s="1" t="str">
        <f ca="1"/>
        <v>Unit 5-18-0346 (Vacant ready) | DV-15</v>
      </c>
      <c r="T15" s="1" t="str">
        <f ca="1"/>
        <v>Unit 5-18-0146 (Vacant ready) | DV-29</v>
      </c>
      <c r="U15" s="1" t="str">
        <f ca="1"/>
        <v>Unit 7-02-0303 (Vacant ready) | DV-52</v>
      </c>
      <c r="V15" s="1" t="str">
        <f ca="1"/>
        <v>Unit 7-02-0202 (Vacant ready) | DV-99</v>
      </c>
      <c r="W15" s="1" t="str">
        <f ca="1"/>
        <v>Unit 5-18-0238 (Vacant ready) | DV-253</v>
      </c>
    </row>
    <row r="16" spans="1:24" ht="16.5" thickBot="1" x14ac:dyDescent="0.45">
      <c r="B16" s="38" t="str">
        <f ca="1"/>
        <v>Unit 7-TH1-0101</v>
      </c>
      <c r="C16" s="36" t="str">
        <f ca="1"/>
        <v>Vacant not ready</v>
      </c>
      <c r="D16" s="36" t="str">
        <f ca="1"/>
        <v>4</v>
      </c>
      <c r="E16" s="36" t="str">
        <f ca="1"/>
        <v>02/28/26</v>
      </c>
      <c r="F16" s="39" t="str">
        <f ca="1"/>
        <v>📅 Scheduled to Move In</v>
      </c>
      <c r="H16" s="38" t="str">
        <f ca="1"/>
        <v>Unit 5-15-0102</v>
      </c>
      <c r="I16" s="36" t="str">
        <f ca="1"/>
        <v>Yes</v>
      </c>
      <c r="J16" s="36" t="str">
        <f ca="1"/>
        <v>Vacant not ready</v>
      </c>
      <c r="K16" s="85" t="str">
        <f ca="1"/>
        <v>📅 Scheduled to Move In</v>
      </c>
      <c r="L16" s="39" t="str">
        <f ca="1"/>
        <v>Paint</v>
      </c>
      <c r="N16" s="58" t="str">
        <f ca="1"/>
        <v/>
      </c>
      <c r="O16" s="44" t="str">
        <f ca="1"/>
        <v>Ready Date: 01/10/26</v>
      </c>
      <c r="P16" s="59" t="str">
        <f ca="1"/>
        <v/>
      </c>
      <c r="R16" s="1" t="str">
        <f ca="1"/>
        <v>Unit 5-02-0306 (Vacant not ready) | DV-8</v>
      </c>
      <c r="S16" s="1" t="str">
        <f ca="1"/>
        <v>Unit 8-01-3008 (Vacant not ready) | DV-13</v>
      </c>
      <c r="T16" s="1" t="str">
        <f ca="1"/>
        <v>Unit 5-04-5760 (Vacant ready) | DV-29</v>
      </c>
      <c r="U16" s="1" t="str">
        <f ca="1"/>
        <v>Unit 7-04-0303 (Vacant ready) | DV-49</v>
      </c>
      <c r="V16" s="1" t="str">
        <f ca="1"/>
        <v>Unit 7-10-0303 (Vacant ready) | DV-98</v>
      </c>
      <c r="W16" s="1" t="str">
        <f ca="1"/>
        <v>Unit 8-01-3001 (Vacant ready) | DV-224</v>
      </c>
    </row>
    <row r="17" spans="2:23" ht="16.5" thickBot="1" x14ac:dyDescent="0.45">
      <c r="B17" s="38" t="str">
        <f ca="1"/>
        <v>Unit 8-01-3040</v>
      </c>
      <c r="C17" s="36" t="str">
        <f ca="1"/>
        <v>Vacant not ready</v>
      </c>
      <c r="D17" s="36" t="str">
        <f ca="1"/>
        <v>2</v>
      </c>
      <c r="E17" s="36" t="str">
        <f ca="1"/>
        <v>02/28/26</v>
      </c>
      <c r="F17" s="39" t="str">
        <f ca="1"/>
        <v>📅 Scheduled to Move In</v>
      </c>
      <c r="H17" s="38" t="str">
        <f ca="1"/>
        <v>Unit 5-15-0305</v>
      </c>
      <c r="I17" s="36" t="str">
        <f ca="1"/>
        <v>yes</v>
      </c>
      <c r="J17" s="36" t="str">
        <f ca="1"/>
        <v>Vacant ready</v>
      </c>
      <c r="K17" s="85" t="str">
        <f ca="1"/>
        <v>🟢 Apartment Ready</v>
      </c>
      <c r="L17" s="39" t="str">
        <f ca="1"/>
        <v>Inspection</v>
      </c>
      <c r="N17" s="58" t="str">
        <f ca="1"/>
        <v/>
      </c>
      <c r="O17" s="1" t="str">
        <f ca="1"/>
        <v/>
      </c>
      <c r="P17" s="59" t="str">
        <f ca="1"/>
        <v/>
      </c>
      <c r="R17" s="1" t="str">
        <f ca="1"/>
        <v>Unit 7-10-0306 (Vacant not ready) | DV-8</v>
      </c>
      <c r="S17" s="1" t="str">
        <f ca="1"/>
        <v>Unit 5-18-0131 (Vacant not ready) | DV-12</v>
      </c>
      <c r="T17" s="1" t="str">
        <f ca="1"/>
        <v>Unit 8-01-2083 (Vacant ready) | DV-27</v>
      </c>
      <c r="U17" s="1" t="str">
        <f ca="1"/>
        <v>Unit 5-01-0221 (Vacant ready) | DV-49</v>
      </c>
      <c r="V17" s="1" t="str">
        <f ca="1"/>
        <v>Unit 8-01-3013 (Vacant ready) | DV-97</v>
      </c>
      <c r="W17" s="1" t="str">
        <f ca="1"/>
        <v>Unit 5-18-0422 (Vacant ready) | DV-201</v>
      </c>
    </row>
    <row r="18" spans="2:23" ht="16.5" thickBot="1" x14ac:dyDescent="0.45">
      <c r="B18" s="38" t="str">
        <f ca="1"/>
        <v>Unit 5-17-0202</v>
      </c>
      <c r="C18" s="36" t="str">
        <f ca="1"/>
        <v>Vacant not ready</v>
      </c>
      <c r="D18" s="36" t="str">
        <f ca="1"/>
        <v>6</v>
      </c>
      <c r="E18" s="36" t="str">
        <f ca="1"/>
        <v>03/03/26</v>
      </c>
      <c r="F18" s="39" t="str">
        <f ca="1"/>
        <v>📅 Scheduled to Move In</v>
      </c>
      <c r="H18" s="38" t="str">
        <f ca="1"/>
        <v>Unit 5-17-0114</v>
      </c>
      <c r="I18" s="36" t="str">
        <f ca="1"/>
        <v>Yes</v>
      </c>
      <c r="J18" s="36" t="str">
        <f ca="1"/>
        <v>Vacant not ready</v>
      </c>
      <c r="K18" s="85" t="str">
        <f ca="1"/>
        <v>📅 Scheduled to Move In</v>
      </c>
      <c r="L18" s="39" t="str">
        <f ca="1"/>
        <v>Paint</v>
      </c>
      <c r="N18" s="44" t="str">
        <f ca="1"/>
        <v>Status: Vacant ready</v>
      </c>
      <c r="O18" s="1" t="str">
        <f ca="1"/>
        <v/>
      </c>
      <c r="P18" s="44" t="str">
        <f ca="1"/>
        <v>QC: No</v>
      </c>
      <c r="R18" s="1" t="str">
        <f ca="1"/>
        <v>Unit 5-09-0109 (Vacant not ready) | DV-7</v>
      </c>
      <c r="S18" s="1" t="str">
        <f ca="1"/>
        <v>Unit 8-01-1049 (Vacant not ready) | DV-12</v>
      </c>
      <c r="T18" s="1" t="str">
        <f ca="1"/>
        <v>Unit 5-17-0310 (Vacant ready) | DV-26</v>
      </c>
      <c r="U18" s="1" t="str">
        <f ca="1"/>
        <v>Unit 5-18-0342 (Vacant ready) | DV-48</v>
      </c>
      <c r="V18" s="1" t="str">
        <f ca="1"/>
        <v>Unit 5-18-0117 (Vacant not ready) | DV-85</v>
      </c>
      <c r="W18" s="1" t="str">
        <f ca="1"/>
        <v>Unit 8-01-2001 (Vacant ready) | DV-156</v>
      </c>
    </row>
    <row r="19" spans="2:23" ht="16.5" thickBot="1" x14ac:dyDescent="0.45">
      <c r="B19" s="38" t="str">
        <f ca="1"/>
        <v>Unit 5-02-0306</v>
      </c>
      <c r="C19" s="36" t="str">
        <f ca="1"/>
        <v>Vacant not ready</v>
      </c>
      <c r="D19" s="36" t="str">
        <f ca="1"/>
        <v>8</v>
      </c>
      <c r="E19" s="36" t="str">
        <f ca="1"/>
        <v>03/06/26</v>
      </c>
      <c r="F19" s="39" t="str">
        <f ca="1"/>
        <v>📅 Scheduled to Move In</v>
      </c>
      <c r="H19" s="38" t="str">
        <f ca="1"/>
        <v>Unit 5-17-0119</v>
      </c>
      <c r="I19" s="36" t="str">
        <f ca="1"/>
        <v>yes</v>
      </c>
      <c r="J19" s="36" t="str">
        <f ca="1"/>
        <v>Vacant ready</v>
      </c>
      <c r="K19" s="85" t="str">
        <f ca="1"/>
        <v>🟢 Apartment Ready</v>
      </c>
      <c r="L19" s="39" t="str">
        <f ca="1"/>
        <v>Inspection</v>
      </c>
      <c r="N19" s="58" t="str">
        <f ca="1"/>
        <v/>
      </c>
      <c r="O19" s="1" t="str">
        <f ca="1"/>
        <v/>
      </c>
      <c r="P19" s="59" t="str">
        <f ca="1"/>
        <v/>
      </c>
      <c r="R19" s="1" t="str">
        <f ca="1"/>
        <v>Unit 5-17-0202 (Vacant not ready) | DV-6</v>
      </c>
      <c r="S19" s="1" t="str">
        <f ca="1"/>
        <v>Unit 5-17-0114 (Vacant not ready) | DV-12</v>
      </c>
      <c r="T19" s="1" t="str">
        <f ca="1"/>
        <v>Unit 7-02-0116 (Vacant ready) | DV-24</v>
      </c>
      <c r="U19" s="1" t="str">
        <f ca="1"/>
        <v>Unit 5-02-0301 (Vacant ready) | DV-47</v>
      </c>
      <c r="V19" s="1" t="str">
        <f ca="1"/>
        <v>Unit 5-11-0106 (Vacant ready) | DV-75</v>
      </c>
      <c r="W19" s="1" t="str">
        <f ca="1"/>
        <v>Unit 5-15-0305 (Vacant ready) | DV-131</v>
      </c>
    </row>
    <row r="20" spans="2:23" x14ac:dyDescent="0.4">
      <c r="B20" s="38" t="str">
        <f ca="1"/>
        <v>Unit 7-07-0202</v>
      </c>
      <c r="C20" s="36" t="str">
        <f ca="1"/>
        <v>Vacant not ready</v>
      </c>
      <c r="D20" s="36" t="str">
        <f ca="1"/>
        <v>1</v>
      </c>
      <c r="E20" s="36" t="str">
        <f ca="1"/>
        <v>03/06/26</v>
      </c>
      <c r="F20" s="39" t="str">
        <f ca="1"/>
        <v>📅 Scheduled to Move In</v>
      </c>
      <c r="H20" s="38" t="str">
        <f ca="1"/>
        <v>Unit 5-17-0202</v>
      </c>
      <c r="I20" s="36" t="str">
        <f ca="1"/>
        <v>Yes</v>
      </c>
      <c r="J20" s="36" t="str">
        <f ca="1"/>
        <v>Vacant not ready</v>
      </c>
      <c r="K20" s="85" t="str">
        <f ca="1"/>
        <v>📅 Scheduled to Move In</v>
      </c>
      <c r="L20" s="39" t="str">
        <f ca="1"/>
        <v>Paint</v>
      </c>
      <c r="N20" s="58" t="str">
        <f ca="1"/>
        <v/>
      </c>
      <c r="O20" s="65" t="str">
        <f ca="1"/>
        <v>⚠️ Alert</v>
      </c>
      <c r="P20" s="59" t="str">
        <f ca="1"/>
        <v/>
      </c>
      <c r="R20" s="1" t="str">
        <f ca="1"/>
        <v>Unit 7-03-0109 (Vacant not ready) | DV-6</v>
      </c>
      <c r="S20" s="1" t="str">
        <f ca="1"/>
        <v>Unit 5-15-0102 (Vacant not ready) | DV-11</v>
      </c>
      <c r="T20" s="1" t="str">
        <f ca="1"/>
        <v>Unit 8-01-2034 (Vacant ready) | DV-22</v>
      </c>
      <c r="U20" s="1" t="str">
        <f ca="1"/>
        <v>Unit 7-02-0302 (Vacant ready) | DV-46</v>
      </c>
      <c r="V20" s="1" t="str">
        <f ca="1"/>
        <v>Unit 5-17-0119 (Vacant ready) | DV-74</v>
      </c>
      <c r="W20" s="1" t="str">
        <f ca="1"/>
        <v>Unit 5-18-0222 (Vacant ready) | DV-124</v>
      </c>
    </row>
    <row r="21" spans="2:23" ht="16.5" thickBot="1" x14ac:dyDescent="0.45">
      <c r="B21" s="38" t="str">
        <f ca="1"/>
        <v>Unit 5-04-5760</v>
      </c>
      <c r="C21" s="36" t="str">
        <f ca="1"/>
        <v>Vacant ready</v>
      </c>
      <c r="D21" s="36" t="str">
        <f ca="1"/>
        <v>29</v>
      </c>
      <c r="E21" s="36" t="str">
        <f ca="1"/>
        <v>03/07/26</v>
      </c>
      <c r="F21" s="39" t="str">
        <f ca="1"/>
        <v>📅 Scheduled to Move In</v>
      </c>
      <c r="H21" s="38" t="str">
        <f ca="1"/>
        <v>Unit 5-17-0215</v>
      </c>
      <c r="I21" s="36" t="str">
        <f ca="1"/>
        <v>Yes</v>
      </c>
      <c r="J21" s="36" t="str">
        <f ca="1"/>
        <v>Vacant not ready</v>
      </c>
      <c r="K21" s="85" t="str">
        <f ca="1"/>
        <v>⏸️ Work Stalled</v>
      </c>
      <c r="L21" s="39" t="str">
        <f ca="1"/>
        <v>Paint</v>
      </c>
      <c r="N21" s="58" t="str">
        <f ca="1"/>
        <v/>
      </c>
      <c r="O21" s="66" t="str">
        <f ca="1"/>
        <v>📅 Scheduled to Move In</v>
      </c>
      <c r="P21" s="59" t="str">
        <f ca="1"/>
        <v/>
      </c>
      <c r="R21" s="1" t="str">
        <f ca="1"/>
        <v>Unit 8-01-2041 (Vacant not ready) | DV-5</v>
      </c>
      <c r="S21" s="1" t="str">
        <f ca="1"/>
        <v/>
      </c>
      <c r="T21" s="1" t="str">
        <f ca="1"/>
        <v>Unit 7-TH1-0104 (Vacant ready) | DV-22</v>
      </c>
      <c r="U21" s="1" t="str">
        <f ca="1"/>
        <v>Unit 7-09-0111 (Vacant ready) | DV-44</v>
      </c>
      <c r="V21" s="1" t="str">
        <f ca="1"/>
        <v>Unit 8-01-1109 (Vacant ready) | DV-74</v>
      </c>
      <c r="W21" s="1" t="str">
        <f ca="1"/>
        <v/>
      </c>
    </row>
    <row r="22" spans="2:23" ht="16.5" thickBot="1" x14ac:dyDescent="0.45">
      <c r="B22" s="38" t="str">
        <f ca="1"/>
        <v>Unit 5-18-0116</v>
      </c>
      <c r="C22" s="36" t="str">
        <f ca="1"/>
        <v>Vacant not ready</v>
      </c>
      <c r="D22" s="36" t="str">
        <f ca="1"/>
        <v>322</v>
      </c>
      <c r="E22" s="36" t="str">
        <f ca="1"/>
        <v/>
      </c>
      <c r="F22" s="39" t="str">
        <f ca="1"/>
        <v>🟡 Needs Attention</v>
      </c>
      <c r="H22" s="38" t="str">
        <f ca="1"/>
        <v>Unit 5-17-0310</v>
      </c>
      <c r="I22" s="36" t="str">
        <f ca="1"/>
        <v>Yes</v>
      </c>
      <c r="J22" s="36" t="str">
        <f ca="1"/>
        <v>Vacant ready</v>
      </c>
      <c r="K22" s="85" t="str">
        <f ca="1"/>
        <v>🟢 Apartment Ready</v>
      </c>
      <c r="L22" s="39" t="str">
        <f ca="1"/>
        <v>Inspection</v>
      </c>
      <c r="N22" s="58" t="str">
        <f ca="1"/>
        <v/>
      </c>
      <c r="O22" s="1" t="str">
        <f ca="1"/>
        <v/>
      </c>
      <c r="P22" s="59" t="str">
        <f ca="1"/>
        <v/>
      </c>
      <c r="R22" s="1" t="str">
        <f ca="1"/>
        <v>Unit 5-11-0303 (Vacant not ready) | DV-5</v>
      </c>
      <c r="S22" s="1" t="str">
        <f ca="1"/>
        <v/>
      </c>
      <c r="T22" s="1" t="str">
        <f ca="1"/>
        <v/>
      </c>
      <c r="U22" s="1" t="str">
        <f ca="1"/>
        <v>Unit 7-07-0104 (Vacant ready) | DV-43</v>
      </c>
      <c r="V22" s="1" t="str">
        <f ca="1"/>
        <v>Unit 7-11-0315 (Vacant ready) | DV-68</v>
      </c>
      <c r="W22" s="1" t="str">
        <f ca="1"/>
        <v/>
      </c>
    </row>
    <row r="23" spans="2:23" x14ac:dyDescent="0.4">
      <c r="B23" s="38" t="str">
        <f ca="1"/>
        <v>Unit 5-12-0307</v>
      </c>
      <c r="C23" s="36" t="str">
        <f ca="1"/>
        <v>Vacant ready</v>
      </c>
      <c r="D23" s="36" t="str">
        <f ca="1"/>
        <v>322</v>
      </c>
      <c r="E23" s="36" t="str">
        <f ca="1"/>
        <v/>
      </c>
      <c r="F23" s="39" t="str">
        <f ca="1"/>
        <v>🟢 Apartment Ready</v>
      </c>
      <c r="H23" s="38" t="str">
        <f ca="1"/>
        <v>Unit 5-17-0311</v>
      </c>
      <c r="I23" s="36" t="str">
        <f ca="1"/>
        <v>Yes</v>
      </c>
      <c r="J23" s="36" t="str">
        <f ca="1"/>
        <v>Vacant ready</v>
      </c>
      <c r="K23" s="85" t="str">
        <f ca="1"/>
        <v>🟢 Apartment Ready</v>
      </c>
      <c r="L23" s="39" t="str">
        <f ca="1"/>
        <v>Inspection</v>
      </c>
      <c r="N23" s="65" t="str">
        <f ca="1"/>
        <v>Current Task</v>
      </c>
      <c r="O23" s="1" t="str">
        <f ca="1"/>
        <v/>
      </c>
      <c r="P23" s="65" t="str">
        <f ca="1"/>
        <v>Next Task</v>
      </c>
      <c r="R23" s="1" t="str">
        <f ca="1"/>
        <v>Unit 7-TH1-0101 (Vacant not ready) | DV-4</v>
      </c>
      <c r="S23" s="1" t="str">
        <f ca="1"/>
        <v/>
      </c>
      <c r="T23" s="1" t="str">
        <f ca="1"/>
        <v/>
      </c>
      <c r="U23" s="1" t="str">
        <f ca="1"/>
        <v>Unit 7-06-0106 (Vacant ready) | DV-43</v>
      </c>
      <c r="V23" s="1" t="str">
        <f ca="1"/>
        <v/>
      </c>
      <c r="W23" s="1" t="str">
        <f ca="1"/>
        <v/>
      </c>
    </row>
    <row r="24" spans="2:23" ht="16.5" thickBot="1" x14ac:dyDescent="0.45">
      <c r="B24" s="38" t="str">
        <f ca="1"/>
        <v>Unit 5-18-0238</v>
      </c>
      <c r="C24" s="36" t="str">
        <f ca="1"/>
        <v>Vacant ready</v>
      </c>
      <c r="D24" s="36" t="str">
        <f ca="1"/>
        <v>253</v>
      </c>
      <c r="E24" s="36" t="str">
        <f ca="1"/>
        <v/>
      </c>
      <c r="F24" s="39" t="str">
        <f ca="1"/>
        <v>🟢 Apartment Ready</v>
      </c>
      <c r="H24" s="38" t="str">
        <f ca="1"/>
        <v>Unit 5-18-0116</v>
      </c>
      <c r="I24" s="36" t="str">
        <f ca="1"/>
        <v>yes</v>
      </c>
      <c r="J24" s="36" t="str">
        <f ca="1"/>
        <v>Vacant not ready</v>
      </c>
      <c r="K24" s="85" t="str">
        <f ca="1"/>
        <v>🟡 Needs Attention</v>
      </c>
      <c r="L24" s="39" t="str">
        <f ca="1"/>
        <v>Inspection</v>
      </c>
      <c r="N24" s="70" t="str">
        <f ca="1"/>
        <v>Inspection — — | None</v>
      </c>
      <c r="O24" s="1" t="str">
        <f ca="1"/>
        <v/>
      </c>
      <c r="P24" s="66" t="str">
        <f ca="1"/>
        <v>Paint | ✓ Done</v>
      </c>
      <c r="R24" s="1" t="str">
        <f ca="1"/>
        <v>Unit 5-18-0125 (Vacant not ready) | DV-2</v>
      </c>
      <c r="S24" s="1" t="str">
        <f ca="1"/>
        <v/>
      </c>
      <c r="T24" s="1" t="str">
        <f ca="1"/>
        <v/>
      </c>
      <c r="U24" s="1" t="str">
        <f ca="1"/>
        <v>Unit 7-11-0318 (Vacant ready) | DV-41</v>
      </c>
      <c r="V24" s="1" t="str">
        <f ca="1"/>
        <v/>
      </c>
      <c r="W24" s="1" t="str">
        <f ca="1"/>
        <v/>
      </c>
    </row>
    <row r="25" spans="2:23" x14ac:dyDescent="0.4">
      <c r="B25" s="38" t="str">
        <f ca="1"/>
        <v>Unit 8-01-3001</v>
      </c>
      <c r="C25" s="36" t="str">
        <f ca="1"/>
        <v>Vacant ready</v>
      </c>
      <c r="D25" s="36" t="str">
        <f ca="1"/>
        <v>224</v>
      </c>
      <c r="E25" s="36" t="str">
        <f ca="1"/>
        <v/>
      </c>
      <c r="F25" s="39" t="str">
        <f ca="1"/>
        <v>🟢 Apartment Ready</v>
      </c>
      <c r="H25" s="38" t="str">
        <f ca="1"/>
        <v>Unit 5-18-0117</v>
      </c>
      <c r="I25" s="36" t="str">
        <f ca="1"/>
        <v>yes</v>
      </c>
      <c r="J25" s="36" t="str">
        <f ca="1"/>
        <v>Vacant not ready</v>
      </c>
      <c r="K25" s="85" t="str">
        <f ca="1"/>
        <v>🟡 Needs Attention</v>
      </c>
      <c r="L25" s="39" t="str">
        <f ca="1"/>
        <v>Inspection</v>
      </c>
      <c r="N25" s="58" t="str">
        <f ca="1"/>
        <v/>
      </c>
      <c r="O25" s="1" t="str">
        <f ca="1"/>
        <v/>
      </c>
      <c r="P25" s="59" t="str">
        <f ca="1"/>
        <v/>
      </c>
      <c r="R25" s="1" t="str">
        <f ca="1"/>
        <v>Unit 7-10-0107 (Vacant not ready) | DV-2</v>
      </c>
      <c r="S25" s="1" t="str">
        <f ca="1"/>
        <v/>
      </c>
      <c r="T25" s="1" t="str">
        <f ca="1"/>
        <v/>
      </c>
      <c r="U25" s="1" t="str">
        <f ca="1"/>
        <v>Unit 8-01-3096 (Vacant ready) | DV-40</v>
      </c>
      <c r="V25" s="1" t="str">
        <f ca="1"/>
        <v/>
      </c>
      <c r="W25" s="1" t="str">
        <f ca="1"/>
        <v/>
      </c>
    </row>
    <row r="26" spans="2:23" x14ac:dyDescent="0.4">
      <c r="B26" s="38" t="str">
        <f ca="1"/>
        <v>Unit 5-18-0422</v>
      </c>
      <c r="C26" s="36" t="str">
        <f ca="1"/>
        <v>Vacant ready</v>
      </c>
      <c r="D26" s="36" t="str">
        <f ca="1"/>
        <v>201</v>
      </c>
      <c r="E26" s="36" t="str">
        <f ca="1"/>
        <v/>
      </c>
      <c r="F26" s="39" t="str">
        <f ca="1"/>
        <v>🟢 Apartment Ready</v>
      </c>
      <c r="H26" s="38" t="str">
        <f ca="1"/>
        <v>Unit 5-18-0125</v>
      </c>
      <c r="I26" s="36" t="str">
        <f ca="1"/>
        <v/>
      </c>
      <c r="J26" s="36" t="str">
        <f ca="1"/>
        <v>Vacant not ready</v>
      </c>
      <c r="K26" s="85" t="str">
        <f ca="1"/>
        <v>🟡 Needs Attention</v>
      </c>
      <c r="L26" s="39" t="str">
        <f ca="1"/>
        <v>Inspection</v>
      </c>
      <c r="N26" s="60" t="str">
        <f ca="1"/>
        <v>═══════════════</v>
      </c>
      <c r="O26" s="52" t="str">
        <f ca="1"/>
        <v>═══════════════</v>
      </c>
      <c r="P26" s="61" t="str">
        <f ca="1"/>
        <v>═══════════════</v>
      </c>
      <c r="R26" s="1" t="str">
        <f ca="1"/>
        <v>Unit 7-06-0209 (Vacant not ready) | DV-2</v>
      </c>
      <c r="S26" s="1" t="str">
        <f ca="1"/>
        <v/>
      </c>
      <c r="T26" s="1" t="str">
        <f ca="1"/>
        <v/>
      </c>
      <c r="U26" s="1" t="str">
        <f ca="1"/>
        <v>Unit 5-18-0218 (Vacant ready) | DV-33</v>
      </c>
      <c r="V26" s="1" t="str">
        <f ca="1"/>
        <v/>
      </c>
      <c r="W26" s="1" t="str">
        <f ca="1"/>
        <v/>
      </c>
    </row>
    <row r="27" spans="2:23" x14ac:dyDescent="0.4">
      <c r="B27" s="38" t="str">
        <f ca="1"/>
        <v>Unit 8-01-2001</v>
      </c>
      <c r="C27" s="36" t="str">
        <f ca="1"/>
        <v>Vacant ready</v>
      </c>
      <c r="D27" s="36" t="str">
        <f ca="1"/>
        <v>156</v>
      </c>
      <c r="E27" s="36" t="str">
        <f ca="1"/>
        <v/>
      </c>
      <c r="F27" s="39" t="str">
        <f ca="1"/>
        <v>🟢 Apartment Ready</v>
      </c>
      <c r="H27" s="38" t="str">
        <f ca="1"/>
        <v>Unit 5-18-0131</v>
      </c>
      <c r="I27" s="36" t="str">
        <f ca="1"/>
        <v>No</v>
      </c>
      <c r="J27" s="36" t="str">
        <f ca="1"/>
        <v>Vacant not ready</v>
      </c>
      <c r="K27" s="85" t="str">
        <f ca="1"/>
        <v>📅 Scheduled to Move In</v>
      </c>
      <c r="L27" s="39" t="str">
        <f ca="1"/>
        <v>Paint</v>
      </c>
      <c r="N27" s="58" t="str">
        <f ca="1"/>
        <v/>
      </c>
      <c r="O27" s="1" t="str">
        <f ca="1"/>
        <v>TURN TASKS</v>
      </c>
      <c r="P27" s="59" t="str">
        <f ca="1"/>
        <v/>
      </c>
      <c r="R27" s="1" t="str">
        <f ca="1"/>
        <v>Unit 7-10-0107 (Vacant not ready) | DV-2</v>
      </c>
      <c r="S27" s="1" t="str">
        <f ca="1"/>
        <v/>
      </c>
      <c r="T27" s="1" t="str">
        <f ca="1"/>
        <v/>
      </c>
      <c r="U27" s="1" t="str">
        <f ca="1"/>
        <v>Unit 7-10-0302 (Vacant ready) | DV-32</v>
      </c>
      <c r="V27" s="1" t="str">
        <f ca="1"/>
        <v/>
      </c>
      <c r="W27" s="1" t="str">
        <f ca="1"/>
        <v/>
      </c>
    </row>
    <row r="28" spans="2:23" x14ac:dyDescent="0.4">
      <c r="B28" s="38" t="str">
        <f ca="1"/>
        <v>Unit 5-15-0305</v>
      </c>
      <c r="C28" s="36" t="str">
        <f ca="1"/>
        <v>Vacant ready</v>
      </c>
      <c r="D28" s="36" t="str">
        <f ca="1"/>
        <v>131</v>
      </c>
      <c r="E28" s="36" t="str">
        <f ca="1"/>
        <v/>
      </c>
      <c r="F28" s="39" t="str">
        <f ca="1"/>
        <v>🟢 Apartment Ready</v>
      </c>
      <c r="H28" s="38" t="str">
        <f ca="1"/>
        <v>Unit 5-18-0146</v>
      </c>
      <c r="I28" s="36" t="str">
        <f ca="1"/>
        <v>Yes</v>
      </c>
      <c r="J28" s="36" t="str">
        <f ca="1"/>
        <v>Vacant ready</v>
      </c>
      <c r="K28" s="85" t="str">
        <f ca="1"/>
        <v>🟢 Apartment Ready</v>
      </c>
      <c r="L28" s="39" t="str">
        <f ca="1"/>
        <v>Inspection</v>
      </c>
      <c r="N28" s="60" t="str">
        <f ca="1"/>
        <v>═══════════════</v>
      </c>
      <c r="O28" s="52" t="str">
        <f ca="1"/>
        <v>═══════════════</v>
      </c>
      <c r="P28" s="61" t="str">
        <f ca="1"/>
        <v>═══════════════</v>
      </c>
      <c r="R28" s="1" t="str">
        <f ca="1"/>
        <v>Unit 5-03-0227 (Vacant not ready) | DV-2</v>
      </c>
      <c r="S28" s="1" t="str">
        <f ca="1"/>
        <v/>
      </c>
      <c r="T28" s="1" t="str">
        <f ca="1"/>
        <v/>
      </c>
      <c r="U28" s="1" t="str">
        <f ca="1"/>
        <v>Unit 5-17-0215 (Vacant not ready) | DV-32</v>
      </c>
      <c r="V28" s="1" t="str">
        <f ca="1"/>
        <v/>
      </c>
      <c r="W28" s="1" t="str">
        <f ca="1"/>
        <v/>
      </c>
    </row>
    <row r="29" spans="2:23" x14ac:dyDescent="0.4">
      <c r="B29" s="38" t="str">
        <f ca="1"/>
        <v>Unit 5-18-0222</v>
      </c>
      <c r="C29" s="36" t="str">
        <f ca="1"/>
        <v>Vacant ready</v>
      </c>
      <c r="D29" s="36" t="str">
        <f ca="1"/>
        <v>124</v>
      </c>
      <c r="E29" s="36" t="str">
        <f ca="1"/>
        <v/>
      </c>
      <c r="F29" s="39" t="str">
        <f ca="1"/>
        <v>🟢 Apartment Ready</v>
      </c>
      <c r="H29" s="38" t="str">
        <f ca="1"/>
        <v>Unit 5-18-0202</v>
      </c>
      <c r="I29" s="36" t="str">
        <f ca="1"/>
        <v>yes</v>
      </c>
      <c r="J29" s="36" t="str">
        <f ca="1"/>
        <v>Vacant ready</v>
      </c>
      <c r="K29" s="85" t="str">
        <f ca="1"/>
        <v>🟢 Apartment Ready</v>
      </c>
      <c r="L29" s="39" t="str">
        <f ca="1"/>
        <v>Inspection</v>
      </c>
      <c r="N29" s="58" t="str">
        <f ca="1"/>
        <v/>
      </c>
      <c r="O29" s="1" t="str">
        <f ca="1"/>
        <v/>
      </c>
      <c r="P29" s="59" t="str">
        <f ca="1"/>
        <v/>
      </c>
      <c r="R29" s="1" t="str">
        <f ca="1"/>
        <v>Unit 8-01-3040 (Vacant not ready) | DV-2</v>
      </c>
      <c r="S29" s="1" t="str">
        <f ca="1"/>
        <v/>
      </c>
      <c r="T29" s="1" t="str">
        <f ca="1"/>
        <v/>
      </c>
      <c r="U29" s="1" t="str">
        <f ca="1"/>
        <v>Unit 5-17-0311 (Vacant ready) | DV-31</v>
      </c>
      <c r="V29" s="1" t="str">
        <f ca="1"/>
        <v/>
      </c>
      <c r="W29" s="1" t="str">
        <f ca="1"/>
        <v/>
      </c>
    </row>
    <row r="30" spans="2:23" x14ac:dyDescent="0.4">
      <c r="B30" s="38" t="str">
        <f ca="1"/>
        <v>Unit 7-09-0107</v>
      </c>
      <c r="C30" s="36" t="str">
        <f ca="1"/>
        <v>Vacant ready</v>
      </c>
      <c r="D30" s="36" t="str">
        <f ca="1"/>
        <v>109</v>
      </c>
      <c r="E30" s="36" t="str">
        <f ca="1"/>
        <v/>
      </c>
      <c r="F30" s="39" t="str">
        <f ca="1"/>
        <v>🟢 Apartment Ready</v>
      </c>
      <c r="H30" s="38" t="str">
        <f ca="1"/>
        <v>Unit 5-18-0206</v>
      </c>
      <c r="I30" s="36" t="str">
        <f ca="1"/>
        <v>Yes</v>
      </c>
      <c r="J30" s="36" t="str">
        <f ca="1"/>
        <v>Vacant not ready</v>
      </c>
      <c r="K30" s="85" t="str">
        <f ca="1"/>
        <v>📅 Scheduled to Move In</v>
      </c>
      <c r="L30" s="39" t="str">
        <f ca="1"/>
        <v>Paint</v>
      </c>
      <c r="N30" s="58" t="str">
        <f ca="1"/>
        <v>Task</v>
      </c>
      <c r="O30" s="1" t="str">
        <f ca="1"/>
        <v>Date</v>
      </c>
      <c r="P30" s="59" t="str">
        <f ca="1"/>
        <v>Status</v>
      </c>
      <c r="R30" s="1" t="str">
        <f ca="1"/>
        <v>Unit 7-07-0202 (Vacant not ready) | DV-1</v>
      </c>
      <c r="S30" s="1" t="str">
        <f ca="1"/>
        <v/>
      </c>
      <c r="T30" s="1" t="str">
        <f ca="1"/>
        <v/>
      </c>
      <c r="U30" s="1" t="str">
        <f ca="1"/>
        <v/>
      </c>
      <c r="V30" s="1" t="str">
        <f ca="1"/>
        <v/>
      </c>
      <c r="W30" s="1" t="str">
        <f ca="1"/>
        <v/>
      </c>
    </row>
    <row r="31" spans="2:23" ht="16.5" thickBot="1" x14ac:dyDescent="0.45">
      <c r="B31" s="38" t="str">
        <f ca="1"/>
        <v>Unit 5-18-0202</v>
      </c>
      <c r="C31" s="36" t="str">
        <f ca="1"/>
        <v>Vacant ready</v>
      </c>
      <c r="D31" s="36" t="str">
        <f ca="1"/>
        <v>99</v>
      </c>
      <c r="E31" s="36" t="str">
        <f ca="1"/>
        <v/>
      </c>
      <c r="F31" s="39" t="str">
        <f ca="1"/>
        <v>🟢 Apartment Ready</v>
      </c>
      <c r="H31" s="38" t="str">
        <f ca="1"/>
        <v>Unit 5-18-0218</v>
      </c>
      <c r="I31" s="36" t="str">
        <f ca="1"/>
        <v xml:space="preserve">Yes stack </v>
      </c>
      <c r="J31" s="36" t="str">
        <f ca="1"/>
        <v>Vacant ready</v>
      </c>
      <c r="K31" s="85" t="str">
        <f ca="1"/>
        <v>🟢 Apartment Ready</v>
      </c>
      <c r="L31" s="39" t="str">
        <f ca="1"/>
        <v>Inspection</v>
      </c>
      <c r="N31" s="58" t="str">
        <f ca="1"/>
        <v>────────────────</v>
      </c>
      <c r="O31" s="1" t="str">
        <f ca="1"/>
        <v>────────────</v>
      </c>
      <c r="P31" s="59" t="str">
        <f ca="1"/>
        <v>────────────────</v>
      </c>
    </row>
    <row r="32" spans="2:23" x14ac:dyDescent="0.4">
      <c r="B32" s="38" t="str">
        <f ca="1"/>
        <v>Unit 7-10-0303</v>
      </c>
      <c r="C32" s="36" t="str">
        <f ca="1"/>
        <v>Vacant ready</v>
      </c>
      <c r="D32" s="36" t="str">
        <f ca="1"/>
        <v>98</v>
      </c>
      <c r="E32" s="36" t="str">
        <f ca="1"/>
        <v/>
      </c>
      <c r="F32" s="39" t="str">
        <f ca="1"/>
        <v>🟢 Apartment Ready</v>
      </c>
      <c r="H32" s="38" t="str">
        <f ca="1"/>
        <v>Unit 5-18-0222</v>
      </c>
      <c r="I32" s="36" t="str">
        <f ca="1"/>
        <v>yes</v>
      </c>
      <c r="J32" s="36" t="str">
        <f ca="1"/>
        <v>Vacant ready</v>
      </c>
      <c r="K32" s="85" t="str">
        <f ca="1"/>
        <v>🟢 Apartment Ready</v>
      </c>
      <c r="L32" s="39" t="str">
        <f ca="1"/>
        <v>Inspection</v>
      </c>
      <c r="N32" s="65" t="str">
        <f ca="1"/>
        <v>Inspection</v>
      </c>
      <c r="O32" s="65" t="str">
        <f ca="1"/>
        <v>01/02/26</v>
      </c>
      <c r="P32" s="65" t="str">
        <f ca="1"/>
        <v>✓ Done</v>
      </c>
    </row>
    <row r="33" spans="2:22" x14ac:dyDescent="0.4">
      <c r="B33" s="38" t="str">
        <f ca="1"/>
        <v>Unit 8-01-3013</v>
      </c>
      <c r="C33" s="36" t="str">
        <f ca="1"/>
        <v>Vacant ready</v>
      </c>
      <c r="D33" s="36" t="str">
        <f ca="1"/>
        <v>97</v>
      </c>
      <c r="E33" s="36" t="str">
        <f ca="1"/>
        <v/>
      </c>
      <c r="F33" s="39" t="str">
        <f ca="1"/>
        <v>🟢 Apartment Ready</v>
      </c>
      <c r="H33" s="38" t="str">
        <f ca="1"/>
        <v>Unit 5-18-0238</v>
      </c>
      <c r="I33" s="36" t="str">
        <f ca="1"/>
        <v>yes</v>
      </c>
      <c r="J33" s="36" t="str">
        <f ca="1"/>
        <v>Vacant ready</v>
      </c>
      <c r="K33" s="85" t="str">
        <f ca="1"/>
        <v>🟢 Apartment Ready</v>
      </c>
      <c r="L33" s="39" t="str">
        <f ca="1"/>
        <v>Inspection</v>
      </c>
      <c r="N33" s="71" t="str">
        <f ca="1"/>
        <v>Paint</v>
      </c>
      <c r="O33" s="71" t="str">
        <f ca="1"/>
        <v>01/05/26</v>
      </c>
      <c r="P33" s="71" t="str">
        <f ca="1"/>
        <v>✓ Done</v>
      </c>
    </row>
    <row r="34" spans="2:22" x14ac:dyDescent="0.4">
      <c r="B34" s="38" t="str">
        <f ca="1"/>
        <v>Unit 5-18-0117</v>
      </c>
      <c r="C34" s="36" t="str">
        <f ca="1"/>
        <v>Vacant not ready</v>
      </c>
      <c r="D34" s="36" t="str">
        <f ca="1"/>
        <v>85</v>
      </c>
      <c r="E34" s="36" t="str">
        <f ca="1"/>
        <v/>
      </c>
      <c r="F34" s="39" t="str">
        <f ca="1"/>
        <v>🟡 Needs Attention</v>
      </c>
      <c r="H34" s="38" t="str">
        <f ca="1"/>
        <v>Unit 5-18-0310</v>
      </c>
      <c r="I34" s="36" t="str">
        <f ca="1"/>
        <v>No</v>
      </c>
      <c r="J34" s="36" t="str">
        <f ca="1"/>
        <v>Vacant not ready</v>
      </c>
      <c r="K34" s="85" t="str">
        <f ca="1"/>
        <v>⏸️ Work Stalled</v>
      </c>
      <c r="L34" s="39" t="str">
        <f ca="1"/>
        <v>Paint</v>
      </c>
      <c r="N34" s="71" t="str">
        <f ca="1"/>
        <v>MR</v>
      </c>
      <c r="O34" s="71" t="str">
        <f ca="1"/>
        <v>01/06/26</v>
      </c>
      <c r="P34" s="71" t="str">
        <f ca="1"/>
        <v>✓ Done</v>
      </c>
    </row>
    <row r="35" spans="2:22" x14ac:dyDescent="0.4">
      <c r="B35" s="38" t="str">
        <f ca="1"/>
        <v>Unit 5-11-0106</v>
      </c>
      <c r="C35" s="36" t="str">
        <f ca="1"/>
        <v>Vacant ready</v>
      </c>
      <c r="D35" s="36" t="str">
        <f ca="1"/>
        <v>75</v>
      </c>
      <c r="E35" s="36" t="str">
        <f ca="1"/>
        <v/>
      </c>
      <c r="F35" s="39" t="str">
        <f ca="1"/>
        <v>🟢 Apartment Ready</v>
      </c>
      <c r="H35" s="38" t="str">
        <f ca="1"/>
        <v>Unit 5-18-0342</v>
      </c>
      <c r="I35" s="36" t="str">
        <f ca="1"/>
        <v>yes</v>
      </c>
      <c r="J35" s="36" t="str">
        <f ca="1"/>
        <v>Vacant ready</v>
      </c>
      <c r="K35" s="85" t="str">
        <f ca="1"/>
        <v>🟢 Apartment Ready</v>
      </c>
      <c r="L35" s="39" t="str">
        <f ca="1"/>
        <v>Inspection</v>
      </c>
      <c r="N35" s="71" t="str">
        <f ca="1"/>
        <v>HK</v>
      </c>
      <c r="O35" s="71" t="str">
        <f ca="1"/>
        <v>01/09/26</v>
      </c>
      <c r="P35" s="71" t="str">
        <f ca="1"/>
        <v>✓ Done</v>
      </c>
    </row>
    <row r="36" spans="2:22" ht="16.5" thickBot="1" x14ac:dyDescent="0.45">
      <c r="B36" s="38" t="str">
        <f ca="1"/>
        <v>Unit 5-17-0119</v>
      </c>
      <c r="C36" s="36" t="str">
        <f ca="1"/>
        <v>Vacant ready</v>
      </c>
      <c r="D36" s="36" t="str">
        <f ca="1"/>
        <v>74</v>
      </c>
      <c r="E36" s="36" t="str">
        <f ca="1"/>
        <v/>
      </c>
      <c r="F36" s="39" t="str">
        <f ca="1"/>
        <v>🟢 Apartment Ready</v>
      </c>
      <c r="H36" s="38" t="str">
        <f ca="1"/>
        <v>Unit 5-18-0346</v>
      </c>
      <c r="I36" s="36" t="str">
        <f ca="1"/>
        <v>Yes</v>
      </c>
      <c r="J36" s="36" t="str">
        <f ca="1"/>
        <v>Vacant ready</v>
      </c>
      <c r="K36" s="85" t="str">
        <f ca="1"/>
        <v>🟢 Apartment Ready</v>
      </c>
      <c r="L36" s="39" t="str">
        <f ca="1"/>
        <v>Inspection</v>
      </c>
      <c r="N36" s="66" t="str">
        <f ca="1"/>
        <v>CC</v>
      </c>
      <c r="O36" s="66" t="str">
        <f ca="1"/>
        <v>01/12/26</v>
      </c>
      <c r="P36" s="66" t="str">
        <f ca="1"/>
        <v>✓ Done</v>
      </c>
    </row>
    <row r="37" spans="2:22" x14ac:dyDescent="0.4">
      <c r="B37" s="38" t="str">
        <f ca="1"/>
        <v>Unit 8-01-1109</v>
      </c>
      <c r="C37" s="36" t="str">
        <f ca="1"/>
        <v>Vacant ready</v>
      </c>
      <c r="D37" s="36" t="str">
        <f ca="1"/>
        <v>74</v>
      </c>
      <c r="E37" s="36" t="str">
        <f ca="1"/>
        <v/>
      </c>
      <c r="F37" s="39" t="str">
        <f ca="1"/>
        <v>🟢 Apartment Ready</v>
      </c>
      <c r="H37" s="38" t="str">
        <f ca="1"/>
        <v>Unit 5-18-0422</v>
      </c>
      <c r="I37" s="36" t="str">
        <f ca="1"/>
        <v>yes</v>
      </c>
      <c r="J37" s="36" t="str">
        <f ca="1"/>
        <v>Vacant ready</v>
      </c>
      <c r="K37" s="85" t="str">
        <f ca="1"/>
        <v>🟢 Apartment Ready</v>
      </c>
      <c r="L37" s="39" t="str">
        <f ca="1"/>
        <v>Inspection</v>
      </c>
      <c r="N37" s="58" t="str">
        <f ca="1"/>
        <v/>
      </c>
      <c r="O37" s="1" t="str">
        <f ca="1"/>
        <v/>
      </c>
      <c r="P37" s="59" t="str">
        <f ca="1"/>
        <v/>
      </c>
    </row>
    <row r="38" spans="2:22" x14ac:dyDescent="0.4">
      <c r="B38" s="38" t="str">
        <f ca="1"/>
        <v>Unit 7-11-0315</v>
      </c>
      <c r="C38" s="36" t="str">
        <f ca="1"/>
        <v>Vacant ready</v>
      </c>
      <c r="D38" s="36" t="str">
        <f ca="1"/>
        <v>68</v>
      </c>
      <c r="E38" s="36" t="str">
        <f ca="1"/>
        <v/>
      </c>
      <c r="F38" s="39" t="str">
        <f ca="1"/>
        <v>🟢 Apartment Ready</v>
      </c>
      <c r="H38" s="38" t="str">
        <f ca="1"/>
        <v>Unit 7-02-0116</v>
      </c>
      <c r="I38" s="36" t="str">
        <f ca="1"/>
        <v>Yes</v>
      </c>
      <c r="J38" s="36" t="str">
        <f ca="1"/>
        <v>Vacant ready</v>
      </c>
      <c r="K38" s="85" t="str">
        <f ca="1"/>
        <v>🟢 Apartment Ready</v>
      </c>
      <c r="L38" s="39" t="str">
        <f ca="1"/>
        <v>Inspection</v>
      </c>
      <c r="N38" s="60" t="str">
        <f ca="1"/>
        <v>═══════════════</v>
      </c>
      <c r="O38" s="52" t="str">
        <f ca="1"/>
        <v>═══════════════</v>
      </c>
      <c r="P38" s="61" t="str">
        <f ca="1"/>
        <v>═══════════════</v>
      </c>
    </row>
    <row r="39" spans="2:22" x14ac:dyDescent="0.4">
      <c r="B39" s="38" t="str">
        <f ca="1"/>
        <v>Unit 8-01-2012</v>
      </c>
      <c r="C39" s="36" t="str">
        <f ca="1"/>
        <v>Vacant ready</v>
      </c>
      <c r="D39" s="36" t="str">
        <f ca="1"/>
        <v>55</v>
      </c>
      <c r="E39" s="36" t="str">
        <f ca="1"/>
        <v/>
      </c>
      <c r="F39" s="39" t="str">
        <f ca="1"/>
        <v>🟢 Apartment Ready</v>
      </c>
      <c r="H39" s="38" t="str">
        <f ca="1"/>
        <v>Unit 7-02-0201</v>
      </c>
      <c r="I39" s="36" t="str">
        <f ca="1"/>
        <v>Yes</v>
      </c>
      <c r="J39" s="36" t="str">
        <f ca="1"/>
        <v>Vacant not ready</v>
      </c>
      <c r="K39" s="85" t="str">
        <f ca="1"/>
        <v>⏸️ Work Stalled</v>
      </c>
      <c r="L39" s="39" t="str">
        <f ca="1"/>
        <v>Paint</v>
      </c>
      <c r="N39" s="58" t="str">
        <f ca="1"/>
        <v/>
      </c>
      <c r="O39" s="1" t="str">
        <f ca="1"/>
        <v>NOTES</v>
      </c>
      <c r="P39" s="59" t="str">
        <f ca="1"/>
        <v/>
      </c>
    </row>
    <row r="40" spans="2:22" x14ac:dyDescent="0.4">
      <c r="B40" s="38" t="str">
        <f ca="1"/>
        <v>Unit 5-02-0109</v>
      </c>
      <c r="C40" s="36" t="str">
        <f ca="1"/>
        <v>Vacant ready</v>
      </c>
      <c r="D40" s="36" t="str">
        <f ca="1"/>
        <v>54</v>
      </c>
      <c r="E40" s="36" t="str">
        <f ca="1"/>
        <v/>
      </c>
      <c r="F40" s="39" t="str">
        <f ca="1"/>
        <v>🟢 Apartment Ready</v>
      </c>
      <c r="H40" s="38" t="str">
        <f ca="1"/>
        <v>Unit 7-02-0202</v>
      </c>
      <c r="I40" s="36" t="str">
        <f ca="1"/>
        <v>yes</v>
      </c>
      <c r="J40" s="36" t="str">
        <f ca="1"/>
        <v>Vacant ready</v>
      </c>
      <c r="K40" s="85" t="str">
        <f ca="1"/>
        <v>📅 Scheduled to Move In</v>
      </c>
      <c r="L40" s="39" t="str">
        <f ca="1"/>
        <v>Inspection</v>
      </c>
      <c r="N40" s="60" t="str">
        <f ca="1"/>
        <v>═══════════════</v>
      </c>
      <c r="O40" s="52" t="str">
        <f ca="1"/>
        <v>═══════════════</v>
      </c>
      <c r="P40" s="61" t="str">
        <f ca="1"/>
        <v>═══════════════</v>
      </c>
    </row>
    <row r="41" spans="2:22" ht="16" customHeight="1" x14ac:dyDescent="0.4">
      <c r="B41" s="38" t="str">
        <f ca="1"/>
        <v>Unit 7-02-0303</v>
      </c>
      <c r="C41" s="36" t="str">
        <f ca="1"/>
        <v>Vacant ready</v>
      </c>
      <c r="D41" s="36" t="str">
        <f ca="1"/>
        <v>52</v>
      </c>
      <c r="E41" s="36" t="str">
        <f ca="1"/>
        <v/>
      </c>
      <c r="F41" s="39" t="str">
        <f ca="1"/>
        <v>🟢 Apartment Ready</v>
      </c>
      <c r="H41" s="38" t="str">
        <f ca="1"/>
        <v>Unit 7-02-0302</v>
      </c>
      <c r="I41" s="36" t="str">
        <f ca="1"/>
        <v>yes</v>
      </c>
      <c r="J41" s="36" t="str">
        <f ca="1"/>
        <v>Vacant ready</v>
      </c>
      <c r="K41" s="85" t="str">
        <f ca="1"/>
        <v>🟢 Apartment Ready</v>
      </c>
      <c r="L41" s="39" t="str">
        <f ca="1"/>
        <v>Inspection</v>
      </c>
      <c r="N41" s="72" t="str">
        <f ca="1"/>
        <v>Category</v>
      </c>
      <c r="O41" s="1" t="str">
        <f ca="1"/>
        <v>Type</v>
      </c>
      <c r="P41" s="59" t="str">
        <f ca="1"/>
        <v>Notes</v>
      </c>
    </row>
    <row r="42" spans="2:22" x14ac:dyDescent="0.4">
      <c r="B42" s="38" t="str">
        <f ca="1"/>
        <v>Unit 7-04-0303</v>
      </c>
      <c r="C42" s="36" t="str">
        <f ca="1"/>
        <v>Vacant ready</v>
      </c>
      <c r="D42" s="36" t="str">
        <f ca="1"/>
        <v>49</v>
      </c>
      <c r="E42" s="36" t="str">
        <f ca="1"/>
        <v/>
      </c>
      <c r="F42" s="39" t="str">
        <f ca="1"/>
        <v>🟢 Apartment Ready</v>
      </c>
      <c r="H42" s="38" t="str">
        <f ca="1"/>
        <v>Unit 7-02-0303</v>
      </c>
      <c r="I42" s="36" t="str">
        <f ca="1"/>
        <v>yes</v>
      </c>
      <c r="J42" s="36" t="str">
        <f ca="1"/>
        <v>Vacant ready</v>
      </c>
      <c r="K42" s="85" t="str">
        <f ca="1"/>
        <v>🟢 Apartment Ready</v>
      </c>
      <c r="L42" s="39" t="str">
        <f ca="1"/>
        <v>Inspection</v>
      </c>
      <c r="N42" s="58" t="str">
        <f ca="1"/>
        <v>────────────────</v>
      </c>
      <c r="O42" s="1" t="str">
        <f ca="1"/>
        <v>────────────────</v>
      </c>
      <c r="P42" s="59" t="str">
        <f ca="1"/>
        <v>────────────────</v>
      </c>
    </row>
    <row r="43" spans="2:22" s="79" customFormat="1" ht="17" customHeight="1" x14ac:dyDescent="0.4">
      <c r="B43" s="76" t="str">
        <f ca="1"/>
        <v>Unit 5-01-0221</v>
      </c>
      <c r="C43" s="77" t="str">
        <f ca="1"/>
        <v>Vacant ready</v>
      </c>
      <c r="D43" s="77" t="str">
        <f ca="1"/>
        <v>49</v>
      </c>
      <c r="E43" s="77" t="str">
        <f ca="1"/>
        <v/>
      </c>
      <c r="F43" s="78" t="str">
        <f ca="1"/>
        <v>🟢 Apartment Ready</v>
      </c>
      <c r="H43" s="76" t="str">
        <f ca="1"/>
        <v>Unit 7-03-0109</v>
      </c>
      <c r="I43" s="77" t="str">
        <f ca="1"/>
        <v>No</v>
      </c>
      <c r="J43" s="77" t="str">
        <f ca="1"/>
        <v>Vacant not ready</v>
      </c>
      <c r="K43" s="86" t="str">
        <f ca="1"/>
        <v>📅 Scheduled to Move In</v>
      </c>
      <c r="L43" s="78" t="str">
        <f ca="1"/>
        <v>Paint</v>
      </c>
      <c r="N43" s="80" t="str">
        <f ca="1"/>
        <v/>
      </c>
      <c r="O43" s="79" t="str">
        <f ca="1"/>
        <v/>
      </c>
      <c r="P43" s="81" t="str">
        <f ca="1"/>
        <v>(No notes)</v>
      </c>
      <c r="R43" s="87"/>
      <c r="S43" s="87"/>
      <c r="T43" s="91"/>
      <c r="U43" s="91"/>
      <c r="V43" s="91"/>
    </row>
    <row r="44" spans="2:22" ht="16.5" thickBot="1" x14ac:dyDescent="0.45">
      <c r="B44" s="38" t="str">
        <f ca="1"/>
        <v>Unit 5-18-0342</v>
      </c>
      <c r="C44" s="36" t="str">
        <f ca="1"/>
        <v>Vacant ready</v>
      </c>
      <c r="D44" s="36" t="str">
        <f ca="1"/>
        <v>48</v>
      </c>
      <c r="E44" s="36" t="str">
        <f ca="1"/>
        <v/>
      </c>
      <c r="F44" s="39" t="str">
        <f ca="1"/>
        <v>🟢 Apartment Ready</v>
      </c>
      <c r="H44" s="38" t="str">
        <f ca="1"/>
        <v>Unit 7-04-0303</v>
      </c>
      <c r="I44" s="36" t="str">
        <f ca="1"/>
        <v>yes</v>
      </c>
      <c r="J44" s="36" t="str">
        <f ca="1"/>
        <v>Vacant ready</v>
      </c>
      <c r="K44" s="85" t="str">
        <f ca="1"/>
        <v>🟢 Apartment Ready</v>
      </c>
      <c r="L44" s="39" t="str">
        <f ca="1"/>
        <v>Inspection</v>
      </c>
      <c r="N44" s="62" t="str">
        <f ca="1"/>
        <v/>
      </c>
      <c r="O44" s="63" t="str">
        <f ca="1"/>
        <v/>
      </c>
      <c r="P44" s="64" t="str">
        <f ca="1"/>
        <v/>
      </c>
      <c r="T44" s="91"/>
      <c r="U44" s="91"/>
      <c r="V44" s="91"/>
    </row>
    <row r="45" spans="2:22" x14ac:dyDescent="0.4">
      <c r="B45" s="38" t="str">
        <f ca="1"/>
        <v>Unit 7-02-0302</v>
      </c>
      <c r="C45" s="36" t="str">
        <f ca="1"/>
        <v>Vacant ready</v>
      </c>
      <c r="D45" s="36" t="str">
        <f ca="1"/>
        <v>46</v>
      </c>
      <c r="E45" s="36" t="str">
        <f ca="1"/>
        <v/>
      </c>
      <c r="F45" s="39" t="str">
        <f ca="1"/>
        <v>🟢 Apartment Ready</v>
      </c>
      <c r="H45" s="38" t="str">
        <f ca="1"/>
        <v>Unit 7-06-0106</v>
      </c>
      <c r="I45" s="36" t="str">
        <f ca="1"/>
        <v>Yes</v>
      </c>
      <c r="J45" s="36" t="str">
        <f ca="1"/>
        <v>Vacant ready</v>
      </c>
      <c r="K45" s="85" t="str">
        <f ca="1"/>
        <v>🟢 Apartment Ready</v>
      </c>
      <c r="L45" s="39" t="str">
        <f ca="1"/>
        <v>Inspection</v>
      </c>
      <c r="R45" s="50"/>
      <c r="S45" s="50"/>
      <c r="T45" s="50"/>
      <c r="U45" s="50"/>
      <c r="V45" s="50"/>
    </row>
    <row r="46" spans="2:22" x14ac:dyDescent="0.4">
      <c r="B46" s="38" t="str">
        <f ca="1"/>
        <v>Unit 7-09-0111</v>
      </c>
      <c r="C46" s="36" t="str">
        <f ca="1"/>
        <v>Vacant ready</v>
      </c>
      <c r="D46" s="36" t="str">
        <f ca="1"/>
        <v>44</v>
      </c>
      <c r="E46" s="36" t="str">
        <f ca="1"/>
        <v/>
      </c>
      <c r="F46" s="39" t="str">
        <f ca="1"/>
        <v>🟢 Apartment Ready</v>
      </c>
      <c r="H46" s="38" t="str">
        <f ca="1"/>
        <v>Unit 7-06-0209</v>
      </c>
      <c r="I46" s="36" t="str">
        <f ca="1"/>
        <v>Yes</v>
      </c>
      <c r="J46" s="36" t="str">
        <f ca="1"/>
        <v>Vacant not ready</v>
      </c>
      <c r="K46" s="85" t="str">
        <f ca="1"/>
        <v>🟡 Needs Attention</v>
      </c>
      <c r="L46" s="39" t="str">
        <f ca="1"/>
        <v>Paint</v>
      </c>
    </row>
    <row r="47" spans="2:22" x14ac:dyDescent="0.4">
      <c r="B47" s="38" t="str">
        <f ca="1"/>
        <v>Unit 7-07-0104</v>
      </c>
      <c r="C47" s="36" t="str">
        <f ca="1"/>
        <v>Vacant ready</v>
      </c>
      <c r="D47" s="36" t="str">
        <f ca="1"/>
        <v>43</v>
      </c>
      <c r="E47" s="36" t="str">
        <f ca="1"/>
        <v/>
      </c>
      <c r="F47" s="39" t="str">
        <f ca="1"/>
        <v>🟢 Apartment Ready</v>
      </c>
      <c r="H47" s="38" t="str">
        <f ca="1"/>
        <v>Unit 7-07-0104</v>
      </c>
      <c r="I47" s="36" t="str">
        <f ca="1"/>
        <v>yes</v>
      </c>
      <c r="J47" s="36" t="str">
        <f ca="1"/>
        <v>Vacant ready</v>
      </c>
      <c r="K47" s="85" t="str">
        <f ca="1"/>
        <v>🟢 Apartment Ready</v>
      </c>
      <c r="L47" s="39" t="str">
        <f ca="1"/>
        <v>Inspection</v>
      </c>
    </row>
    <row r="48" spans="2:22" x14ac:dyDescent="0.4">
      <c r="B48" s="38" t="str">
        <f ca="1"/>
        <v>Unit 7-06-0106</v>
      </c>
      <c r="C48" s="36" t="str">
        <f ca="1"/>
        <v>Vacant ready</v>
      </c>
      <c r="D48" s="36" t="str">
        <f ca="1"/>
        <v>43</v>
      </c>
      <c r="E48" s="36" t="str">
        <f ca="1"/>
        <v/>
      </c>
      <c r="F48" s="39" t="str">
        <f ca="1"/>
        <v>🟢 Apartment Ready</v>
      </c>
      <c r="H48" s="38" t="str">
        <f ca="1"/>
        <v>Unit 7-07-0202</v>
      </c>
      <c r="I48" s="36" t="str">
        <f ca="1"/>
        <v>No</v>
      </c>
      <c r="J48" s="36" t="str">
        <f ca="1"/>
        <v>Vacant not ready</v>
      </c>
      <c r="K48" s="85" t="str">
        <f ca="1"/>
        <v>📅 Scheduled to Move In</v>
      </c>
      <c r="L48" s="39" t="str">
        <f ca="1"/>
        <v>Paint</v>
      </c>
    </row>
    <row r="49" spans="2:12" x14ac:dyDescent="0.4">
      <c r="B49" s="38" t="str">
        <f ca="1"/>
        <v>Unit 7-11-0318</v>
      </c>
      <c r="C49" s="36" t="str">
        <f ca="1"/>
        <v>Vacant ready</v>
      </c>
      <c r="D49" s="36" t="str">
        <f ca="1"/>
        <v>41</v>
      </c>
      <c r="E49" s="36" t="str">
        <f ca="1"/>
        <v/>
      </c>
      <c r="F49" s="39" t="str">
        <f ca="1"/>
        <v>🟢 Apartment Ready</v>
      </c>
      <c r="H49" s="38" t="str">
        <f ca="1"/>
        <v>Unit 7-09-0107</v>
      </c>
      <c r="I49" s="36" t="str">
        <f ca="1"/>
        <v>yes</v>
      </c>
      <c r="J49" s="36" t="str">
        <f ca="1"/>
        <v>Vacant ready</v>
      </c>
      <c r="K49" s="85" t="str">
        <f ca="1"/>
        <v>🟢 Apartment Ready</v>
      </c>
      <c r="L49" s="39" t="str">
        <f ca="1"/>
        <v>Inspection</v>
      </c>
    </row>
    <row r="50" spans="2:12" x14ac:dyDescent="0.4">
      <c r="B50" s="38" t="str">
        <f ca="1"/>
        <v>Unit 8-01-3096</v>
      </c>
      <c r="C50" s="36" t="str">
        <f ca="1"/>
        <v>Vacant ready</v>
      </c>
      <c r="D50" s="36" t="str">
        <f ca="1"/>
        <v>40</v>
      </c>
      <c r="E50" s="36" t="str">
        <f ca="1"/>
        <v/>
      </c>
      <c r="F50" s="39" t="str">
        <f ca="1"/>
        <v>🟢 Apartment Ready</v>
      </c>
      <c r="H50" s="38" t="str">
        <f ca="1"/>
        <v>Unit 7-09-0111</v>
      </c>
      <c r="I50" s="36" t="str">
        <f ca="1"/>
        <v>yes</v>
      </c>
      <c r="J50" s="36" t="str">
        <f ca="1"/>
        <v>Vacant ready</v>
      </c>
      <c r="K50" s="85" t="str">
        <f ca="1"/>
        <v>🟢 Apartment Ready</v>
      </c>
      <c r="L50" s="39" t="str">
        <f ca="1"/>
        <v>Inspection</v>
      </c>
    </row>
    <row r="51" spans="2:12" x14ac:dyDescent="0.4">
      <c r="B51" s="38" t="str">
        <f ca="1"/>
        <v>Unit 5-18-0218</v>
      </c>
      <c r="C51" s="36" t="str">
        <f ca="1"/>
        <v>Vacant ready</v>
      </c>
      <c r="D51" s="36" t="str">
        <f ca="1"/>
        <v>33</v>
      </c>
      <c r="E51" s="36" t="str">
        <f ca="1"/>
        <v/>
      </c>
      <c r="F51" s="39" t="str">
        <f ca="1"/>
        <v>🟢 Apartment Ready</v>
      </c>
      <c r="H51" s="38" t="str">
        <f ca="1"/>
        <v>Unit 7-10-0107</v>
      </c>
      <c r="I51" s="36" t="str">
        <f ca="1"/>
        <v xml:space="preserve">Yes stack </v>
      </c>
      <c r="J51" s="36" t="str">
        <f ca="1"/>
        <v>Vacant not ready</v>
      </c>
      <c r="K51" s="85" t="str">
        <f ca="1"/>
        <v>🟡 Needs Attention</v>
      </c>
      <c r="L51" s="39" t="str">
        <f ca="1"/>
        <v>Paint</v>
      </c>
    </row>
    <row r="52" spans="2:12" x14ac:dyDescent="0.4">
      <c r="B52" s="38" t="str">
        <f ca="1"/>
        <v>Unit 7-10-0302</v>
      </c>
      <c r="C52" s="36" t="str">
        <f ca="1"/>
        <v>Vacant ready</v>
      </c>
      <c r="D52" s="36" t="str">
        <f ca="1"/>
        <v>32</v>
      </c>
      <c r="E52" s="36" t="str">
        <f ca="1"/>
        <v/>
      </c>
      <c r="F52" s="39" t="str">
        <f ca="1"/>
        <v>🟢 Apartment Ready</v>
      </c>
      <c r="H52" s="38" t="str">
        <f ca="1"/>
        <v>Unit 7-10-0107</v>
      </c>
      <c r="I52" s="36" t="str">
        <f ca="1"/>
        <v/>
      </c>
      <c r="J52" s="36" t="str">
        <f ca="1"/>
        <v>Vacant not ready</v>
      </c>
      <c r="K52" s="85" t="str">
        <f ca="1"/>
        <v>🟡 Needs Attention</v>
      </c>
      <c r="L52" s="39" t="str">
        <f ca="1"/>
        <v>Inspection</v>
      </c>
    </row>
    <row r="53" spans="2:12" x14ac:dyDescent="0.4">
      <c r="B53" s="38" t="str">
        <f ca="1"/>
        <v>Unit 5-17-0215</v>
      </c>
      <c r="C53" s="36" t="str">
        <f ca="1"/>
        <v>Vacant not ready</v>
      </c>
      <c r="D53" s="36" t="str">
        <f ca="1"/>
        <v>32</v>
      </c>
      <c r="E53" s="36" t="str">
        <f ca="1"/>
        <v/>
      </c>
      <c r="F53" s="39" t="str">
        <f ca="1"/>
        <v>⏸️ Work Stalled</v>
      </c>
      <c r="H53" s="38" t="str">
        <f ca="1"/>
        <v>Unit 7-10-0302</v>
      </c>
      <c r="I53" s="36" t="str">
        <f ca="1"/>
        <v>Yes</v>
      </c>
      <c r="J53" s="36" t="str">
        <f ca="1"/>
        <v>Vacant ready</v>
      </c>
      <c r="K53" s="85" t="str">
        <f ca="1"/>
        <v>🟢 Apartment Ready</v>
      </c>
      <c r="L53" s="39" t="str">
        <f ca="1"/>
        <v>Inspection</v>
      </c>
    </row>
    <row r="54" spans="2:12" x14ac:dyDescent="0.4">
      <c r="B54" s="38" t="str">
        <f ca="1"/>
        <v>Unit 5-17-0311</v>
      </c>
      <c r="C54" s="36" t="str">
        <f ca="1"/>
        <v>Vacant ready</v>
      </c>
      <c r="D54" s="36" t="str">
        <f ca="1"/>
        <v>31</v>
      </c>
      <c r="E54" s="36" t="str">
        <f ca="1"/>
        <v/>
      </c>
      <c r="F54" s="39" t="str">
        <f ca="1"/>
        <v>🟢 Apartment Ready</v>
      </c>
      <c r="H54" s="38" t="str">
        <f ca="1"/>
        <v>Unit 7-10-0303</v>
      </c>
      <c r="I54" s="36" t="str">
        <f ca="1"/>
        <v>yes</v>
      </c>
      <c r="J54" s="36" t="str">
        <f ca="1"/>
        <v>Vacant ready</v>
      </c>
      <c r="K54" s="85" t="str">
        <f ca="1"/>
        <v>🟢 Apartment Ready</v>
      </c>
      <c r="L54" s="39" t="str">
        <f ca="1"/>
        <v>Inspection</v>
      </c>
    </row>
    <row r="55" spans="2:12" x14ac:dyDescent="0.4">
      <c r="B55" s="38" t="str">
        <f ca="1"/>
        <v>Unit 8-01-3086</v>
      </c>
      <c r="C55" s="36" t="str">
        <f ca="1"/>
        <v>Vacant ready</v>
      </c>
      <c r="D55" s="36" t="str">
        <f ca="1"/>
        <v>30</v>
      </c>
      <c r="E55" s="36" t="str">
        <f ca="1"/>
        <v/>
      </c>
      <c r="F55" s="39" t="str">
        <f ca="1"/>
        <v>🟢 Apartment Ready</v>
      </c>
      <c r="H55" s="38" t="str">
        <f ca="1"/>
        <v>Unit 7-10-0306</v>
      </c>
      <c r="I55" s="36" t="str">
        <f ca="1"/>
        <v xml:space="preserve">Yes stack </v>
      </c>
      <c r="J55" s="36" t="str">
        <f ca="1"/>
        <v>Vacant not ready</v>
      </c>
      <c r="K55" s="85" t="str">
        <f ca="1"/>
        <v>⏸️ Work Stalled</v>
      </c>
      <c r="L55" s="39" t="str">
        <f ca="1"/>
        <v>Paint</v>
      </c>
    </row>
    <row r="56" spans="2:12" x14ac:dyDescent="0.4">
      <c r="B56" s="38" t="str">
        <f ca="1"/>
        <v>Unit 5-18-0146</v>
      </c>
      <c r="C56" s="36" t="str">
        <f ca="1"/>
        <v>Vacant ready</v>
      </c>
      <c r="D56" s="36" t="str">
        <f ca="1"/>
        <v>29</v>
      </c>
      <c r="E56" s="36" t="str">
        <f ca="1"/>
        <v/>
      </c>
      <c r="F56" s="39" t="str">
        <f ca="1"/>
        <v>🟢 Apartment Ready</v>
      </c>
      <c r="H56" s="38" t="str">
        <f ca="1"/>
        <v>Unit 7-11-0315</v>
      </c>
      <c r="I56" s="36" t="str">
        <f ca="1"/>
        <v>yes</v>
      </c>
      <c r="J56" s="36" t="str">
        <f ca="1"/>
        <v>Vacant ready</v>
      </c>
      <c r="K56" s="85" t="str">
        <f ca="1"/>
        <v>🟢 Apartment Ready</v>
      </c>
      <c r="L56" s="39" t="str">
        <f ca="1"/>
        <v>Inspection</v>
      </c>
    </row>
    <row r="57" spans="2:12" x14ac:dyDescent="0.4">
      <c r="B57" s="38" t="str">
        <f ca="1"/>
        <v>Unit 8-01-2083</v>
      </c>
      <c r="C57" s="36" t="str">
        <f ca="1"/>
        <v>Vacant ready</v>
      </c>
      <c r="D57" s="36" t="str">
        <f ca="1"/>
        <v>27</v>
      </c>
      <c r="E57" s="36" t="str">
        <f ca="1"/>
        <v/>
      </c>
      <c r="F57" s="39" t="str">
        <f ca="1"/>
        <v>🟢 Apartment Ready</v>
      </c>
      <c r="H57" s="38" t="str">
        <f ca="1"/>
        <v>Unit 7-11-0318</v>
      </c>
      <c r="I57" s="36" t="str">
        <f ca="1"/>
        <v xml:space="preserve">Yes stack </v>
      </c>
      <c r="J57" s="36" t="str">
        <f ca="1"/>
        <v>Vacant ready</v>
      </c>
      <c r="K57" s="85" t="str">
        <f ca="1"/>
        <v>🟢 Apartment Ready</v>
      </c>
      <c r="L57" s="39" t="str">
        <f ca="1"/>
        <v>Inspection</v>
      </c>
    </row>
    <row r="58" spans="2:12" x14ac:dyDescent="0.4">
      <c r="B58" s="38" t="str">
        <f ca="1"/>
        <v>Unit 5-17-0310</v>
      </c>
      <c r="C58" s="36" t="str">
        <f ca="1"/>
        <v>Vacant ready</v>
      </c>
      <c r="D58" s="36" t="str">
        <f ca="1"/>
        <v>26</v>
      </c>
      <c r="E58" s="36" t="str">
        <f ca="1"/>
        <v/>
      </c>
      <c r="F58" s="39" t="str">
        <f ca="1"/>
        <v>🟢 Apartment Ready</v>
      </c>
      <c r="H58" s="38" t="str">
        <f ca="1"/>
        <v>Unit 7-TH1-0101</v>
      </c>
      <c r="I58" s="36" t="str">
        <f ca="1"/>
        <v xml:space="preserve">Yes stack </v>
      </c>
      <c r="J58" s="36" t="str">
        <f ca="1"/>
        <v>Vacant not ready</v>
      </c>
      <c r="K58" s="85" t="str">
        <f ca="1"/>
        <v>📅 Scheduled to Move In</v>
      </c>
      <c r="L58" s="39" t="str">
        <f ca="1"/>
        <v>Paint</v>
      </c>
    </row>
    <row r="59" spans="2:12" x14ac:dyDescent="0.4">
      <c r="B59" s="38" t="str">
        <f ca="1"/>
        <v>Unit 7-02-0116</v>
      </c>
      <c r="C59" s="36" t="str">
        <f ca="1"/>
        <v>Vacant ready</v>
      </c>
      <c r="D59" s="36" t="str">
        <f ca="1"/>
        <v>24</v>
      </c>
      <c r="E59" s="36" t="str">
        <f ca="1"/>
        <v/>
      </c>
      <c r="F59" s="39" t="str">
        <f ca="1"/>
        <v>🟢 Apartment Ready</v>
      </c>
      <c r="H59" s="38" t="str">
        <f ca="1"/>
        <v>Unit 7-TH1-0104</v>
      </c>
      <c r="I59" s="36" t="str">
        <f ca="1"/>
        <v xml:space="preserve">Yes stack </v>
      </c>
      <c r="J59" s="36" t="str">
        <f ca="1"/>
        <v>Vacant ready</v>
      </c>
      <c r="K59" s="85" t="str">
        <f ca="1"/>
        <v>🟢 Apartment Ready</v>
      </c>
      <c r="L59" s="39" t="str">
        <f ca="1"/>
        <v>Inspection</v>
      </c>
    </row>
    <row r="60" spans="2:12" x14ac:dyDescent="0.4">
      <c r="B60" s="38" t="str">
        <f ca="1"/>
        <v>Unit 8-01-2034</v>
      </c>
      <c r="C60" s="36" t="str">
        <f ca="1"/>
        <v>Vacant ready</v>
      </c>
      <c r="D60" s="36" t="str">
        <f ca="1"/>
        <v>22</v>
      </c>
      <c r="E60" s="36" t="str">
        <f ca="1"/>
        <v/>
      </c>
      <c r="F60" s="39" t="str">
        <f ca="1"/>
        <v>🟢 Apartment Ready</v>
      </c>
      <c r="H60" s="38" t="str">
        <f ca="1"/>
        <v>Unit 8-01-1048</v>
      </c>
      <c r="I60" s="36" t="str">
        <f ca="1"/>
        <v>Yes</v>
      </c>
      <c r="J60" s="36" t="str">
        <f ca="1"/>
        <v>Vacant ready</v>
      </c>
      <c r="K60" s="85" t="str">
        <f ca="1"/>
        <v>🟢 Apartment Ready</v>
      </c>
      <c r="L60" s="39" t="str">
        <f ca="1"/>
        <v>Inspection</v>
      </c>
    </row>
    <row r="61" spans="2:12" x14ac:dyDescent="0.4">
      <c r="B61" s="38" t="str">
        <f ca="1"/>
        <v>Unit 7-TH1-0104</v>
      </c>
      <c r="C61" s="36" t="str">
        <f ca="1"/>
        <v>Vacant ready</v>
      </c>
      <c r="D61" s="36" t="str">
        <f ca="1"/>
        <v>22</v>
      </c>
      <c r="E61" s="36" t="str">
        <f ca="1"/>
        <v/>
      </c>
      <c r="F61" s="39" t="str">
        <f ca="1"/>
        <v>🟢 Apartment Ready</v>
      </c>
      <c r="H61" s="38" t="str">
        <f ca="1"/>
        <v>Unit 8-01-1049</v>
      </c>
      <c r="I61" s="36" t="str">
        <f ca="1"/>
        <v>Yes</v>
      </c>
      <c r="J61" s="36" t="str">
        <f ca="1"/>
        <v>Vacant not ready</v>
      </c>
      <c r="K61" s="85" t="str">
        <f ca="1"/>
        <v>📅 Scheduled to Move In</v>
      </c>
      <c r="L61" s="39" t="str">
        <f ca="1"/>
        <v>Paint</v>
      </c>
    </row>
    <row r="62" spans="2:12" x14ac:dyDescent="0.4">
      <c r="B62" s="38" t="str">
        <f ca="1"/>
        <v>Unit 8-01-1048</v>
      </c>
      <c r="C62" s="36" t="str">
        <f ca="1"/>
        <v>Vacant ready</v>
      </c>
      <c r="D62" s="36" t="str">
        <f ca="1"/>
        <v>19</v>
      </c>
      <c r="E62" s="36" t="str">
        <f ca="1"/>
        <v/>
      </c>
      <c r="F62" s="39" t="str">
        <f ca="1"/>
        <v>🟢 Apartment Ready</v>
      </c>
      <c r="H62" s="38" t="str">
        <f ca="1"/>
        <v>Unit 8-01-1109</v>
      </c>
      <c r="I62" s="36" t="str">
        <f ca="1"/>
        <v>yes</v>
      </c>
      <c r="J62" s="36" t="str">
        <f ca="1"/>
        <v>Vacant ready</v>
      </c>
      <c r="K62" s="85" t="str">
        <f ca="1"/>
        <v>🟢 Apartment Ready</v>
      </c>
      <c r="L62" s="39" t="str">
        <f ca="1"/>
        <v>Inspection</v>
      </c>
    </row>
    <row r="63" spans="2:12" x14ac:dyDescent="0.4">
      <c r="B63" s="38" t="str">
        <f ca="1"/>
        <v>Unit 5-18-0346</v>
      </c>
      <c r="C63" s="36" t="str">
        <f ca="1"/>
        <v>Vacant ready</v>
      </c>
      <c r="D63" s="36" t="str">
        <f ca="1"/>
        <v>15</v>
      </c>
      <c r="E63" s="36" t="str">
        <f ca="1"/>
        <v/>
      </c>
      <c r="F63" s="39" t="str">
        <f ca="1"/>
        <v>🟢 Apartment Ready</v>
      </c>
      <c r="H63" s="38" t="str">
        <f ca="1"/>
        <v>Unit 8-01-2001</v>
      </c>
      <c r="I63" s="36" t="str">
        <f ca="1"/>
        <v>yes</v>
      </c>
      <c r="J63" s="36" t="str">
        <f ca="1"/>
        <v>Vacant ready</v>
      </c>
      <c r="K63" s="85" t="str">
        <f ca="1"/>
        <v>🟢 Apartment Ready</v>
      </c>
      <c r="L63" s="39" t="str">
        <f ca="1"/>
        <v>Inspection</v>
      </c>
    </row>
    <row r="64" spans="2:12" x14ac:dyDescent="0.4">
      <c r="B64" s="38" t="str">
        <f ca="1"/>
        <v>Unit 7-02-0201</v>
      </c>
      <c r="C64" s="36" t="str">
        <f ca="1"/>
        <v>Vacant not ready</v>
      </c>
      <c r="D64" s="36" t="str">
        <f ca="1"/>
        <v>10</v>
      </c>
      <c r="E64" s="36" t="str">
        <f ca="1"/>
        <v/>
      </c>
      <c r="F64" s="39" t="str">
        <f ca="1"/>
        <v>⏸️ Work Stalled</v>
      </c>
      <c r="H64" s="38" t="str">
        <f ca="1"/>
        <v>Unit 8-01-2012</v>
      </c>
      <c r="I64" s="36" t="str">
        <f ca="1"/>
        <v xml:space="preserve">Yes stack </v>
      </c>
      <c r="J64" s="36" t="str">
        <f ca="1"/>
        <v>Vacant ready</v>
      </c>
      <c r="K64" s="85" t="str">
        <f ca="1"/>
        <v>🟢 Apartment Ready</v>
      </c>
      <c r="L64" s="39" t="str">
        <f ca="1"/>
        <v>Inspection</v>
      </c>
    </row>
    <row r="65" spans="2:12" x14ac:dyDescent="0.4">
      <c r="B65" s="38" t="str">
        <f ca="1"/>
        <v>Unit 5-18-0310</v>
      </c>
      <c r="C65" s="36" t="str">
        <f ca="1"/>
        <v>Vacant not ready</v>
      </c>
      <c r="D65" s="36" t="str">
        <f ca="1"/>
        <v>10</v>
      </c>
      <c r="E65" s="36" t="str">
        <f ca="1"/>
        <v/>
      </c>
      <c r="F65" s="39" t="str">
        <f ca="1"/>
        <v>⏸️ Work Stalled</v>
      </c>
      <c r="H65" s="38" t="str">
        <f ca="1"/>
        <v>Unit 8-01-2034</v>
      </c>
      <c r="I65" s="36" t="str">
        <f ca="1"/>
        <v>Yes</v>
      </c>
      <c r="J65" s="36" t="str">
        <f ca="1"/>
        <v>Vacant ready</v>
      </c>
      <c r="K65" s="85" t="str">
        <f ca="1"/>
        <v>🟢 Apartment Ready</v>
      </c>
      <c r="L65" s="39" t="str">
        <f ca="1"/>
        <v>Inspection</v>
      </c>
    </row>
    <row r="66" spans="2:12" x14ac:dyDescent="0.4">
      <c r="B66" s="38" t="str">
        <f ca="1"/>
        <v>Unit 8-01-3107</v>
      </c>
      <c r="C66" s="36" t="str">
        <f ca="1"/>
        <v>Vacant not ready</v>
      </c>
      <c r="D66" s="36" t="str">
        <f ca="1"/>
        <v>9</v>
      </c>
      <c r="E66" s="36" t="str">
        <f ca="1"/>
        <v/>
      </c>
      <c r="F66" s="39" t="str">
        <f ca="1"/>
        <v>⏸️ Work Stalled</v>
      </c>
      <c r="H66" s="38" t="str">
        <f ca="1"/>
        <v>Unit 8-01-2041</v>
      </c>
      <c r="I66" s="36" t="str">
        <f ca="1"/>
        <v>Yes</v>
      </c>
      <c r="J66" s="36" t="str">
        <f ca="1"/>
        <v>Vacant not ready</v>
      </c>
      <c r="K66" s="85" t="str">
        <f ca="1"/>
        <v>🟡 Needs Attention</v>
      </c>
      <c r="L66" s="39" t="str">
        <f ca="1"/>
        <v>Paint</v>
      </c>
    </row>
    <row r="67" spans="2:12" x14ac:dyDescent="0.4">
      <c r="B67" s="38" t="str">
        <f ca="1"/>
        <v>Unit 7-10-0306</v>
      </c>
      <c r="C67" s="36" t="str">
        <f ca="1"/>
        <v>Vacant not ready</v>
      </c>
      <c r="D67" s="36" t="str">
        <f ca="1"/>
        <v>8</v>
      </c>
      <c r="E67" s="36" t="str">
        <f ca="1"/>
        <v/>
      </c>
      <c r="F67" s="39" t="str">
        <f ca="1"/>
        <v>⏸️ Work Stalled</v>
      </c>
      <c r="H67" s="38" t="str">
        <f ca="1"/>
        <v>Unit 8-01-2083</v>
      </c>
      <c r="I67" s="36" t="str">
        <f ca="1"/>
        <v>Yes</v>
      </c>
      <c r="J67" s="36" t="str">
        <f ca="1"/>
        <v>Vacant ready</v>
      </c>
      <c r="K67" s="85" t="str">
        <f ca="1"/>
        <v>🟢 Apartment Ready</v>
      </c>
      <c r="L67" s="39" t="str">
        <f ca="1"/>
        <v>Inspection</v>
      </c>
    </row>
    <row r="68" spans="2:12" x14ac:dyDescent="0.4">
      <c r="B68" s="38" t="str">
        <f ca="1"/>
        <v>Unit 5-09-0109</v>
      </c>
      <c r="C68" s="36" t="str">
        <f ca="1"/>
        <v>Vacant not ready</v>
      </c>
      <c r="D68" s="36" t="str">
        <f ca="1"/>
        <v>7</v>
      </c>
      <c r="E68" s="36" t="str">
        <f ca="1"/>
        <v/>
      </c>
      <c r="F68" s="39" t="str">
        <f ca="1"/>
        <v>⏸️ Work Stalled</v>
      </c>
      <c r="H68" s="38" t="str">
        <f ca="1"/>
        <v>Unit 8-01-3001</v>
      </c>
      <c r="I68" s="36" t="str">
        <f ca="1"/>
        <v>yes</v>
      </c>
      <c r="J68" s="36" t="str">
        <f ca="1"/>
        <v>Vacant ready</v>
      </c>
      <c r="K68" s="85" t="str">
        <f ca="1"/>
        <v>🟢 Apartment Ready</v>
      </c>
      <c r="L68" s="39" t="str">
        <f ca="1"/>
        <v>Inspection</v>
      </c>
    </row>
    <row r="69" spans="2:12" x14ac:dyDescent="0.4">
      <c r="B69" s="38" t="str">
        <f ca="1"/>
        <v>Unit 5-11-0303</v>
      </c>
      <c r="C69" s="36" t="str">
        <f ca="1"/>
        <v>Vacant not ready</v>
      </c>
      <c r="D69" s="36" t="str">
        <f ca="1"/>
        <v>5</v>
      </c>
      <c r="E69" s="36" t="str">
        <f ca="1"/>
        <v/>
      </c>
      <c r="F69" s="39" t="str">
        <f ca="1"/>
        <v>🟡 Needs Attention</v>
      </c>
      <c r="H69" s="38" t="str">
        <f ca="1"/>
        <v>Unit 8-01-3008</v>
      </c>
      <c r="I69" s="36" t="str">
        <f ca="1"/>
        <v>No</v>
      </c>
      <c r="J69" s="36" t="str">
        <f ca="1"/>
        <v>Vacant not ready</v>
      </c>
      <c r="K69" s="85" t="str">
        <f ca="1"/>
        <v>📅 Scheduled to Move In</v>
      </c>
      <c r="L69" s="39" t="str">
        <f ca="1"/>
        <v>Paint</v>
      </c>
    </row>
    <row r="70" spans="2:12" x14ac:dyDescent="0.4">
      <c r="B70" s="38" t="str">
        <f ca="1"/>
        <v>Unit 8-01-2041</v>
      </c>
      <c r="C70" s="36" t="str">
        <f ca="1"/>
        <v>Vacant not ready</v>
      </c>
      <c r="D70" s="36" t="str">
        <f ca="1"/>
        <v>5</v>
      </c>
      <c r="E70" s="36" t="str">
        <f ca="1"/>
        <v/>
      </c>
      <c r="F70" s="39" t="str">
        <f ca="1"/>
        <v>🟡 Needs Attention</v>
      </c>
      <c r="H70" s="38" t="str">
        <f ca="1"/>
        <v>Unit 8-01-3013</v>
      </c>
      <c r="I70" s="36" t="str">
        <f ca="1"/>
        <v>yes</v>
      </c>
      <c r="J70" s="36" t="str">
        <f ca="1"/>
        <v>Vacant ready</v>
      </c>
      <c r="K70" s="85" t="str">
        <f ca="1"/>
        <v>🟢 Apartment Ready</v>
      </c>
      <c r="L70" s="39" t="str">
        <f ca="1"/>
        <v>Inspection</v>
      </c>
    </row>
    <row r="71" spans="2:12" x14ac:dyDescent="0.4">
      <c r="B71" s="38" t="str">
        <f ca="1"/>
        <v>Unit 5-18-0125</v>
      </c>
      <c r="C71" s="36" t="str">
        <f ca="1"/>
        <v>Vacant not ready</v>
      </c>
      <c r="D71" s="36" t="str">
        <f ca="1"/>
        <v>2</v>
      </c>
      <c r="E71" s="36" t="str">
        <f ca="1"/>
        <v/>
      </c>
      <c r="F71" s="39" t="str">
        <f ca="1"/>
        <v>🟡 Needs Attention</v>
      </c>
      <c r="H71" s="38" t="str">
        <f ca="1"/>
        <v>Unit 8-01-3040</v>
      </c>
      <c r="I71" s="36" t="str">
        <f ca="1"/>
        <v>Yes</v>
      </c>
      <c r="J71" s="36" t="str">
        <f ca="1"/>
        <v>Vacant not ready</v>
      </c>
      <c r="K71" s="85" t="str">
        <f ca="1"/>
        <v>📅 Scheduled to Move In</v>
      </c>
      <c r="L71" s="39" t="str">
        <f ca="1"/>
        <v>Paint</v>
      </c>
    </row>
    <row r="72" spans="2:12" x14ac:dyDescent="0.4">
      <c r="B72" s="38" t="str">
        <f ca="1"/>
        <v>Unit 7-10-0107</v>
      </c>
      <c r="C72" s="36" t="str">
        <f ca="1"/>
        <v>Vacant not ready</v>
      </c>
      <c r="D72" s="36" t="str">
        <f ca="1"/>
        <v>2</v>
      </c>
      <c r="E72" s="36" t="str">
        <f ca="1"/>
        <v/>
      </c>
      <c r="F72" s="39" t="str">
        <f ca="1"/>
        <v>🟡 Needs Attention</v>
      </c>
      <c r="H72" s="38" t="str">
        <f ca="1"/>
        <v>Unit 8-01-3086</v>
      </c>
      <c r="I72" s="36" t="str">
        <f ca="1"/>
        <v>yes</v>
      </c>
      <c r="J72" s="36" t="str">
        <f ca="1"/>
        <v>Vacant ready</v>
      </c>
      <c r="K72" s="85" t="str">
        <f ca="1"/>
        <v>🟢 Apartment Ready</v>
      </c>
      <c r="L72" s="39" t="str">
        <f ca="1"/>
        <v>Inspection</v>
      </c>
    </row>
    <row r="73" spans="2:12" x14ac:dyDescent="0.4">
      <c r="B73" s="38" t="str">
        <f ca="1"/>
        <v>Unit 7-06-0209</v>
      </c>
      <c r="C73" s="36" t="str">
        <f ca="1"/>
        <v>Vacant not ready</v>
      </c>
      <c r="D73" s="36" t="str">
        <f ca="1"/>
        <v>2</v>
      </c>
      <c r="E73" s="36" t="str">
        <f ca="1"/>
        <v/>
      </c>
      <c r="F73" s="39" t="str">
        <f ca="1"/>
        <v>🟡 Needs Attention</v>
      </c>
      <c r="H73" s="38" t="str">
        <f ca="1"/>
        <v>Unit 8-01-3096</v>
      </c>
      <c r="I73" s="36" t="str">
        <f ca="1"/>
        <v xml:space="preserve">Yes stack </v>
      </c>
      <c r="J73" s="36" t="str">
        <f ca="1"/>
        <v>Vacant ready</v>
      </c>
      <c r="K73" s="85" t="str">
        <f ca="1"/>
        <v>🟢 Apartment Ready</v>
      </c>
      <c r="L73" s="39" t="str">
        <f ca="1"/>
        <v>Inspection</v>
      </c>
    </row>
    <row r="74" spans="2:12" x14ac:dyDescent="0.4">
      <c r="B74" s="38" t="str">
        <f ca="1"/>
        <v>Unit 7-10-0107</v>
      </c>
      <c r="C74" s="36" t="str">
        <f ca="1"/>
        <v>Vacant not ready</v>
      </c>
      <c r="D74" s="36" t="str">
        <f ca="1"/>
        <v>2</v>
      </c>
      <c r="E74" s="36" t="str">
        <f ca="1"/>
        <v/>
      </c>
      <c r="F74" s="39" t="str">
        <f ca="1"/>
        <v>🟡 Needs Attention</v>
      </c>
      <c r="H74" s="38" t="str">
        <f ca="1"/>
        <v>Unit 8-01-3107</v>
      </c>
      <c r="I74" s="36" t="str">
        <f ca="1"/>
        <v>Yes</v>
      </c>
      <c r="J74" s="36" t="str">
        <f ca="1"/>
        <v>Vacant not ready</v>
      </c>
      <c r="K74" s="85" t="str">
        <f ca="1"/>
        <v>⏸️ Work Stalled</v>
      </c>
      <c r="L74" s="39" t="str">
        <f ca="1"/>
        <v>Paint</v>
      </c>
    </row>
    <row r="75" spans="2:12" x14ac:dyDescent="0.4">
      <c r="B75" s="38" t="str">
        <f ca="1"/>
        <v>Unit 5-03-0227</v>
      </c>
      <c r="C75" s="36" t="str">
        <f ca="1"/>
        <v>Vacant not ready</v>
      </c>
      <c r="D75" s="36" t="str">
        <f ca="1"/>
        <v>2</v>
      </c>
      <c r="E75" s="36" t="str">
        <f ca="1"/>
        <v/>
      </c>
      <c r="F75" s="39" t="str">
        <f ca="1"/>
        <v>🟡 Needs Attention</v>
      </c>
      <c r="H75" s="38" t="str">
        <f ca="1"/>
        <v>Unit 8-01-4058</v>
      </c>
      <c r="I75" s="36" t="str">
        <f ca="1"/>
        <v>Yes</v>
      </c>
      <c r="J75" s="36" t="str">
        <f ca="1"/>
        <v>Vacant ready</v>
      </c>
      <c r="K75" s="85" t="str">
        <f ca="1"/>
        <v>📅 Scheduled to Move In</v>
      </c>
      <c r="L75" s="39" t="str">
        <f ca="1"/>
        <v>Inspection</v>
      </c>
    </row>
  </sheetData>
  <mergeCells count="4">
    <mergeCell ref="T43:V44"/>
    <mergeCell ref="T3:V4"/>
    <mergeCell ref="E3:F4"/>
    <mergeCell ref="K3:L4"/>
  </mergeCells>
  <dataValidations count="3">
    <dataValidation type="list" allowBlank="1" showInputMessage="1" showErrorMessage="1" sqref="C4 I4 S44 S4" xr:uid="{E12B6019-946F-184C-BACE-2B227D60F63D}">
      <formula1>PH</formula1>
    </dataValidation>
    <dataValidation type="list" allowBlank="1" showInputMessage="1" showErrorMessage="1" sqref="B4 H4 R44 R4" xr:uid="{BEB7FA7A-4D5B-094E-94F5-0905F518BC14}">
      <formula1>Status_apt</formula1>
    </dataValidation>
    <dataValidation type="list" allowBlank="1" showInputMessage="1" showErrorMessage="1" sqref="D4 J4" xr:uid="{1E2E421F-35DD-4D64-89D7-5AE28D28CAC0}">
      <formula1>Alert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6B24-43F6-784C-99FF-41A84F3BA4E4}">
  <dimension ref="B2:BR164"/>
  <sheetViews>
    <sheetView zoomScale="99" workbookViewId="0">
      <selection activeCell="U6" sqref="U6"/>
    </sheetView>
  </sheetViews>
  <sheetFormatPr defaultColWidth="10.6640625" defaultRowHeight="16" x14ac:dyDescent="0.4"/>
  <cols>
    <col min="1" max="1" width="5.1640625" customWidth="1"/>
    <col min="2" max="2" width="14.6640625" customWidth="1"/>
    <col min="3" max="3" width="24.6640625" customWidth="1"/>
    <col min="4" max="4" width="3.83203125" customWidth="1"/>
    <col min="5" max="5" width="15.33203125" style="9" bestFit="1" customWidth="1"/>
    <col min="6" max="6" width="16.5" bestFit="1" customWidth="1"/>
    <col min="7" max="7" width="3.83203125" customWidth="1"/>
    <col min="8" max="8" width="13.33203125" bestFit="1" customWidth="1"/>
    <col min="9" max="9" width="14.83203125" bestFit="1" customWidth="1"/>
    <col min="10" max="10" width="2.1640625" customWidth="1"/>
    <col min="11" max="11" width="17.6640625" customWidth="1"/>
    <col min="12" max="12" width="11.33203125" bestFit="1" customWidth="1"/>
    <col min="13" max="13" width="2.1640625" customWidth="1"/>
    <col min="14" max="14" width="14.1640625" bestFit="1" customWidth="1"/>
    <col min="15" max="15" width="7.6640625" bestFit="1" customWidth="1"/>
    <col min="16" max="16" width="2.1640625" customWidth="1"/>
    <col min="17" max="17" width="11.33203125" bestFit="1" customWidth="1"/>
    <col min="18" max="18" width="2.1640625" customWidth="1"/>
    <col min="19" max="19" width="9.5" style="1" bestFit="1" customWidth="1"/>
    <col min="20" max="20" width="2.1640625" customWidth="1"/>
    <col min="21" max="21" width="16.1640625" style="1" customWidth="1"/>
    <col min="22" max="22" width="2.1640625" customWidth="1"/>
    <col min="23" max="23" width="14" bestFit="1" customWidth="1"/>
    <col min="24" max="24" width="2.1640625" customWidth="1"/>
    <col min="25" max="25" width="17.33203125" bestFit="1" customWidth="1"/>
    <col min="26" max="26" width="11" bestFit="1" customWidth="1"/>
    <col min="27" max="27" width="8.83203125" bestFit="1" customWidth="1"/>
    <col min="28" max="28" width="10.1640625" style="8" bestFit="1" customWidth="1"/>
    <col min="29" max="29" width="14.1640625" style="8" bestFit="1" customWidth="1"/>
    <col min="30" max="30" width="12.5" style="8" bestFit="1" customWidth="1"/>
    <col min="31" max="31" width="37.5" style="8" bestFit="1" customWidth="1"/>
    <col min="32" max="32" width="10.6640625" style="8" bestFit="1" customWidth="1"/>
    <col min="33" max="33" width="9.6640625" style="8" bestFit="1" customWidth="1"/>
    <col min="34" max="34" width="43.1640625" style="8" bestFit="1" customWidth="1"/>
    <col min="35" max="35" width="5.5" style="8" bestFit="1" customWidth="1"/>
    <col min="36" max="36" width="9.83203125" style="8" bestFit="1" customWidth="1"/>
    <col min="37" max="37" width="9.33203125" style="8" bestFit="1" customWidth="1"/>
    <col min="38" max="38" width="8" style="8" bestFit="1" customWidth="1"/>
    <col min="39" max="39" width="35.33203125" style="8" bestFit="1" customWidth="1"/>
    <col min="40" max="40" width="9.83203125" style="8" bestFit="1" customWidth="1"/>
    <col min="41" max="41" width="8.1640625" style="8" bestFit="1" customWidth="1"/>
    <col min="42" max="42" width="10.1640625" style="8" bestFit="1" customWidth="1"/>
    <col min="43" max="43" width="8.1640625" style="8" bestFit="1" customWidth="1"/>
    <col min="44" max="44" width="9.33203125" style="8" bestFit="1" customWidth="1"/>
    <col min="45" max="45" width="8.1640625" style="8" bestFit="1" customWidth="1"/>
    <col min="46" max="46" width="9.33203125" style="8" bestFit="1" customWidth="1"/>
    <col min="47" max="47" width="8.1640625" style="4" bestFit="1" customWidth="1"/>
    <col min="48" max="48" width="9.33203125" style="4" bestFit="1" customWidth="1"/>
    <col min="49" max="49" width="7.83203125" style="4" bestFit="1" customWidth="1"/>
    <col min="50" max="50" width="8.1640625" style="4" bestFit="1" customWidth="1"/>
    <col min="51" max="51" width="3.5" style="4" bestFit="1" customWidth="1"/>
    <col min="52" max="52" width="23.5" style="4" bestFit="1" customWidth="1"/>
    <col min="53" max="53" width="15.6640625" style="4" bestFit="1" customWidth="1"/>
    <col min="54" max="54" width="15.33203125" style="4" bestFit="1" customWidth="1"/>
    <col min="55" max="55" width="8" style="4" bestFit="1" customWidth="1"/>
    <col min="56" max="56" width="44" style="4" bestFit="1" customWidth="1"/>
    <col min="57" max="57" width="27.1640625" style="4" bestFit="1" customWidth="1"/>
    <col min="58" max="58" width="13.1640625" style="4" bestFit="1" customWidth="1"/>
    <col min="59" max="59" width="8.33203125" style="4" bestFit="1" customWidth="1"/>
    <col min="60" max="60" width="15.1640625" style="4" bestFit="1" customWidth="1"/>
    <col min="61" max="61" width="13.6640625" style="4" bestFit="1" customWidth="1"/>
    <col min="62" max="62" width="14.1640625" style="4" bestFit="1" customWidth="1"/>
    <col min="63" max="63" width="12.33203125" style="4" bestFit="1" customWidth="1"/>
    <col min="64" max="64" width="12.6640625" style="4" bestFit="1" customWidth="1"/>
    <col min="65" max="65" width="12.83203125" style="4" bestFit="1" customWidth="1"/>
    <col min="66" max="66" width="11.83203125" style="4" bestFit="1" customWidth="1"/>
    <col min="67" max="67" width="10.1640625" style="4" bestFit="1" customWidth="1"/>
    <col min="68" max="68" width="13.1640625" style="4" bestFit="1" customWidth="1"/>
    <col min="69" max="69" width="34.5" style="4" bestFit="1" customWidth="1"/>
    <col min="70" max="70" width="46.83203125" style="4" bestFit="1" customWidth="1"/>
  </cols>
  <sheetData>
    <row r="2" spans="2:70" s="31" customFormat="1" ht="21" x14ac:dyDescent="0.5">
      <c r="B2" s="32"/>
      <c r="C2" s="32"/>
      <c r="D2" s="32"/>
      <c r="E2" s="33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AB2" s="4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</row>
    <row r="3" spans="2:70" s="31" customFormat="1" ht="21" x14ac:dyDescent="0.5">
      <c r="B3" s="30" t="s">
        <v>51</v>
      </c>
      <c r="C3" s="30" t="s">
        <v>50</v>
      </c>
      <c r="D3" s="32"/>
      <c r="E3" s="29" t="s">
        <v>51</v>
      </c>
      <c r="F3" s="28" t="s">
        <v>50</v>
      </c>
      <c r="G3" s="32"/>
      <c r="H3" s="27" t="s">
        <v>53</v>
      </c>
      <c r="I3" s="25"/>
      <c r="J3" s="32"/>
      <c r="K3" s="26" t="s">
        <v>29</v>
      </c>
      <c r="L3" s="25"/>
      <c r="M3" s="32"/>
      <c r="N3" s="26" t="s">
        <v>49</v>
      </c>
      <c r="O3" s="25"/>
      <c r="P3" s="32"/>
      <c r="Q3" s="24" t="s">
        <v>48</v>
      </c>
      <c r="R3" s="32"/>
      <c r="S3" s="23" t="s">
        <v>12</v>
      </c>
      <c r="T3" s="32"/>
      <c r="U3" s="22" t="s">
        <v>47</v>
      </c>
      <c r="V3" s="32"/>
      <c r="W3" s="21" t="s">
        <v>46</v>
      </c>
      <c r="X3" s="32"/>
      <c r="Y3" s="21" t="s">
        <v>45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</row>
    <row r="4" spans="2:70" x14ac:dyDescent="0.4">
      <c r="B4" t="str">
        <f t="shared" ref="B4:B35" si="0">IF(TRIM(CLEAN(C4))="","",
IF(LEFT(TRIM(C4),4)="Unit",C4,"Unit "&amp;C4))</f>
        <v/>
      </c>
      <c r="E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4" s="11" t="s">
        <v>0</v>
      </c>
      <c r="I4" s="20"/>
      <c r="K4" s="11" t="s">
        <v>41</v>
      </c>
      <c r="L4" s="20"/>
      <c r="N4" s="11" t="s">
        <v>44</v>
      </c>
      <c r="O4" s="19"/>
      <c r="Q4" s="10" t="s">
        <v>43</v>
      </c>
      <c r="S4" s="10" t="s">
        <v>42</v>
      </c>
      <c r="U4" s="11" t="s">
        <v>41</v>
      </c>
      <c r="W4" s="13">
        <v>5</v>
      </c>
      <c r="Y4" s="13" t="s">
        <v>0</v>
      </c>
    </row>
    <row r="5" spans="2:70" ht="21" x14ac:dyDescent="0.5">
      <c r="B5" t="str">
        <f t="shared" si="0"/>
        <v/>
      </c>
      <c r="D5" s="32"/>
      <c r="E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G5" s="32"/>
      <c r="H5" s="11" t="s">
        <v>4</v>
      </c>
      <c r="I5" s="18"/>
      <c r="J5" s="32"/>
      <c r="K5" s="11" t="s">
        <v>5</v>
      </c>
      <c r="L5" s="18"/>
      <c r="M5" s="32"/>
      <c r="N5" s="11" t="s">
        <v>40</v>
      </c>
      <c r="O5" s="18"/>
      <c r="P5" s="32"/>
      <c r="Q5" s="10" t="s">
        <v>1</v>
      </c>
      <c r="R5" s="32"/>
      <c r="S5" s="10" t="s">
        <v>39</v>
      </c>
      <c r="T5" s="32"/>
      <c r="U5" s="11" t="s">
        <v>142</v>
      </c>
      <c r="V5" s="32"/>
      <c r="W5" s="13">
        <v>7</v>
      </c>
      <c r="X5" s="32"/>
      <c r="Y5" s="13" t="s">
        <v>36</v>
      </c>
    </row>
    <row r="6" spans="2:70" ht="21" x14ac:dyDescent="0.5">
      <c r="B6" t="str">
        <f t="shared" si="0"/>
        <v/>
      </c>
      <c r="D6" s="32"/>
      <c r="E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G6" s="32"/>
      <c r="H6" s="11" t="s">
        <v>38</v>
      </c>
      <c r="I6" s="17"/>
      <c r="J6" s="32"/>
      <c r="K6" s="11" t="s">
        <v>34</v>
      </c>
      <c r="L6" s="16"/>
      <c r="M6" s="32"/>
      <c r="N6" s="11" t="s">
        <v>37</v>
      </c>
      <c r="O6" s="15"/>
      <c r="P6" s="32"/>
      <c r="Q6" s="10" t="s">
        <v>36</v>
      </c>
      <c r="R6" s="32"/>
      <c r="S6" s="10" t="s">
        <v>35</v>
      </c>
      <c r="T6" s="32"/>
      <c r="U6" s="11" t="s">
        <v>5</v>
      </c>
      <c r="V6" s="32"/>
      <c r="W6" s="13">
        <v>8</v>
      </c>
      <c r="X6" s="32"/>
    </row>
    <row r="7" spans="2:70" x14ac:dyDescent="0.4">
      <c r="B7" t="str">
        <f t="shared" si="0"/>
        <v/>
      </c>
      <c r="E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7" s="11" t="s">
        <v>3</v>
      </c>
      <c r="I7" s="14" t="s">
        <v>33</v>
      </c>
      <c r="S7" s="10" t="s">
        <v>126</v>
      </c>
      <c r="U7" s="11" t="s">
        <v>34</v>
      </c>
      <c r="W7" s="13" t="s">
        <v>32</v>
      </c>
    </row>
    <row r="8" spans="2:70" x14ac:dyDescent="0.4">
      <c r="B8" t="str">
        <f t="shared" si="0"/>
        <v/>
      </c>
      <c r="E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8" s="11" t="s">
        <v>31</v>
      </c>
      <c r="I8" s="12"/>
      <c r="S8" s="10" t="s">
        <v>32</v>
      </c>
      <c r="U8" s="11" t="s">
        <v>32</v>
      </c>
    </row>
    <row r="9" spans="2:70" x14ac:dyDescent="0.4">
      <c r="B9" t="str">
        <f t="shared" si="0"/>
        <v/>
      </c>
      <c r="E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S9" s="10" t="s">
        <v>2</v>
      </c>
    </row>
    <row r="10" spans="2:70" x14ac:dyDescent="0.4">
      <c r="B10" t="str">
        <f t="shared" si="0"/>
        <v/>
      </c>
      <c r="E1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T10" s="1"/>
      <c r="V10" s="1"/>
      <c r="W10" s="1"/>
      <c r="X10" s="1"/>
      <c r="Y10" s="1"/>
      <c r="Z10" s="1"/>
      <c r="AA10" s="1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2:70" x14ac:dyDescent="0.4">
      <c r="B11" t="str">
        <f t="shared" si="0"/>
        <v/>
      </c>
      <c r="E1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T11" s="1"/>
      <c r="V11" s="1"/>
      <c r="W11" s="1"/>
      <c r="X11" s="1"/>
      <c r="Y11" s="1"/>
      <c r="Z11" s="1"/>
      <c r="AA11" s="1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2:70" x14ac:dyDescent="0.4">
      <c r="B12" t="str">
        <f t="shared" si="0"/>
        <v/>
      </c>
      <c r="E1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2" s="1"/>
      <c r="I12" s="1"/>
      <c r="J12" s="1"/>
      <c r="K12" s="1" t="s">
        <v>130</v>
      </c>
      <c r="L12" s="1"/>
      <c r="M12" s="1"/>
      <c r="N12" s="1"/>
      <c r="O12" s="1"/>
      <c r="P12" s="1"/>
      <c r="Q12" s="1"/>
      <c r="R12" s="1"/>
      <c r="T12" s="1"/>
      <c r="V12" s="1"/>
      <c r="W12" s="1"/>
      <c r="X12" s="1"/>
      <c r="Y12" s="1"/>
      <c r="Z12" s="1"/>
      <c r="AA12" s="1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2:70" x14ac:dyDescent="0.4">
      <c r="B13" t="str">
        <f t="shared" si="0"/>
        <v/>
      </c>
      <c r="E1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3" s="1"/>
      <c r="I13" s="1"/>
      <c r="J13" s="1"/>
      <c r="K13" s="1" t="s">
        <v>32</v>
      </c>
      <c r="L13" s="1"/>
      <c r="M13" s="1"/>
      <c r="N13" s="1"/>
      <c r="O13" s="1"/>
      <c r="P13" s="1"/>
      <c r="Q13" s="1"/>
      <c r="R13" s="1"/>
      <c r="T13" s="1"/>
      <c r="V13" s="1"/>
      <c r="W13" s="1"/>
      <c r="X13" s="1"/>
      <c r="Y13" s="1"/>
      <c r="Z13" s="1"/>
      <c r="AA13" s="1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2:70" x14ac:dyDescent="0.4">
      <c r="B14" t="str">
        <f t="shared" si="0"/>
        <v/>
      </c>
      <c r="E1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4" s="1"/>
      <c r="I14" s="1"/>
      <c r="J14" s="1"/>
      <c r="K14" s="1" t="s">
        <v>131</v>
      </c>
      <c r="L14" s="1"/>
      <c r="M14" s="1"/>
      <c r="N14" s="1"/>
      <c r="O14" s="1"/>
      <c r="P14" s="1"/>
      <c r="Q14" s="1"/>
      <c r="R14" s="1"/>
      <c r="T14" s="1"/>
      <c r="V14" s="1"/>
      <c r="W14" s="1"/>
      <c r="X14" s="1"/>
      <c r="Y14" s="1"/>
      <c r="Z14" s="1"/>
      <c r="AA14" s="1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2:70" x14ac:dyDescent="0.4">
      <c r="B15" t="str">
        <f t="shared" si="0"/>
        <v/>
      </c>
      <c r="E1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5" s="1"/>
      <c r="I15" s="1"/>
      <c r="J15" s="1"/>
      <c r="K15" s="1" t="s">
        <v>132</v>
      </c>
      <c r="L15" s="1"/>
      <c r="M15" s="1"/>
      <c r="N15" s="1"/>
      <c r="O15" s="1"/>
      <c r="P15" s="1"/>
      <c r="Q15" s="1"/>
      <c r="R15" s="1"/>
      <c r="T15" s="1"/>
      <c r="V15" s="1"/>
      <c r="W15" s="1"/>
      <c r="X15" s="1"/>
      <c r="Y15" s="1"/>
      <c r="Z15" s="1"/>
      <c r="AA15" s="1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2:70" x14ac:dyDescent="0.4">
      <c r="B16" t="str">
        <f t="shared" si="0"/>
        <v/>
      </c>
      <c r="E1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6" s="1"/>
      <c r="I16" s="1"/>
      <c r="J16" s="1"/>
      <c r="K16" s="1" t="s">
        <v>133</v>
      </c>
      <c r="L16" s="1"/>
      <c r="M16" s="1"/>
      <c r="N16" s="1"/>
      <c r="O16" s="1"/>
      <c r="P16" s="1"/>
      <c r="Q16" s="1"/>
      <c r="R16" s="1"/>
      <c r="T16" s="1"/>
      <c r="V16" s="1"/>
      <c r="W16" s="1"/>
      <c r="X16" s="1"/>
      <c r="Y16" s="1"/>
      <c r="Z16" s="1"/>
      <c r="AA16" s="1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2:39" x14ac:dyDescent="0.4">
      <c r="B17" t="str">
        <f t="shared" si="0"/>
        <v/>
      </c>
      <c r="E1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7" s="1"/>
      <c r="I17" s="1"/>
      <c r="J17" s="1"/>
      <c r="K17" s="1" t="s">
        <v>134</v>
      </c>
      <c r="L17" s="1"/>
      <c r="M17" s="1"/>
      <c r="N17" s="1"/>
      <c r="O17" s="1"/>
      <c r="P17" s="1"/>
      <c r="Q17" s="1"/>
      <c r="R17" s="1"/>
      <c r="T17" s="1"/>
      <c r="V17" s="1"/>
      <c r="W17" s="1"/>
      <c r="X17" s="1"/>
      <c r="Y17" s="1"/>
      <c r="Z17" s="1"/>
      <c r="AA17" s="1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2:39" x14ac:dyDescent="0.4">
      <c r="B18" t="str">
        <f t="shared" si="0"/>
        <v/>
      </c>
      <c r="E1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8" s="1"/>
      <c r="I18" s="1"/>
      <c r="J18" s="1"/>
      <c r="K18" s="1" t="s">
        <v>135</v>
      </c>
      <c r="L18" s="1"/>
      <c r="M18" s="1"/>
      <c r="N18" s="1"/>
      <c r="O18" s="1"/>
      <c r="P18" s="1"/>
      <c r="Q18" s="1"/>
      <c r="R18" s="1"/>
      <c r="T18" s="1"/>
      <c r="V18" s="1"/>
      <c r="W18" s="1"/>
      <c r="X18" s="1"/>
      <c r="Y18" s="1"/>
      <c r="Z18" s="1"/>
      <c r="AA18" s="1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2:39" x14ac:dyDescent="0.4">
      <c r="B19" t="str">
        <f t="shared" si="0"/>
        <v/>
      </c>
      <c r="E1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19" s="1"/>
      <c r="I19" s="1"/>
      <c r="J19" s="1"/>
      <c r="K19" s="1" t="s">
        <v>136</v>
      </c>
      <c r="L19" s="1"/>
      <c r="M19" s="1"/>
      <c r="N19" s="1"/>
      <c r="O19" s="1"/>
      <c r="P19" s="1"/>
      <c r="Q19" s="1"/>
      <c r="R19" s="1"/>
      <c r="T19" s="1"/>
      <c r="V19" s="1"/>
      <c r="W19" s="1"/>
      <c r="X19" s="1"/>
      <c r="Y19" s="1"/>
      <c r="Z19" s="1"/>
      <c r="AA19" s="1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2:39" x14ac:dyDescent="0.4">
      <c r="B20" t="str">
        <f t="shared" si="0"/>
        <v/>
      </c>
      <c r="E2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H20" s="1"/>
      <c r="I20" s="1"/>
      <c r="J20" s="1"/>
      <c r="K20" s="1" t="s">
        <v>137</v>
      </c>
      <c r="L20" s="1"/>
      <c r="M20" s="1"/>
      <c r="N20" s="1"/>
      <c r="O20" s="1"/>
      <c r="P20" s="1"/>
      <c r="Q20" s="1"/>
      <c r="R20" s="1"/>
      <c r="T20" s="1"/>
      <c r="V20" s="1"/>
      <c r="W20" s="1"/>
      <c r="X20" s="1"/>
      <c r="Y20" s="1"/>
      <c r="Z20" s="1"/>
      <c r="AA20" s="1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2:39" x14ac:dyDescent="0.4">
      <c r="B21" t="str">
        <f t="shared" si="0"/>
        <v/>
      </c>
      <c r="E2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K21" s="1" t="s">
        <v>138</v>
      </c>
    </row>
    <row r="22" spans="2:39" x14ac:dyDescent="0.4">
      <c r="B22" t="str">
        <f t="shared" si="0"/>
        <v/>
      </c>
      <c r="E2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K22" s="1" t="s">
        <v>139</v>
      </c>
    </row>
    <row r="23" spans="2:39" x14ac:dyDescent="0.4">
      <c r="B23" t="str">
        <f t="shared" si="0"/>
        <v/>
      </c>
      <c r="E2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K23" s="1" t="s">
        <v>140</v>
      </c>
    </row>
    <row r="24" spans="2:39" x14ac:dyDescent="0.4">
      <c r="B24" t="str">
        <f t="shared" si="0"/>
        <v/>
      </c>
      <c r="E2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  <c r="K24" s="1" t="s">
        <v>141</v>
      </c>
    </row>
    <row r="25" spans="2:39" x14ac:dyDescent="0.4">
      <c r="B25" t="str">
        <f t="shared" si="0"/>
        <v/>
      </c>
      <c r="E2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26" spans="2:39" x14ac:dyDescent="0.4">
      <c r="B26" t="str">
        <f t="shared" si="0"/>
        <v/>
      </c>
      <c r="E2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27" spans="2:39" x14ac:dyDescent="0.4">
      <c r="B27" t="str">
        <f t="shared" si="0"/>
        <v/>
      </c>
      <c r="E2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28" spans="2:39" x14ac:dyDescent="0.4">
      <c r="B28" t="str">
        <f t="shared" si="0"/>
        <v/>
      </c>
      <c r="E2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29" spans="2:39" x14ac:dyDescent="0.4">
      <c r="B29" t="str">
        <f t="shared" si="0"/>
        <v/>
      </c>
      <c r="E2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0" spans="2:39" x14ac:dyDescent="0.4">
      <c r="B30" t="str">
        <f t="shared" si="0"/>
        <v/>
      </c>
      <c r="E3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1" spans="2:39" x14ac:dyDescent="0.4">
      <c r="B31" t="str">
        <f t="shared" si="0"/>
        <v/>
      </c>
      <c r="E3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2" spans="2:39" x14ac:dyDescent="0.4">
      <c r="B32" t="str">
        <f t="shared" si="0"/>
        <v/>
      </c>
      <c r="E3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3" spans="2:5" x14ac:dyDescent="0.4">
      <c r="B33" t="str">
        <f t="shared" si="0"/>
        <v/>
      </c>
      <c r="E3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4" spans="2:5" x14ac:dyDescent="0.4">
      <c r="B34" t="str">
        <f t="shared" si="0"/>
        <v/>
      </c>
      <c r="E3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5" spans="2:5" x14ac:dyDescent="0.4">
      <c r="B35" t="str">
        <f t="shared" si="0"/>
        <v/>
      </c>
      <c r="E3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6" spans="2:5" x14ac:dyDescent="0.4">
      <c r="B36" t="str">
        <f t="shared" ref="B36:B67" si="1">IF(TRIM(CLEAN(C36))="","",
IF(LEFT(TRIM(C36),4)="Unit",C36,"Unit "&amp;C36))</f>
        <v/>
      </c>
      <c r="E3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7" spans="2:5" x14ac:dyDescent="0.4">
      <c r="B37" t="str">
        <f t="shared" si="1"/>
        <v/>
      </c>
      <c r="E3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8" spans="2:5" x14ac:dyDescent="0.4">
      <c r="B38" t="str">
        <f t="shared" si="1"/>
        <v/>
      </c>
      <c r="E3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39" spans="2:5" x14ac:dyDescent="0.4">
      <c r="B39" t="str">
        <f t="shared" si="1"/>
        <v/>
      </c>
      <c r="E3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0" spans="2:5" x14ac:dyDescent="0.4">
      <c r="B40" t="str">
        <f t="shared" si="1"/>
        <v/>
      </c>
      <c r="E4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1" spans="2:5" x14ac:dyDescent="0.4">
      <c r="B41" t="str">
        <f t="shared" si="1"/>
        <v/>
      </c>
      <c r="E4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2" spans="2:5" x14ac:dyDescent="0.4">
      <c r="B42" t="str">
        <f t="shared" si="1"/>
        <v/>
      </c>
      <c r="E4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3" spans="2:5" x14ac:dyDescent="0.4">
      <c r="B43" t="str">
        <f t="shared" si="1"/>
        <v/>
      </c>
      <c r="E4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4" spans="2:5" x14ac:dyDescent="0.4">
      <c r="B44" t="str">
        <f t="shared" si="1"/>
        <v/>
      </c>
      <c r="E4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5" spans="2:5" x14ac:dyDescent="0.4">
      <c r="B45" t="str">
        <f t="shared" si="1"/>
        <v/>
      </c>
      <c r="E4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6" spans="2:5" x14ac:dyDescent="0.4">
      <c r="B46" t="str">
        <f t="shared" si="1"/>
        <v/>
      </c>
      <c r="E4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7" spans="2:5" x14ac:dyDescent="0.4">
      <c r="B47" t="str">
        <f t="shared" si="1"/>
        <v/>
      </c>
      <c r="E4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8" spans="2:5" x14ac:dyDescent="0.4">
      <c r="B48" t="str">
        <f t="shared" si="1"/>
        <v/>
      </c>
      <c r="E4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49" spans="2:5" x14ac:dyDescent="0.4">
      <c r="B49" t="str">
        <f t="shared" si="1"/>
        <v/>
      </c>
      <c r="E4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0" spans="2:5" x14ac:dyDescent="0.4">
      <c r="B50" t="str">
        <f t="shared" si="1"/>
        <v/>
      </c>
      <c r="E5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1" spans="2:5" x14ac:dyDescent="0.4">
      <c r="B51" t="str">
        <f t="shared" si="1"/>
        <v/>
      </c>
      <c r="E5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2" spans="2:5" x14ac:dyDescent="0.4">
      <c r="B52" t="str">
        <f t="shared" si="1"/>
        <v/>
      </c>
      <c r="E5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3" spans="2:5" x14ac:dyDescent="0.4">
      <c r="B53" t="str">
        <f t="shared" si="1"/>
        <v/>
      </c>
      <c r="E5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4" spans="2:5" x14ac:dyDescent="0.4">
      <c r="B54" t="str">
        <f t="shared" si="1"/>
        <v/>
      </c>
      <c r="E5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5" spans="2:5" x14ac:dyDescent="0.4">
      <c r="B55" t="str">
        <f t="shared" si="1"/>
        <v/>
      </c>
      <c r="E5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6" spans="2:5" x14ac:dyDescent="0.4">
      <c r="B56" t="str">
        <f t="shared" si="1"/>
        <v/>
      </c>
      <c r="E5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7" spans="2:5" x14ac:dyDescent="0.4">
      <c r="B57" t="str">
        <f t="shared" si="1"/>
        <v/>
      </c>
      <c r="E5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8" spans="2:5" x14ac:dyDescent="0.4">
      <c r="B58" t="str">
        <f t="shared" si="1"/>
        <v/>
      </c>
      <c r="E5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59" spans="2:5" x14ac:dyDescent="0.4">
      <c r="B59" t="str">
        <f t="shared" si="1"/>
        <v/>
      </c>
      <c r="E5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0" spans="2:5" x14ac:dyDescent="0.4">
      <c r="B60" t="str">
        <f t="shared" si="1"/>
        <v/>
      </c>
      <c r="E6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1" spans="2:5" x14ac:dyDescent="0.4">
      <c r="B61" t="str">
        <f t="shared" si="1"/>
        <v/>
      </c>
      <c r="E6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2" spans="2:5" x14ac:dyDescent="0.4">
      <c r="B62" t="str">
        <f t="shared" si="1"/>
        <v/>
      </c>
      <c r="E6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3" spans="2:5" x14ac:dyDescent="0.4">
      <c r="B63" t="str">
        <f t="shared" si="1"/>
        <v/>
      </c>
      <c r="E6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4" spans="2:5" x14ac:dyDescent="0.4">
      <c r="B64" t="str">
        <f t="shared" si="1"/>
        <v/>
      </c>
      <c r="E6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5" spans="2:5" x14ac:dyDescent="0.4">
      <c r="B65" t="str">
        <f t="shared" si="1"/>
        <v/>
      </c>
      <c r="E6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6" spans="2:5" x14ac:dyDescent="0.4">
      <c r="B66" t="str">
        <f t="shared" si="1"/>
        <v/>
      </c>
      <c r="E6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7" spans="2:5" x14ac:dyDescent="0.4">
      <c r="B67" t="str">
        <f t="shared" si="1"/>
        <v/>
      </c>
      <c r="E6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8" spans="2:5" x14ac:dyDescent="0.4">
      <c r="B68" t="str">
        <f t="shared" ref="B68:B99" si="2">IF(TRIM(CLEAN(C68))="","",
IF(LEFT(TRIM(C68),4)="Unit",C68,"Unit "&amp;C68))</f>
        <v/>
      </c>
      <c r="E6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69" spans="2:5" x14ac:dyDescent="0.4">
      <c r="B69" t="str">
        <f t="shared" si="2"/>
        <v/>
      </c>
      <c r="E6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0" spans="2:5" x14ac:dyDescent="0.4">
      <c r="B70" t="str">
        <f t="shared" si="2"/>
        <v/>
      </c>
      <c r="E7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1" spans="2:5" x14ac:dyDescent="0.4">
      <c r="B71" t="str">
        <f t="shared" si="2"/>
        <v/>
      </c>
      <c r="E7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2" spans="2:5" x14ac:dyDescent="0.4">
      <c r="B72" t="str">
        <f t="shared" si="2"/>
        <v/>
      </c>
      <c r="E7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3" spans="2:5" x14ac:dyDescent="0.4">
      <c r="B73" t="str">
        <f t="shared" si="2"/>
        <v/>
      </c>
      <c r="E7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4" spans="2:5" x14ac:dyDescent="0.4">
      <c r="B74" t="str">
        <f t="shared" si="2"/>
        <v/>
      </c>
      <c r="E7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5" spans="2:5" x14ac:dyDescent="0.4">
      <c r="B75" t="str">
        <f t="shared" si="2"/>
        <v/>
      </c>
      <c r="E7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6" spans="2:5" x14ac:dyDescent="0.4">
      <c r="B76" t="str">
        <f t="shared" si="2"/>
        <v/>
      </c>
      <c r="E7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7" spans="2:5" x14ac:dyDescent="0.4">
      <c r="B77" t="str">
        <f t="shared" si="2"/>
        <v/>
      </c>
      <c r="E7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8" spans="2:5" x14ac:dyDescent="0.4">
      <c r="B78" t="str">
        <f t="shared" si="2"/>
        <v/>
      </c>
      <c r="E7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79" spans="2:5" x14ac:dyDescent="0.4">
      <c r="B79" t="str">
        <f t="shared" si="2"/>
        <v/>
      </c>
      <c r="E7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0" spans="2:5" x14ac:dyDescent="0.4">
      <c r="B80" t="str">
        <f t="shared" si="2"/>
        <v/>
      </c>
      <c r="E8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1" spans="2:5" x14ac:dyDescent="0.4">
      <c r="B81" t="str">
        <f t="shared" si="2"/>
        <v/>
      </c>
      <c r="E8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2" spans="2:5" x14ac:dyDescent="0.4">
      <c r="B82" t="str">
        <f t="shared" si="2"/>
        <v/>
      </c>
      <c r="E8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3" spans="2:5" x14ac:dyDescent="0.4">
      <c r="B83" t="str">
        <f t="shared" si="2"/>
        <v/>
      </c>
      <c r="E8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4" spans="2:5" x14ac:dyDescent="0.4">
      <c r="B84" t="str">
        <f t="shared" si="2"/>
        <v/>
      </c>
      <c r="E8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5" spans="2:5" x14ac:dyDescent="0.4">
      <c r="B85" t="str">
        <f t="shared" si="2"/>
        <v/>
      </c>
      <c r="E8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6" spans="2:5" x14ac:dyDescent="0.4">
      <c r="B86" t="str">
        <f t="shared" si="2"/>
        <v/>
      </c>
      <c r="E8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7" spans="2:5" x14ac:dyDescent="0.4">
      <c r="B87" t="str">
        <f t="shared" si="2"/>
        <v/>
      </c>
      <c r="E8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8" spans="2:5" x14ac:dyDescent="0.4">
      <c r="B88" t="str">
        <f t="shared" si="2"/>
        <v/>
      </c>
      <c r="E8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89" spans="2:5" x14ac:dyDescent="0.4">
      <c r="B89" t="str">
        <f t="shared" si="2"/>
        <v/>
      </c>
      <c r="E8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0" spans="2:5" x14ac:dyDescent="0.4">
      <c r="B90" t="str">
        <f t="shared" si="2"/>
        <v/>
      </c>
      <c r="E9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1" spans="2:5" x14ac:dyDescent="0.4">
      <c r="B91" t="str">
        <f t="shared" si="2"/>
        <v/>
      </c>
      <c r="E9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2" spans="2:5" x14ac:dyDescent="0.4">
      <c r="B92" t="str">
        <f t="shared" si="2"/>
        <v/>
      </c>
      <c r="E9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3" spans="2:5" x14ac:dyDescent="0.4">
      <c r="B93" t="str">
        <f t="shared" si="2"/>
        <v/>
      </c>
      <c r="E9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4" spans="2:5" x14ac:dyDescent="0.4">
      <c r="B94" t="str">
        <f t="shared" si="2"/>
        <v/>
      </c>
      <c r="E9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5" spans="2:5" x14ac:dyDescent="0.4">
      <c r="B95" t="str">
        <f t="shared" si="2"/>
        <v/>
      </c>
      <c r="E9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6" spans="2:5" x14ac:dyDescent="0.4">
      <c r="B96" t="str">
        <f t="shared" si="2"/>
        <v/>
      </c>
      <c r="E9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7" spans="2:5" x14ac:dyDescent="0.4">
      <c r="B97" t="str">
        <f t="shared" si="2"/>
        <v/>
      </c>
      <c r="E9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8" spans="2:5" x14ac:dyDescent="0.4">
      <c r="B98" t="str">
        <f t="shared" si="2"/>
        <v/>
      </c>
      <c r="E9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99" spans="2:5" x14ac:dyDescent="0.4">
      <c r="B99" t="str">
        <f t="shared" si="2"/>
        <v/>
      </c>
      <c r="E9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0" spans="2:5" x14ac:dyDescent="0.4">
      <c r="B100" t="str">
        <f t="shared" ref="B100:B131" si="3">IF(TRIM(CLEAN(C100))="","",
IF(LEFT(TRIM(C100),4)="Unit",C100,"Unit "&amp;C100))</f>
        <v/>
      </c>
      <c r="E10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1" spans="2:5" x14ac:dyDescent="0.4">
      <c r="B101" t="str">
        <f t="shared" si="3"/>
        <v/>
      </c>
      <c r="E10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2" spans="2:5" x14ac:dyDescent="0.4">
      <c r="B102" t="str">
        <f t="shared" si="3"/>
        <v/>
      </c>
      <c r="E10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3" spans="2:5" x14ac:dyDescent="0.4">
      <c r="B103" t="str">
        <f t="shared" si="3"/>
        <v/>
      </c>
      <c r="E10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4" spans="2:5" x14ac:dyDescent="0.4">
      <c r="B104" t="str">
        <f t="shared" si="3"/>
        <v/>
      </c>
      <c r="E10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5" spans="2:5" x14ac:dyDescent="0.4">
      <c r="B105" t="str">
        <f t="shared" si="3"/>
        <v/>
      </c>
      <c r="E10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6" spans="2:5" x14ac:dyDescent="0.4">
      <c r="B106" t="str">
        <f t="shared" si="3"/>
        <v/>
      </c>
      <c r="E10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7" spans="2:5" x14ac:dyDescent="0.4">
      <c r="B107" t="str">
        <f t="shared" si="3"/>
        <v/>
      </c>
      <c r="E10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8" spans="2:5" x14ac:dyDescent="0.4">
      <c r="B108" t="str">
        <f t="shared" si="3"/>
        <v/>
      </c>
      <c r="E10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09" spans="2:5" x14ac:dyDescent="0.4">
      <c r="B109" t="str">
        <f t="shared" si="3"/>
        <v/>
      </c>
      <c r="E10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0" spans="2:5" x14ac:dyDescent="0.4">
      <c r="B110" t="str">
        <f t="shared" si="3"/>
        <v/>
      </c>
      <c r="E11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1" spans="2:5" x14ac:dyDescent="0.4">
      <c r="B111" t="str">
        <f t="shared" si="3"/>
        <v/>
      </c>
      <c r="E11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2" spans="2:5" x14ac:dyDescent="0.4">
      <c r="B112" t="str">
        <f t="shared" si="3"/>
        <v/>
      </c>
      <c r="E11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3" spans="2:5" x14ac:dyDescent="0.4">
      <c r="B113" t="str">
        <f t="shared" si="3"/>
        <v/>
      </c>
      <c r="E11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4" spans="2:5" x14ac:dyDescent="0.4">
      <c r="B114" t="str">
        <f t="shared" si="3"/>
        <v/>
      </c>
      <c r="E11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5" spans="2:5" x14ac:dyDescent="0.4">
      <c r="B115" t="str">
        <f t="shared" si="3"/>
        <v/>
      </c>
      <c r="E11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6" spans="2:5" x14ac:dyDescent="0.4">
      <c r="B116" t="str">
        <f t="shared" si="3"/>
        <v/>
      </c>
      <c r="E11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7" spans="2:5" x14ac:dyDescent="0.4">
      <c r="B117" t="str">
        <f t="shared" si="3"/>
        <v/>
      </c>
      <c r="E11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8" spans="2:5" x14ac:dyDescent="0.4">
      <c r="B118" t="str">
        <f t="shared" si="3"/>
        <v/>
      </c>
      <c r="E11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19" spans="2:5" x14ac:dyDescent="0.4">
      <c r="B119" t="str">
        <f t="shared" si="3"/>
        <v/>
      </c>
      <c r="E11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0" spans="2:5" x14ac:dyDescent="0.4">
      <c r="B120" t="str">
        <f t="shared" si="3"/>
        <v/>
      </c>
      <c r="E12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1" spans="2:5" x14ac:dyDescent="0.4">
      <c r="B121" t="str">
        <f t="shared" si="3"/>
        <v/>
      </c>
      <c r="E12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2" spans="2:5" x14ac:dyDescent="0.4">
      <c r="B122" t="str">
        <f t="shared" si="3"/>
        <v/>
      </c>
      <c r="E12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3" spans="2:5" x14ac:dyDescent="0.4">
      <c r="B123" t="str">
        <f t="shared" si="3"/>
        <v/>
      </c>
      <c r="E12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4" spans="2:5" x14ac:dyDescent="0.4">
      <c r="B124" t="str">
        <f t="shared" si="3"/>
        <v/>
      </c>
      <c r="E12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5" spans="2:5" x14ac:dyDescent="0.4">
      <c r="B125" t="str">
        <f t="shared" si="3"/>
        <v/>
      </c>
      <c r="E12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6" spans="2:5" x14ac:dyDescent="0.4">
      <c r="B126" t="str">
        <f t="shared" si="3"/>
        <v/>
      </c>
      <c r="E12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7" spans="2:5" x14ac:dyDescent="0.4">
      <c r="B127" t="str">
        <f t="shared" si="3"/>
        <v/>
      </c>
      <c r="E12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8" spans="2:5" x14ac:dyDescent="0.4">
      <c r="B128" t="str">
        <f t="shared" si="3"/>
        <v/>
      </c>
      <c r="E12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29" spans="2:5" x14ac:dyDescent="0.4">
      <c r="B129" t="str">
        <f t="shared" si="3"/>
        <v/>
      </c>
      <c r="E12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0" spans="2:5" x14ac:dyDescent="0.4">
      <c r="B130" t="str">
        <f t="shared" si="3"/>
        <v/>
      </c>
      <c r="E13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1" spans="2:5" x14ac:dyDescent="0.4">
      <c r="B131" t="str">
        <f t="shared" si="3"/>
        <v/>
      </c>
      <c r="E13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2" spans="2:5" x14ac:dyDescent="0.4">
      <c r="B132" t="str">
        <f t="shared" ref="B132:B163" si="4">IF(TRIM(CLEAN(C132))="","",
IF(LEFT(TRIM(C132),4)="Unit",C132,"Unit "&amp;C132))</f>
        <v/>
      </c>
      <c r="E13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3" spans="2:5" x14ac:dyDescent="0.4">
      <c r="B133" t="str">
        <f t="shared" si="4"/>
        <v/>
      </c>
      <c r="E13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4" spans="2:5" x14ac:dyDescent="0.4">
      <c r="B134" t="str">
        <f t="shared" si="4"/>
        <v/>
      </c>
      <c r="E13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5" spans="2:5" x14ac:dyDescent="0.4">
      <c r="B135" t="str">
        <f t="shared" si="4"/>
        <v/>
      </c>
      <c r="E13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6" spans="2:5" x14ac:dyDescent="0.4">
      <c r="B136" t="str">
        <f t="shared" si="4"/>
        <v/>
      </c>
      <c r="E13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7" spans="2:5" x14ac:dyDescent="0.4">
      <c r="B137" t="str">
        <f t="shared" si="4"/>
        <v/>
      </c>
      <c r="E13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8" spans="2:5" x14ac:dyDescent="0.4">
      <c r="B138" t="str">
        <f t="shared" si="4"/>
        <v/>
      </c>
      <c r="E13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39" spans="2:5" x14ac:dyDescent="0.4">
      <c r="B139" t="str">
        <f t="shared" si="4"/>
        <v/>
      </c>
      <c r="E13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0" spans="2:5" x14ac:dyDescent="0.4">
      <c r="B140" t="str">
        <f t="shared" si="4"/>
        <v/>
      </c>
      <c r="E14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1" spans="2:5" x14ac:dyDescent="0.4">
      <c r="B141" t="str">
        <f t="shared" si="4"/>
        <v/>
      </c>
      <c r="E14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2" spans="2:5" x14ac:dyDescent="0.4">
      <c r="B142" t="str">
        <f t="shared" si="4"/>
        <v/>
      </c>
      <c r="E14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3" spans="2:5" x14ac:dyDescent="0.4">
      <c r="B143" t="str">
        <f t="shared" si="4"/>
        <v/>
      </c>
      <c r="E14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4" spans="2:5" x14ac:dyDescent="0.4">
      <c r="B144" t="str">
        <f t="shared" si="4"/>
        <v/>
      </c>
      <c r="E14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5" spans="2:5" x14ac:dyDescent="0.4">
      <c r="B145" t="str">
        <f t="shared" si="4"/>
        <v/>
      </c>
      <c r="E14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6" spans="2:5" x14ac:dyDescent="0.4">
      <c r="B146" t="str">
        <f t="shared" si="4"/>
        <v/>
      </c>
      <c r="E14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7" spans="2:5" x14ac:dyDescent="0.4">
      <c r="B147" t="str">
        <f t="shared" si="4"/>
        <v/>
      </c>
      <c r="E14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8" spans="2:5" x14ac:dyDescent="0.4">
      <c r="B148" t="str">
        <f t="shared" si="4"/>
        <v/>
      </c>
      <c r="E14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49" spans="2:5" x14ac:dyDescent="0.4">
      <c r="B149" t="str">
        <f t="shared" si="4"/>
        <v/>
      </c>
      <c r="E14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0" spans="2:5" x14ac:dyDescent="0.4">
      <c r="B150" t="str">
        <f t="shared" si="4"/>
        <v/>
      </c>
      <c r="E15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1" spans="2:5" x14ac:dyDescent="0.4">
      <c r="B151" t="str">
        <f t="shared" si="4"/>
        <v/>
      </c>
      <c r="E15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2" spans="2:5" x14ac:dyDescent="0.4">
      <c r="B152" t="str">
        <f t="shared" si="4"/>
        <v/>
      </c>
      <c r="E15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3" spans="2:5" x14ac:dyDescent="0.4">
      <c r="B153" t="str">
        <f t="shared" si="4"/>
        <v/>
      </c>
      <c r="E15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4" spans="2:5" x14ac:dyDescent="0.4">
      <c r="B154" t="str">
        <f t="shared" si="4"/>
        <v/>
      </c>
      <c r="E15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5" spans="2:5" x14ac:dyDescent="0.4">
      <c r="B155" t="str">
        <f t="shared" si="4"/>
        <v/>
      </c>
      <c r="E155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6" spans="2:5" x14ac:dyDescent="0.4">
      <c r="B156" t="str">
        <f t="shared" si="4"/>
        <v/>
      </c>
      <c r="E156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7" spans="2:5" x14ac:dyDescent="0.4">
      <c r="B157" t="str">
        <f t="shared" si="4"/>
        <v/>
      </c>
      <c r="E157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8" spans="2:5" x14ac:dyDescent="0.4">
      <c r="B158" t="str">
        <f t="shared" si="4"/>
        <v/>
      </c>
      <c r="E158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59" spans="2:5" x14ac:dyDescent="0.4">
      <c r="B159" t="str">
        <f t="shared" si="4"/>
        <v/>
      </c>
      <c r="E159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60" spans="2:5" x14ac:dyDescent="0.4">
      <c r="B160" t="str">
        <f t="shared" si="4"/>
        <v/>
      </c>
      <c r="E160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61" spans="2:5" x14ac:dyDescent="0.4">
      <c r="B161" t="str">
        <f t="shared" si="4"/>
        <v/>
      </c>
      <c r="E161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62" spans="2:5" x14ac:dyDescent="0.4">
      <c r="B162" t="str">
        <f t="shared" si="4"/>
        <v/>
      </c>
      <c r="E162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63" spans="2:5" x14ac:dyDescent="0.4">
      <c r="B163" t="str">
        <f t="shared" si="4"/>
        <v/>
      </c>
      <c r="E163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  <row r="164" spans="2:5" x14ac:dyDescent="0.4">
      <c r="B164" t="str">
        <f>IF(TRIM(CLEAN(C164))="","",
IF(LEFT(TRIM(C164),4)="Unit",C164,"Unit "&amp;C164))</f>
        <v/>
      </c>
      <c r="E164" s="9" t="str">
        <f>IF(TRIM(CLEAN(Table37[[#This Row],[Data]]))="","",
  DATE(
    VALUE(RIGHT(Table37[[#This Row],[Data]],4)),
    VALUE(LEFT(Table37[[#This Row],[Data]],FIND("/",Table37[[#This Row],[Data]])-1)),
    VALUE(MID(Table37[[#This Row],[Data]],
      FIND("/",Table37[[#This Row],[Data]])+1,
      FIND("/",Table37[[#This Row],[Data]],FIND("/",Table37[[#This Row],[Data]])+1)
      -FIND("/",Table37[[#This Row],[Data]])-1
    )))
)</f>
        <v/>
      </c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DMRB </vt:lpstr>
      <vt:lpstr>Engine</vt:lpstr>
      <vt:lpstr>Dashboard </vt:lpstr>
      <vt:lpstr>Data_Validation</vt:lpstr>
      <vt:lpstr>Alert</vt:lpstr>
      <vt:lpstr>Assign</vt:lpstr>
      <vt:lpstr>Core_Facts</vt:lpstr>
      <vt:lpstr>Intelligence_Layer</vt:lpstr>
      <vt:lpstr>PH</vt:lpstr>
      <vt:lpstr>QC</vt:lpstr>
      <vt:lpstr>Status</vt:lpstr>
      <vt:lpstr>Status_apt</vt:lpstr>
      <vt:lpstr>TS</vt:lpstr>
      <vt:lpstr>W_D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gonzalez</dc:creator>
  <cp:lastModifiedBy>miguel gonzalez</cp:lastModifiedBy>
  <dcterms:created xsi:type="dcterms:W3CDTF">2026-01-30T19:10:11Z</dcterms:created>
  <dcterms:modified xsi:type="dcterms:W3CDTF">2026-02-17T22:14:35Z</dcterms:modified>
</cp:coreProperties>
</file>