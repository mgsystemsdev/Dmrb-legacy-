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onzalez1\Downloads\reports\data\"/>
    </mc:Choice>
  </mc:AlternateContent>
  <xr:revisionPtr revIDLastSave="0" documentId="13_ncr:1_{72D023BD-E0F3-4BEB-B7BF-9E637106ABE7}" xr6:coauthVersionLast="47" xr6:coauthVersionMax="47" xr10:uidLastSave="{00000000-0000-0000-0000-000000000000}"/>
  <bookViews>
    <workbookView xWindow="-6675" yWindow="-16320" windowWidth="29040" windowHeight="15720" xr2:uid="{DBB02E41-1DE9-BE44-AF2B-460DEE85450E}"/>
  </bookViews>
  <sheets>
    <sheet name="DMRB " sheetId="2" r:id="rId1"/>
    <sheet name="Engine" sheetId="15" r:id="rId2"/>
    <sheet name="Dashboard " sheetId="13" r:id="rId3"/>
    <sheet name="Data_Validation" sheetId="3" r:id="rId4"/>
  </sheets>
  <externalReferences>
    <externalReference r:id="rId5"/>
  </externalReferences>
  <definedNames>
    <definedName name="Alert">Data_Validation!$K$13:$K$24</definedName>
    <definedName name="Assign">Data_Validation!$S$4:$S$9</definedName>
    <definedName name="Assing">[1]Data_Validation!$T$9:$T$13</definedName>
    <definedName name="Core_Facts">Engine!$A$1</definedName>
    <definedName name="ENGINE_OUTPUT">_xlfn.ANCHORARRAY(Engine!$H$1)</definedName>
    <definedName name="Intelligence_Layer">Engine!$B$1</definedName>
    <definedName name="PH">Data_Validation!$W$4:$W$7</definedName>
    <definedName name="QC">Data_Validation!$Y$4:$Y$5</definedName>
    <definedName name="Status">Data_Validation!$K$4:$K$6</definedName>
    <definedName name="Status_apt">Data_Validation!$U$4:$U$8</definedName>
    <definedName name="Task_status">[1]Data_Validation!$I$9:$I$13</definedName>
    <definedName name="TS">Data_Validation!$H$4:$H$8</definedName>
    <definedName name="W_D">Data_Validation!$Q$4:$Q$6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ecs="http://schemas.microsoft.com/office/spreadsheetml/2023/externalCodeService" uri="{FA53438D-04C0-449E-B49E-183307DE486D}">
      <xlecs:externalCodeService autoShow="0"/>
    </ext>
  </extLst>
</workbook>
</file>

<file path=xl/calcChain.xml><?xml version="1.0" encoding="utf-8"?>
<calcChain xmlns="http://schemas.openxmlformats.org/spreadsheetml/2006/main">
  <c r="E145" i="2" l="1"/>
  <c r="E146" i="2"/>
  <c r="E147" i="2"/>
  <c r="E148" i="2"/>
  <c r="E149" i="2"/>
  <c r="E150" i="2"/>
  <c r="E151" i="2"/>
  <c r="E152" i="2"/>
  <c r="E153" i="2"/>
  <c r="E154" i="2"/>
  <c r="E155" i="2"/>
  <c r="E156" i="2"/>
  <c r="E157" i="2"/>
  <c r="E31" i="2"/>
  <c r="E37" i="2"/>
  <c r="E40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31" i="2"/>
  <c r="G37" i="2"/>
  <c r="G40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31" i="2"/>
  <c r="H37" i="2"/>
  <c r="H40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31" i="2"/>
  <c r="I37" i="2"/>
  <c r="I40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31" i="2"/>
  <c r="K37" i="2"/>
  <c r="K40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31" i="2"/>
  <c r="M37" i="2"/>
  <c r="M40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31" i="2"/>
  <c r="O37" i="2"/>
  <c r="O40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31" i="2"/>
  <c r="Q37" i="2"/>
  <c r="Q40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31" i="2"/>
  <c r="V37" i="2"/>
  <c r="V40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31" i="2"/>
  <c r="W37" i="2"/>
  <c r="W40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31" i="2"/>
  <c r="X37" i="2"/>
  <c r="X40" i="2"/>
  <c r="E141" i="2"/>
  <c r="E142" i="2"/>
  <c r="E143" i="2"/>
  <c r="E144" i="2"/>
  <c r="G141" i="2"/>
  <c r="G142" i="2"/>
  <c r="G143" i="2"/>
  <c r="G144" i="2"/>
  <c r="H141" i="2"/>
  <c r="H142" i="2"/>
  <c r="H143" i="2"/>
  <c r="H144" i="2"/>
  <c r="I141" i="2"/>
  <c r="I142" i="2"/>
  <c r="I143" i="2"/>
  <c r="I144" i="2"/>
  <c r="K141" i="2"/>
  <c r="K142" i="2"/>
  <c r="K143" i="2"/>
  <c r="K144" i="2"/>
  <c r="M141" i="2"/>
  <c r="M142" i="2"/>
  <c r="M143" i="2"/>
  <c r="M144" i="2"/>
  <c r="O141" i="2"/>
  <c r="O142" i="2"/>
  <c r="O143" i="2"/>
  <c r="O144" i="2"/>
  <c r="Q141" i="2"/>
  <c r="Q142" i="2"/>
  <c r="Q143" i="2"/>
  <c r="Q144" i="2"/>
  <c r="V141" i="2"/>
  <c r="V142" i="2"/>
  <c r="V143" i="2"/>
  <c r="V144" i="2"/>
  <c r="W141" i="2"/>
  <c r="W142" i="2"/>
  <c r="W143" i="2"/>
  <c r="W144" i="2"/>
  <c r="X141" i="2"/>
  <c r="X142" i="2"/>
  <c r="X143" i="2"/>
  <c r="X144" i="2"/>
  <c r="E88" i="2"/>
  <c r="E112" i="2"/>
  <c r="E114" i="2"/>
  <c r="G88" i="2"/>
  <c r="G112" i="2"/>
  <c r="G114" i="2"/>
  <c r="H88" i="2"/>
  <c r="H112" i="2"/>
  <c r="H114" i="2"/>
  <c r="I88" i="2"/>
  <c r="I112" i="2"/>
  <c r="I114" i="2"/>
  <c r="K88" i="2"/>
  <c r="K112" i="2"/>
  <c r="K114" i="2"/>
  <c r="M88" i="2"/>
  <c r="M112" i="2"/>
  <c r="M114" i="2"/>
  <c r="O88" i="2"/>
  <c r="O112" i="2"/>
  <c r="O114" i="2"/>
  <c r="Q88" i="2"/>
  <c r="Q112" i="2"/>
  <c r="Q114" i="2"/>
  <c r="V88" i="2"/>
  <c r="V112" i="2"/>
  <c r="V114" i="2"/>
  <c r="W88" i="2"/>
  <c r="W112" i="2"/>
  <c r="W114" i="2"/>
  <c r="X88" i="2"/>
  <c r="X112" i="2"/>
  <c r="X114" i="2"/>
  <c r="E90" i="2"/>
  <c r="E106" i="2"/>
  <c r="E26" i="2"/>
  <c r="E124" i="2"/>
  <c r="E137" i="2"/>
  <c r="E41" i="2"/>
  <c r="G90" i="2"/>
  <c r="G106" i="2"/>
  <c r="G26" i="2"/>
  <c r="G124" i="2"/>
  <c r="G137" i="2"/>
  <c r="G41" i="2"/>
  <c r="H90" i="2"/>
  <c r="H106" i="2"/>
  <c r="H26" i="2"/>
  <c r="H124" i="2"/>
  <c r="H137" i="2"/>
  <c r="H41" i="2"/>
  <c r="I90" i="2"/>
  <c r="I106" i="2"/>
  <c r="I26" i="2"/>
  <c r="I124" i="2"/>
  <c r="I137" i="2"/>
  <c r="I41" i="2"/>
  <c r="K90" i="2"/>
  <c r="K106" i="2"/>
  <c r="K26" i="2"/>
  <c r="K124" i="2"/>
  <c r="K137" i="2"/>
  <c r="K41" i="2"/>
  <c r="M90" i="2"/>
  <c r="M106" i="2"/>
  <c r="M26" i="2"/>
  <c r="M124" i="2"/>
  <c r="M137" i="2"/>
  <c r="M41" i="2"/>
  <c r="O90" i="2"/>
  <c r="O106" i="2"/>
  <c r="O26" i="2"/>
  <c r="O124" i="2"/>
  <c r="O137" i="2"/>
  <c r="O41" i="2"/>
  <c r="Q90" i="2"/>
  <c r="Q106" i="2"/>
  <c r="Q26" i="2"/>
  <c r="Q124" i="2"/>
  <c r="Q137" i="2"/>
  <c r="Q41" i="2"/>
  <c r="V90" i="2"/>
  <c r="V106" i="2"/>
  <c r="V26" i="2"/>
  <c r="V124" i="2"/>
  <c r="V137" i="2"/>
  <c r="V41" i="2"/>
  <c r="W90" i="2"/>
  <c r="W106" i="2"/>
  <c r="W26" i="2"/>
  <c r="W124" i="2"/>
  <c r="W137" i="2"/>
  <c r="W41" i="2"/>
  <c r="X90" i="2"/>
  <c r="X106" i="2"/>
  <c r="X26" i="2"/>
  <c r="X124" i="2"/>
  <c r="X137" i="2"/>
  <c r="X41" i="2"/>
  <c r="E87" i="2"/>
  <c r="E98" i="2"/>
  <c r="E10" i="2"/>
  <c r="E105" i="2"/>
  <c r="E108" i="2"/>
  <c r="E129" i="2"/>
  <c r="E130" i="2"/>
  <c r="E35" i="2"/>
  <c r="E133" i="2"/>
  <c r="E134" i="2"/>
  <c r="E136" i="2"/>
  <c r="G87" i="2"/>
  <c r="G98" i="2"/>
  <c r="G10" i="2"/>
  <c r="G105" i="2"/>
  <c r="G108" i="2"/>
  <c r="G129" i="2"/>
  <c r="G130" i="2"/>
  <c r="G35" i="2"/>
  <c r="G133" i="2"/>
  <c r="G134" i="2"/>
  <c r="G136" i="2"/>
  <c r="H87" i="2"/>
  <c r="H98" i="2"/>
  <c r="H10" i="2"/>
  <c r="H105" i="2"/>
  <c r="H108" i="2"/>
  <c r="H129" i="2"/>
  <c r="H130" i="2"/>
  <c r="H35" i="2"/>
  <c r="H133" i="2"/>
  <c r="H134" i="2"/>
  <c r="H136" i="2"/>
  <c r="I87" i="2"/>
  <c r="I98" i="2"/>
  <c r="I10" i="2"/>
  <c r="I105" i="2"/>
  <c r="I108" i="2"/>
  <c r="I129" i="2"/>
  <c r="I130" i="2"/>
  <c r="I35" i="2"/>
  <c r="I133" i="2"/>
  <c r="I134" i="2"/>
  <c r="I136" i="2"/>
  <c r="K87" i="2"/>
  <c r="K98" i="2"/>
  <c r="K10" i="2"/>
  <c r="K105" i="2"/>
  <c r="K108" i="2"/>
  <c r="K129" i="2"/>
  <c r="K130" i="2"/>
  <c r="K35" i="2"/>
  <c r="K133" i="2"/>
  <c r="K134" i="2"/>
  <c r="K136" i="2"/>
  <c r="M87" i="2"/>
  <c r="M98" i="2"/>
  <c r="M10" i="2"/>
  <c r="M105" i="2"/>
  <c r="M108" i="2"/>
  <c r="M129" i="2"/>
  <c r="M130" i="2"/>
  <c r="M35" i="2"/>
  <c r="M133" i="2"/>
  <c r="M134" i="2"/>
  <c r="M136" i="2"/>
  <c r="O87" i="2"/>
  <c r="O98" i="2"/>
  <c r="O10" i="2"/>
  <c r="O105" i="2"/>
  <c r="O108" i="2"/>
  <c r="O129" i="2"/>
  <c r="O130" i="2"/>
  <c r="O35" i="2"/>
  <c r="O133" i="2"/>
  <c r="O134" i="2"/>
  <c r="O136" i="2"/>
  <c r="Q87" i="2"/>
  <c r="Q98" i="2"/>
  <c r="Q10" i="2"/>
  <c r="Q105" i="2"/>
  <c r="Q108" i="2"/>
  <c r="Q129" i="2"/>
  <c r="Q130" i="2"/>
  <c r="Q35" i="2"/>
  <c r="Q133" i="2"/>
  <c r="Q134" i="2"/>
  <c r="Q136" i="2"/>
  <c r="V87" i="2"/>
  <c r="V98" i="2"/>
  <c r="V10" i="2"/>
  <c r="V105" i="2"/>
  <c r="V108" i="2"/>
  <c r="V129" i="2"/>
  <c r="V130" i="2"/>
  <c r="V35" i="2"/>
  <c r="V133" i="2"/>
  <c r="V134" i="2"/>
  <c r="V136" i="2"/>
  <c r="W87" i="2"/>
  <c r="W98" i="2"/>
  <c r="W10" i="2"/>
  <c r="W105" i="2"/>
  <c r="W108" i="2"/>
  <c r="W129" i="2"/>
  <c r="W130" i="2"/>
  <c r="W35" i="2"/>
  <c r="W133" i="2"/>
  <c r="W134" i="2"/>
  <c r="W136" i="2"/>
  <c r="X87" i="2"/>
  <c r="X98" i="2"/>
  <c r="X10" i="2"/>
  <c r="X105" i="2"/>
  <c r="X108" i="2"/>
  <c r="X129" i="2"/>
  <c r="X130" i="2"/>
  <c r="X35" i="2"/>
  <c r="X133" i="2"/>
  <c r="X134" i="2"/>
  <c r="X136" i="2"/>
  <c r="E50" i="2"/>
  <c r="G50" i="2"/>
  <c r="H50" i="2"/>
  <c r="I50" i="2"/>
  <c r="K50" i="2"/>
  <c r="M50" i="2"/>
  <c r="O50" i="2"/>
  <c r="Q50" i="2"/>
  <c r="V50" i="2"/>
  <c r="W50" i="2"/>
  <c r="X50" i="2"/>
  <c r="E51" i="2"/>
  <c r="G51" i="2"/>
  <c r="H51" i="2"/>
  <c r="I51" i="2"/>
  <c r="K51" i="2"/>
  <c r="M51" i="2"/>
  <c r="O51" i="2"/>
  <c r="Q51" i="2"/>
  <c r="V51" i="2"/>
  <c r="W51" i="2"/>
  <c r="X51" i="2"/>
  <c r="E52" i="2"/>
  <c r="G52" i="2"/>
  <c r="H52" i="2"/>
  <c r="I52" i="2"/>
  <c r="K52" i="2"/>
  <c r="M52" i="2"/>
  <c r="O52" i="2"/>
  <c r="Q52" i="2"/>
  <c r="V52" i="2"/>
  <c r="W52" i="2"/>
  <c r="X52" i="2"/>
  <c r="E12" i="2"/>
  <c r="G12" i="2"/>
  <c r="H12" i="2"/>
  <c r="I12" i="2"/>
  <c r="K12" i="2"/>
  <c r="M12" i="2"/>
  <c r="O12" i="2"/>
  <c r="Q12" i="2"/>
  <c r="V12" i="2"/>
  <c r="W12" i="2"/>
  <c r="X12" i="2"/>
  <c r="E5" i="2"/>
  <c r="G5" i="2"/>
  <c r="H5" i="2"/>
  <c r="I5" i="2"/>
  <c r="K5" i="2"/>
  <c r="M5" i="2"/>
  <c r="O5" i="2"/>
  <c r="Q5" i="2"/>
  <c r="V5" i="2"/>
  <c r="W5" i="2"/>
  <c r="X5" i="2"/>
  <c r="E53" i="2"/>
  <c r="G53" i="2"/>
  <c r="H53" i="2"/>
  <c r="I53" i="2"/>
  <c r="K53" i="2"/>
  <c r="M53" i="2"/>
  <c r="O53" i="2"/>
  <c r="Q53" i="2"/>
  <c r="V53" i="2"/>
  <c r="W53" i="2"/>
  <c r="X53" i="2"/>
  <c r="E54" i="2"/>
  <c r="G54" i="2"/>
  <c r="H54" i="2"/>
  <c r="I54" i="2"/>
  <c r="K54" i="2"/>
  <c r="M54" i="2"/>
  <c r="O54" i="2"/>
  <c r="Q54" i="2"/>
  <c r="V54" i="2"/>
  <c r="W54" i="2"/>
  <c r="X54" i="2"/>
  <c r="E55" i="2"/>
  <c r="G55" i="2"/>
  <c r="H55" i="2"/>
  <c r="I55" i="2"/>
  <c r="K55" i="2"/>
  <c r="M55" i="2"/>
  <c r="O55" i="2"/>
  <c r="Q55" i="2"/>
  <c r="V55" i="2"/>
  <c r="W55" i="2"/>
  <c r="X55" i="2"/>
  <c r="E56" i="2"/>
  <c r="G56" i="2"/>
  <c r="H56" i="2"/>
  <c r="I56" i="2"/>
  <c r="K56" i="2"/>
  <c r="M56" i="2"/>
  <c r="O56" i="2"/>
  <c r="Q56" i="2"/>
  <c r="V56" i="2"/>
  <c r="W56" i="2"/>
  <c r="X56" i="2"/>
  <c r="E6" i="2"/>
  <c r="G6" i="2"/>
  <c r="H6" i="2"/>
  <c r="I6" i="2"/>
  <c r="K6" i="2"/>
  <c r="M6" i="2"/>
  <c r="O6" i="2"/>
  <c r="Q6" i="2"/>
  <c r="V6" i="2"/>
  <c r="W6" i="2"/>
  <c r="X6" i="2"/>
  <c r="E57" i="2"/>
  <c r="G57" i="2"/>
  <c r="H57" i="2"/>
  <c r="I57" i="2"/>
  <c r="K57" i="2"/>
  <c r="M57" i="2"/>
  <c r="O57" i="2"/>
  <c r="Q57" i="2"/>
  <c r="V57" i="2"/>
  <c r="W57" i="2"/>
  <c r="X57" i="2"/>
  <c r="E2" i="2"/>
  <c r="G2" i="2"/>
  <c r="H2" i="2"/>
  <c r="I2" i="2"/>
  <c r="K2" i="2"/>
  <c r="M2" i="2"/>
  <c r="O2" i="2"/>
  <c r="Q2" i="2"/>
  <c r="V2" i="2"/>
  <c r="W2" i="2"/>
  <c r="X2" i="2"/>
  <c r="E58" i="2"/>
  <c r="G58" i="2"/>
  <c r="H58" i="2"/>
  <c r="I58" i="2"/>
  <c r="K58" i="2"/>
  <c r="M58" i="2"/>
  <c r="O58" i="2"/>
  <c r="Q58" i="2"/>
  <c r="V58" i="2"/>
  <c r="W58" i="2"/>
  <c r="X58" i="2"/>
  <c r="E59" i="2"/>
  <c r="G59" i="2"/>
  <c r="H59" i="2"/>
  <c r="I59" i="2"/>
  <c r="K59" i="2"/>
  <c r="M59" i="2"/>
  <c r="O59" i="2"/>
  <c r="Q59" i="2"/>
  <c r="V59" i="2"/>
  <c r="W59" i="2"/>
  <c r="X59" i="2"/>
  <c r="E8" i="2"/>
  <c r="G8" i="2"/>
  <c r="H8" i="2"/>
  <c r="I8" i="2"/>
  <c r="K8" i="2"/>
  <c r="M8" i="2"/>
  <c r="O8" i="2"/>
  <c r="Q8" i="2"/>
  <c r="V8" i="2"/>
  <c r="W8" i="2"/>
  <c r="X8" i="2"/>
  <c r="E60" i="2"/>
  <c r="G60" i="2"/>
  <c r="H60" i="2"/>
  <c r="I60" i="2"/>
  <c r="K60" i="2"/>
  <c r="M60" i="2"/>
  <c r="O60" i="2"/>
  <c r="Q60" i="2"/>
  <c r="V60" i="2"/>
  <c r="W60" i="2"/>
  <c r="X60" i="2"/>
  <c r="E61" i="2"/>
  <c r="G61" i="2"/>
  <c r="H61" i="2"/>
  <c r="I61" i="2"/>
  <c r="K61" i="2"/>
  <c r="M61" i="2"/>
  <c r="O61" i="2"/>
  <c r="Q61" i="2"/>
  <c r="V61" i="2"/>
  <c r="W61" i="2"/>
  <c r="X61" i="2"/>
  <c r="E62" i="2"/>
  <c r="G62" i="2"/>
  <c r="H62" i="2"/>
  <c r="I62" i="2"/>
  <c r="K62" i="2"/>
  <c r="M62" i="2"/>
  <c r="O62" i="2"/>
  <c r="Q62" i="2"/>
  <c r="V62" i="2"/>
  <c r="W62" i="2"/>
  <c r="X62" i="2"/>
  <c r="E63" i="2"/>
  <c r="G63" i="2"/>
  <c r="H63" i="2"/>
  <c r="I63" i="2"/>
  <c r="K63" i="2"/>
  <c r="M63" i="2"/>
  <c r="O63" i="2"/>
  <c r="Q63" i="2"/>
  <c r="V63" i="2"/>
  <c r="W63" i="2"/>
  <c r="X63" i="2"/>
  <c r="E64" i="2"/>
  <c r="G64" i="2"/>
  <c r="H64" i="2"/>
  <c r="I64" i="2"/>
  <c r="K64" i="2"/>
  <c r="M64" i="2"/>
  <c r="O64" i="2"/>
  <c r="Q64" i="2"/>
  <c r="V64" i="2"/>
  <c r="W64" i="2"/>
  <c r="X64" i="2"/>
  <c r="E65" i="2"/>
  <c r="G65" i="2"/>
  <c r="H65" i="2"/>
  <c r="I65" i="2"/>
  <c r="K65" i="2"/>
  <c r="M65" i="2"/>
  <c r="O65" i="2"/>
  <c r="Q65" i="2"/>
  <c r="V65" i="2"/>
  <c r="W65" i="2"/>
  <c r="X65" i="2"/>
  <c r="E66" i="2"/>
  <c r="G66" i="2"/>
  <c r="H66" i="2"/>
  <c r="I66" i="2"/>
  <c r="K66" i="2"/>
  <c r="M66" i="2"/>
  <c r="O66" i="2"/>
  <c r="Q66" i="2"/>
  <c r="V66" i="2"/>
  <c r="W66" i="2"/>
  <c r="X66" i="2"/>
  <c r="E67" i="2"/>
  <c r="G67" i="2"/>
  <c r="H67" i="2"/>
  <c r="I67" i="2"/>
  <c r="K67" i="2"/>
  <c r="M67" i="2"/>
  <c r="O67" i="2"/>
  <c r="Q67" i="2"/>
  <c r="V67" i="2"/>
  <c r="W67" i="2"/>
  <c r="X67" i="2"/>
  <c r="E68" i="2"/>
  <c r="G68" i="2"/>
  <c r="H68" i="2"/>
  <c r="I68" i="2"/>
  <c r="K68" i="2"/>
  <c r="M68" i="2"/>
  <c r="O68" i="2"/>
  <c r="Q68" i="2"/>
  <c r="V68" i="2"/>
  <c r="W68" i="2"/>
  <c r="X68" i="2"/>
  <c r="E69" i="2"/>
  <c r="G69" i="2"/>
  <c r="H69" i="2"/>
  <c r="I69" i="2"/>
  <c r="K69" i="2"/>
  <c r="M69" i="2"/>
  <c r="O69" i="2"/>
  <c r="Q69" i="2"/>
  <c r="V69" i="2"/>
  <c r="W69" i="2"/>
  <c r="X69" i="2"/>
  <c r="E9" i="2"/>
  <c r="G9" i="2"/>
  <c r="H9" i="2"/>
  <c r="I9" i="2"/>
  <c r="K9" i="2"/>
  <c r="M9" i="2"/>
  <c r="O9" i="2"/>
  <c r="Q9" i="2"/>
  <c r="V9" i="2"/>
  <c r="W9" i="2"/>
  <c r="X9" i="2"/>
  <c r="E70" i="2"/>
  <c r="G70" i="2"/>
  <c r="H70" i="2"/>
  <c r="I70" i="2"/>
  <c r="K70" i="2"/>
  <c r="M70" i="2"/>
  <c r="O70" i="2"/>
  <c r="Q70" i="2"/>
  <c r="V70" i="2"/>
  <c r="W70" i="2"/>
  <c r="X70" i="2"/>
  <c r="E71" i="2"/>
  <c r="G71" i="2"/>
  <c r="H71" i="2"/>
  <c r="I71" i="2"/>
  <c r="K71" i="2"/>
  <c r="M71" i="2"/>
  <c r="O71" i="2"/>
  <c r="Q71" i="2"/>
  <c r="V71" i="2"/>
  <c r="W71" i="2"/>
  <c r="X71" i="2"/>
  <c r="E72" i="2"/>
  <c r="G72" i="2"/>
  <c r="H72" i="2"/>
  <c r="I72" i="2"/>
  <c r="K72" i="2"/>
  <c r="M72" i="2"/>
  <c r="O72" i="2"/>
  <c r="Q72" i="2"/>
  <c r="V72" i="2"/>
  <c r="W72" i="2"/>
  <c r="X72" i="2"/>
  <c r="E73" i="2"/>
  <c r="G73" i="2"/>
  <c r="H73" i="2"/>
  <c r="I73" i="2"/>
  <c r="K73" i="2"/>
  <c r="M73" i="2"/>
  <c r="O73" i="2"/>
  <c r="Q73" i="2"/>
  <c r="V73" i="2"/>
  <c r="W73" i="2"/>
  <c r="X73" i="2"/>
  <c r="E74" i="2"/>
  <c r="G74" i="2"/>
  <c r="H74" i="2"/>
  <c r="I74" i="2"/>
  <c r="K74" i="2"/>
  <c r="M74" i="2"/>
  <c r="O74" i="2"/>
  <c r="Q74" i="2"/>
  <c r="V74" i="2"/>
  <c r="W74" i="2"/>
  <c r="X74" i="2"/>
  <c r="E75" i="2"/>
  <c r="G75" i="2"/>
  <c r="H75" i="2"/>
  <c r="I75" i="2"/>
  <c r="K75" i="2"/>
  <c r="M75" i="2"/>
  <c r="O75" i="2"/>
  <c r="Q75" i="2"/>
  <c r="V75" i="2"/>
  <c r="W75" i="2"/>
  <c r="X75" i="2"/>
  <c r="E76" i="2"/>
  <c r="G76" i="2"/>
  <c r="H76" i="2"/>
  <c r="I76" i="2"/>
  <c r="K76" i="2"/>
  <c r="M76" i="2"/>
  <c r="O76" i="2"/>
  <c r="Q76" i="2"/>
  <c r="V76" i="2"/>
  <c r="W76" i="2"/>
  <c r="X76" i="2"/>
  <c r="E95" i="2"/>
  <c r="E22" i="2"/>
  <c r="E126" i="2"/>
  <c r="E127" i="2"/>
  <c r="E132" i="2"/>
  <c r="E39" i="2"/>
  <c r="G95" i="2"/>
  <c r="G22" i="2"/>
  <c r="G126" i="2"/>
  <c r="G127" i="2"/>
  <c r="G132" i="2"/>
  <c r="G39" i="2"/>
  <c r="H95" i="2"/>
  <c r="H22" i="2"/>
  <c r="H126" i="2"/>
  <c r="H127" i="2"/>
  <c r="H132" i="2"/>
  <c r="H39" i="2"/>
  <c r="I95" i="2"/>
  <c r="I22" i="2"/>
  <c r="I126" i="2"/>
  <c r="I127" i="2"/>
  <c r="I132" i="2"/>
  <c r="I39" i="2"/>
  <c r="K95" i="2"/>
  <c r="K22" i="2"/>
  <c r="K126" i="2"/>
  <c r="K127" i="2"/>
  <c r="K132" i="2"/>
  <c r="K39" i="2"/>
  <c r="M95" i="2"/>
  <c r="M22" i="2"/>
  <c r="M126" i="2"/>
  <c r="M127" i="2"/>
  <c r="M132" i="2"/>
  <c r="M39" i="2"/>
  <c r="O95" i="2"/>
  <c r="O22" i="2"/>
  <c r="O126" i="2"/>
  <c r="O127" i="2"/>
  <c r="O132" i="2"/>
  <c r="O39" i="2"/>
  <c r="Q95" i="2"/>
  <c r="Q22" i="2"/>
  <c r="Q126" i="2"/>
  <c r="Q127" i="2"/>
  <c r="Q132" i="2"/>
  <c r="Q39" i="2"/>
  <c r="V95" i="2"/>
  <c r="V22" i="2"/>
  <c r="V126" i="2"/>
  <c r="V127" i="2"/>
  <c r="V132" i="2"/>
  <c r="V39" i="2"/>
  <c r="W95" i="2"/>
  <c r="W22" i="2"/>
  <c r="W126" i="2"/>
  <c r="W127" i="2"/>
  <c r="W132" i="2"/>
  <c r="W39" i="2"/>
  <c r="X95" i="2"/>
  <c r="X22" i="2"/>
  <c r="X126" i="2"/>
  <c r="X127" i="2"/>
  <c r="X132" i="2"/>
  <c r="X39" i="2"/>
  <c r="E94" i="2"/>
  <c r="G94" i="2"/>
  <c r="H94" i="2"/>
  <c r="I94" i="2"/>
  <c r="K94" i="2"/>
  <c r="M94" i="2"/>
  <c r="O94" i="2"/>
  <c r="Q94" i="2"/>
  <c r="V94" i="2"/>
  <c r="W94" i="2"/>
  <c r="X94" i="2"/>
  <c r="E28" i="2"/>
  <c r="E34" i="2"/>
  <c r="G28" i="2"/>
  <c r="G34" i="2"/>
  <c r="H28" i="2"/>
  <c r="H34" i="2"/>
  <c r="I28" i="2"/>
  <c r="I34" i="2"/>
  <c r="K28" i="2"/>
  <c r="K34" i="2"/>
  <c r="M28" i="2"/>
  <c r="M34" i="2"/>
  <c r="O28" i="2"/>
  <c r="O34" i="2"/>
  <c r="Q28" i="2"/>
  <c r="Q34" i="2"/>
  <c r="V28" i="2"/>
  <c r="V34" i="2"/>
  <c r="W28" i="2"/>
  <c r="W34" i="2"/>
  <c r="X28" i="2"/>
  <c r="X34" i="2"/>
  <c r="E33" i="2"/>
  <c r="G33" i="2"/>
  <c r="H33" i="2"/>
  <c r="I33" i="2"/>
  <c r="K33" i="2"/>
  <c r="M33" i="2"/>
  <c r="O33" i="2"/>
  <c r="Q33" i="2"/>
  <c r="V33" i="2"/>
  <c r="W33" i="2"/>
  <c r="X33" i="2"/>
  <c r="E30" i="2"/>
  <c r="G30" i="2"/>
  <c r="H30" i="2"/>
  <c r="I30" i="2"/>
  <c r="K30" i="2"/>
  <c r="M30" i="2"/>
  <c r="O30" i="2"/>
  <c r="Q30" i="2"/>
  <c r="V30" i="2"/>
  <c r="W30" i="2"/>
  <c r="X30" i="2"/>
  <c r="E81" i="2"/>
  <c r="G81" i="2"/>
  <c r="H81" i="2"/>
  <c r="I81" i="2"/>
  <c r="K81" i="2"/>
  <c r="M81" i="2"/>
  <c r="O81" i="2"/>
  <c r="Q81" i="2"/>
  <c r="V81" i="2"/>
  <c r="W81" i="2"/>
  <c r="X81" i="2"/>
  <c r="E123" i="2"/>
  <c r="G123" i="2"/>
  <c r="H123" i="2"/>
  <c r="I123" i="2"/>
  <c r="K123" i="2"/>
  <c r="M123" i="2"/>
  <c r="O123" i="2"/>
  <c r="Q123" i="2"/>
  <c r="V123" i="2"/>
  <c r="W123" i="2"/>
  <c r="X123" i="2"/>
  <c r="E119" i="2"/>
  <c r="E122" i="2"/>
  <c r="E139" i="2"/>
  <c r="G119" i="2"/>
  <c r="G122" i="2"/>
  <c r="G139" i="2"/>
  <c r="H119" i="2"/>
  <c r="H122" i="2"/>
  <c r="H139" i="2"/>
  <c r="I119" i="2"/>
  <c r="I122" i="2"/>
  <c r="I139" i="2"/>
  <c r="K119" i="2"/>
  <c r="K122" i="2"/>
  <c r="K139" i="2"/>
  <c r="M119" i="2"/>
  <c r="M122" i="2"/>
  <c r="M139" i="2"/>
  <c r="O119" i="2"/>
  <c r="O122" i="2"/>
  <c r="O139" i="2"/>
  <c r="Q119" i="2"/>
  <c r="Q122" i="2"/>
  <c r="Q139" i="2"/>
  <c r="V119" i="2"/>
  <c r="V122" i="2"/>
  <c r="V139" i="2"/>
  <c r="W119" i="2"/>
  <c r="W122" i="2"/>
  <c r="W139" i="2"/>
  <c r="X119" i="2"/>
  <c r="X122" i="2"/>
  <c r="X139" i="2"/>
  <c r="E80" i="2"/>
  <c r="G80" i="2"/>
  <c r="H80" i="2"/>
  <c r="I80" i="2"/>
  <c r="K80" i="2"/>
  <c r="M80" i="2"/>
  <c r="O80" i="2"/>
  <c r="Q80" i="2"/>
  <c r="V80" i="2"/>
  <c r="W80" i="2"/>
  <c r="X80" i="2"/>
  <c r="E77" i="2"/>
  <c r="G77" i="2"/>
  <c r="H77" i="2"/>
  <c r="I77" i="2"/>
  <c r="K77" i="2"/>
  <c r="M77" i="2"/>
  <c r="O77" i="2"/>
  <c r="Q77" i="2"/>
  <c r="V77" i="2"/>
  <c r="W77" i="2"/>
  <c r="X77" i="2"/>
  <c r="E78" i="2"/>
  <c r="G78" i="2"/>
  <c r="H78" i="2"/>
  <c r="I78" i="2"/>
  <c r="K78" i="2"/>
  <c r="M78" i="2"/>
  <c r="O78" i="2"/>
  <c r="Q78" i="2"/>
  <c r="V78" i="2"/>
  <c r="W78" i="2"/>
  <c r="X78" i="2"/>
  <c r="Q42" i="2"/>
  <c r="Q140" i="2"/>
  <c r="Q138" i="2"/>
  <c r="Q135" i="2"/>
  <c r="Q131" i="2"/>
  <c r="Q128" i="2"/>
  <c r="Q125" i="2"/>
  <c r="Q120" i="2"/>
  <c r="Q121" i="2"/>
  <c r="Q38" i="2"/>
  <c r="Q29" i="2"/>
  <c r="Q25" i="2"/>
  <c r="Q118" i="2"/>
  <c r="Q115" i="2"/>
  <c r="Q116" i="2"/>
  <c r="Q117" i="2"/>
  <c r="Q43" i="2"/>
  <c r="Q44" i="2"/>
  <c r="Q45" i="2"/>
  <c r="Q46" i="2"/>
  <c r="Q47" i="2"/>
  <c r="Q48" i="2"/>
  <c r="Q49" i="2"/>
  <c r="Q13" i="2"/>
  <c r="Q4" i="2"/>
  <c r="Q113" i="2"/>
  <c r="Q111" i="2"/>
  <c r="Q110" i="2"/>
  <c r="Q109" i="2"/>
  <c r="Q107" i="2"/>
  <c r="Q21" i="2"/>
  <c r="Q19" i="2"/>
  <c r="Q18" i="2"/>
  <c r="Q23" i="2"/>
  <c r="Q104" i="2"/>
  <c r="Q103" i="2"/>
  <c r="Q102" i="2"/>
  <c r="Q100" i="2"/>
  <c r="Q101" i="2"/>
  <c r="Q99" i="2"/>
  <c r="Q7" i="2"/>
  <c r="Q97" i="2"/>
  <c r="Q96" i="2"/>
  <c r="Q92" i="2"/>
  <c r="Q93" i="2"/>
  <c r="Q91" i="2"/>
  <c r="Q89" i="2"/>
  <c r="Q86" i="2"/>
  <c r="Q84" i="2"/>
  <c r="Q85" i="2"/>
  <c r="Q83" i="2"/>
  <c r="Q82" i="2"/>
  <c r="Q11" i="2"/>
  <c r="Q3" i="2"/>
  <c r="Q79" i="2"/>
  <c r="Q14" i="2"/>
  <c r="Q16" i="2"/>
  <c r="Q15" i="2"/>
  <c r="Q17" i="2"/>
  <c r="Q20" i="2"/>
  <c r="Q24" i="2"/>
  <c r="Q27" i="2"/>
  <c r="Q32" i="2"/>
  <c r="Q36" i="2"/>
  <c r="E4" i="2"/>
  <c r="E11" i="2"/>
  <c r="E84" i="2"/>
  <c r="E85" i="2"/>
  <c r="E86" i="2"/>
  <c r="E92" i="2"/>
  <c r="E93" i="2"/>
  <c r="E96" i="2"/>
  <c r="E97" i="2"/>
  <c r="E7" i="2"/>
  <c r="E99" i="2"/>
  <c r="E100" i="2"/>
  <c r="E101" i="2"/>
  <c r="E102" i="2"/>
  <c r="E103" i="2"/>
  <c r="E104" i="2"/>
  <c r="E23" i="2"/>
  <c r="E19" i="2"/>
  <c r="E107" i="2"/>
  <c r="E109" i="2"/>
  <c r="E110" i="2"/>
  <c r="E111" i="2"/>
  <c r="E113" i="2"/>
  <c r="E115" i="2"/>
  <c r="E116" i="2"/>
  <c r="E117" i="2"/>
  <c r="E25" i="2"/>
  <c r="E118" i="2"/>
  <c r="E29" i="2"/>
  <c r="E120" i="2"/>
  <c r="E121" i="2"/>
  <c r="E38" i="2"/>
  <c r="E125" i="2"/>
  <c r="E128" i="2"/>
  <c r="E131" i="2"/>
  <c r="E135" i="2"/>
  <c r="E138" i="2"/>
  <c r="E42" i="2"/>
  <c r="E140" i="2"/>
  <c r="E14" i="2"/>
  <c r="E16" i="2"/>
  <c r="E15" i="2"/>
  <c r="E17" i="2"/>
  <c r="E20" i="2"/>
  <c r="E24" i="2"/>
  <c r="E27" i="2"/>
  <c r="E32" i="2"/>
  <c r="E36" i="2"/>
  <c r="G4" i="2"/>
  <c r="G11" i="2"/>
  <c r="G84" i="2"/>
  <c r="G85" i="2"/>
  <c r="G86" i="2"/>
  <c r="G92" i="2"/>
  <c r="G93" i="2"/>
  <c r="G96" i="2"/>
  <c r="G97" i="2"/>
  <c r="G7" i="2"/>
  <c r="G99" i="2"/>
  <c r="G100" i="2"/>
  <c r="G101" i="2"/>
  <c r="G102" i="2"/>
  <c r="G103" i="2"/>
  <c r="G104" i="2"/>
  <c r="G23" i="2"/>
  <c r="G19" i="2"/>
  <c r="G107" i="2"/>
  <c r="G109" i="2"/>
  <c r="G110" i="2"/>
  <c r="G111" i="2"/>
  <c r="G113" i="2"/>
  <c r="G115" i="2"/>
  <c r="G116" i="2"/>
  <c r="G117" i="2"/>
  <c r="G25" i="2"/>
  <c r="G118" i="2"/>
  <c r="G29" i="2"/>
  <c r="G120" i="2"/>
  <c r="G121" i="2"/>
  <c r="G38" i="2"/>
  <c r="G125" i="2"/>
  <c r="G128" i="2"/>
  <c r="G131" i="2"/>
  <c r="G135" i="2"/>
  <c r="G138" i="2"/>
  <c r="G42" i="2"/>
  <c r="G140" i="2"/>
  <c r="G14" i="2"/>
  <c r="G16" i="2"/>
  <c r="G15" i="2"/>
  <c r="G17" i="2"/>
  <c r="G20" i="2"/>
  <c r="G24" i="2"/>
  <c r="G27" i="2"/>
  <c r="G32" i="2"/>
  <c r="G36" i="2"/>
  <c r="H4" i="2"/>
  <c r="H11" i="2"/>
  <c r="H84" i="2"/>
  <c r="H85" i="2"/>
  <c r="H86" i="2"/>
  <c r="H92" i="2"/>
  <c r="H93" i="2"/>
  <c r="H96" i="2"/>
  <c r="H97" i="2"/>
  <c r="H7" i="2"/>
  <c r="H99" i="2"/>
  <c r="H100" i="2"/>
  <c r="H101" i="2"/>
  <c r="H102" i="2"/>
  <c r="H103" i="2"/>
  <c r="H104" i="2"/>
  <c r="H23" i="2"/>
  <c r="H19" i="2"/>
  <c r="H107" i="2"/>
  <c r="H109" i="2"/>
  <c r="H110" i="2"/>
  <c r="H111" i="2"/>
  <c r="H113" i="2"/>
  <c r="H115" i="2"/>
  <c r="H116" i="2"/>
  <c r="H117" i="2"/>
  <c r="H25" i="2"/>
  <c r="H118" i="2"/>
  <c r="H29" i="2"/>
  <c r="H120" i="2"/>
  <c r="H121" i="2"/>
  <c r="H38" i="2"/>
  <c r="H125" i="2"/>
  <c r="H128" i="2"/>
  <c r="H131" i="2"/>
  <c r="H135" i="2"/>
  <c r="H138" i="2"/>
  <c r="H42" i="2"/>
  <c r="H140" i="2"/>
  <c r="H14" i="2"/>
  <c r="H16" i="2"/>
  <c r="H15" i="2"/>
  <c r="H17" i="2"/>
  <c r="H20" i="2"/>
  <c r="H24" i="2"/>
  <c r="H27" i="2"/>
  <c r="H32" i="2"/>
  <c r="H36" i="2"/>
  <c r="I4" i="2"/>
  <c r="I11" i="2"/>
  <c r="I84" i="2"/>
  <c r="I85" i="2"/>
  <c r="I86" i="2"/>
  <c r="I92" i="2"/>
  <c r="I93" i="2"/>
  <c r="I96" i="2"/>
  <c r="I97" i="2"/>
  <c r="I7" i="2"/>
  <c r="I99" i="2"/>
  <c r="I100" i="2"/>
  <c r="I101" i="2"/>
  <c r="I102" i="2"/>
  <c r="I103" i="2"/>
  <c r="I104" i="2"/>
  <c r="I23" i="2"/>
  <c r="I19" i="2"/>
  <c r="I107" i="2"/>
  <c r="I109" i="2"/>
  <c r="I110" i="2"/>
  <c r="I111" i="2"/>
  <c r="I113" i="2"/>
  <c r="I115" i="2"/>
  <c r="I116" i="2"/>
  <c r="I117" i="2"/>
  <c r="I25" i="2"/>
  <c r="I118" i="2"/>
  <c r="I29" i="2"/>
  <c r="I120" i="2"/>
  <c r="I121" i="2"/>
  <c r="I38" i="2"/>
  <c r="I125" i="2"/>
  <c r="I128" i="2"/>
  <c r="I131" i="2"/>
  <c r="I135" i="2"/>
  <c r="I138" i="2"/>
  <c r="I42" i="2"/>
  <c r="I140" i="2"/>
  <c r="I14" i="2"/>
  <c r="I16" i="2"/>
  <c r="I15" i="2"/>
  <c r="I17" i="2"/>
  <c r="I20" i="2"/>
  <c r="I24" i="2"/>
  <c r="I27" i="2"/>
  <c r="I32" i="2"/>
  <c r="I36" i="2"/>
  <c r="K4" i="2"/>
  <c r="K11" i="2"/>
  <c r="K84" i="2"/>
  <c r="K85" i="2"/>
  <c r="K86" i="2"/>
  <c r="K92" i="2"/>
  <c r="K93" i="2"/>
  <c r="K96" i="2"/>
  <c r="K97" i="2"/>
  <c r="K7" i="2"/>
  <c r="K99" i="2"/>
  <c r="K100" i="2"/>
  <c r="K101" i="2"/>
  <c r="K102" i="2"/>
  <c r="K103" i="2"/>
  <c r="K104" i="2"/>
  <c r="K23" i="2"/>
  <c r="K19" i="2"/>
  <c r="K107" i="2"/>
  <c r="K109" i="2"/>
  <c r="K110" i="2"/>
  <c r="K111" i="2"/>
  <c r="K113" i="2"/>
  <c r="K115" i="2"/>
  <c r="K116" i="2"/>
  <c r="K117" i="2"/>
  <c r="K25" i="2"/>
  <c r="K118" i="2"/>
  <c r="K29" i="2"/>
  <c r="K120" i="2"/>
  <c r="K121" i="2"/>
  <c r="K38" i="2"/>
  <c r="K125" i="2"/>
  <c r="K128" i="2"/>
  <c r="K131" i="2"/>
  <c r="K135" i="2"/>
  <c r="K138" i="2"/>
  <c r="K42" i="2"/>
  <c r="K140" i="2"/>
  <c r="K14" i="2"/>
  <c r="K16" i="2"/>
  <c r="K15" i="2"/>
  <c r="K17" i="2"/>
  <c r="K20" i="2"/>
  <c r="K24" i="2"/>
  <c r="K27" i="2"/>
  <c r="K32" i="2"/>
  <c r="K36" i="2"/>
  <c r="M4" i="2"/>
  <c r="M11" i="2"/>
  <c r="M84" i="2"/>
  <c r="M85" i="2"/>
  <c r="M86" i="2"/>
  <c r="M92" i="2"/>
  <c r="M93" i="2"/>
  <c r="M96" i="2"/>
  <c r="M97" i="2"/>
  <c r="M7" i="2"/>
  <c r="M99" i="2"/>
  <c r="M100" i="2"/>
  <c r="M101" i="2"/>
  <c r="M102" i="2"/>
  <c r="M103" i="2"/>
  <c r="M104" i="2"/>
  <c r="M23" i="2"/>
  <c r="M19" i="2"/>
  <c r="M107" i="2"/>
  <c r="M109" i="2"/>
  <c r="M110" i="2"/>
  <c r="M111" i="2"/>
  <c r="M113" i="2"/>
  <c r="M115" i="2"/>
  <c r="M116" i="2"/>
  <c r="M117" i="2"/>
  <c r="M25" i="2"/>
  <c r="M118" i="2"/>
  <c r="M29" i="2"/>
  <c r="M120" i="2"/>
  <c r="M121" i="2"/>
  <c r="M38" i="2"/>
  <c r="M125" i="2"/>
  <c r="M128" i="2"/>
  <c r="M131" i="2"/>
  <c r="M135" i="2"/>
  <c r="M138" i="2"/>
  <c r="M42" i="2"/>
  <c r="M140" i="2"/>
  <c r="M14" i="2"/>
  <c r="M16" i="2"/>
  <c r="M15" i="2"/>
  <c r="M17" i="2"/>
  <c r="M20" i="2"/>
  <c r="M24" i="2"/>
  <c r="M27" i="2"/>
  <c r="M32" i="2"/>
  <c r="M36" i="2"/>
  <c r="O4" i="2"/>
  <c r="O11" i="2"/>
  <c r="O84" i="2"/>
  <c r="O85" i="2"/>
  <c r="O86" i="2"/>
  <c r="O92" i="2"/>
  <c r="O93" i="2"/>
  <c r="O96" i="2"/>
  <c r="O97" i="2"/>
  <c r="O7" i="2"/>
  <c r="O99" i="2"/>
  <c r="O100" i="2"/>
  <c r="O101" i="2"/>
  <c r="O102" i="2"/>
  <c r="O103" i="2"/>
  <c r="O104" i="2"/>
  <c r="O23" i="2"/>
  <c r="O19" i="2"/>
  <c r="O107" i="2"/>
  <c r="O109" i="2"/>
  <c r="O110" i="2"/>
  <c r="O111" i="2"/>
  <c r="O113" i="2"/>
  <c r="O115" i="2"/>
  <c r="O116" i="2"/>
  <c r="O117" i="2"/>
  <c r="O25" i="2"/>
  <c r="O118" i="2"/>
  <c r="O29" i="2"/>
  <c r="O120" i="2"/>
  <c r="O121" i="2"/>
  <c r="O38" i="2"/>
  <c r="O125" i="2"/>
  <c r="O128" i="2"/>
  <c r="O131" i="2"/>
  <c r="O135" i="2"/>
  <c r="O138" i="2"/>
  <c r="O42" i="2"/>
  <c r="O140" i="2"/>
  <c r="O14" i="2"/>
  <c r="O16" i="2"/>
  <c r="O15" i="2"/>
  <c r="O17" i="2"/>
  <c r="O20" i="2"/>
  <c r="O24" i="2"/>
  <c r="O27" i="2"/>
  <c r="O32" i="2"/>
  <c r="O36" i="2"/>
  <c r="V4" i="2"/>
  <c r="V11" i="2"/>
  <c r="V84" i="2"/>
  <c r="V85" i="2"/>
  <c r="V86" i="2"/>
  <c r="V92" i="2"/>
  <c r="V93" i="2"/>
  <c r="V96" i="2"/>
  <c r="V97" i="2"/>
  <c r="V7" i="2"/>
  <c r="V99" i="2"/>
  <c r="V100" i="2"/>
  <c r="V101" i="2"/>
  <c r="V102" i="2"/>
  <c r="V103" i="2"/>
  <c r="V104" i="2"/>
  <c r="V23" i="2"/>
  <c r="V19" i="2"/>
  <c r="V107" i="2"/>
  <c r="V109" i="2"/>
  <c r="V110" i="2"/>
  <c r="V111" i="2"/>
  <c r="V113" i="2"/>
  <c r="V115" i="2"/>
  <c r="V116" i="2"/>
  <c r="V117" i="2"/>
  <c r="V25" i="2"/>
  <c r="V118" i="2"/>
  <c r="V29" i="2"/>
  <c r="V120" i="2"/>
  <c r="V121" i="2"/>
  <c r="V38" i="2"/>
  <c r="V125" i="2"/>
  <c r="V128" i="2"/>
  <c r="V131" i="2"/>
  <c r="V135" i="2"/>
  <c r="V138" i="2"/>
  <c r="V42" i="2"/>
  <c r="V140" i="2"/>
  <c r="V14" i="2"/>
  <c r="V16" i="2"/>
  <c r="V15" i="2"/>
  <c r="V17" i="2"/>
  <c r="V20" i="2"/>
  <c r="V24" i="2"/>
  <c r="V27" i="2"/>
  <c r="V32" i="2"/>
  <c r="V36" i="2"/>
  <c r="W4" i="2"/>
  <c r="W11" i="2"/>
  <c r="W84" i="2"/>
  <c r="W85" i="2"/>
  <c r="W86" i="2"/>
  <c r="W92" i="2"/>
  <c r="W93" i="2"/>
  <c r="W96" i="2"/>
  <c r="W97" i="2"/>
  <c r="W7" i="2"/>
  <c r="W99" i="2"/>
  <c r="W100" i="2"/>
  <c r="W101" i="2"/>
  <c r="W102" i="2"/>
  <c r="W103" i="2"/>
  <c r="W104" i="2"/>
  <c r="W23" i="2"/>
  <c r="W19" i="2"/>
  <c r="W107" i="2"/>
  <c r="W109" i="2"/>
  <c r="W110" i="2"/>
  <c r="W111" i="2"/>
  <c r="W113" i="2"/>
  <c r="W115" i="2"/>
  <c r="W116" i="2"/>
  <c r="W117" i="2"/>
  <c r="W25" i="2"/>
  <c r="W118" i="2"/>
  <c r="W29" i="2"/>
  <c r="W120" i="2"/>
  <c r="W121" i="2"/>
  <c r="W38" i="2"/>
  <c r="W125" i="2"/>
  <c r="W128" i="2"/>
  <c r="W131" i="2"/>
  <c r="W135" i="2"/>
  <c r="W138" i="2"/>
  <c r="W42" i="2"/>
  <c r="W140" i="2"/>
  <c r="W14" i="2"/>
  <c r="W16" i="2"/>
  <c r="W15" i="2"/>
  <c r="W17" i="2"/>
  <c r="W20" i="2"/>
  <c r="W24" i="2"/>
  <c r="W27" i="2"/>
  <c r="W32" i="2"/>
  <c r="W36" i="2"/>
  <c r="X4" i="2"/>
  <c r="X11" i="2"/>
  <c r="X84" i="2"/>
  <c r="X85" i="2"/>
  <c r="X86" i="2"/>
  <c r="X92" i="2"/>
  <c r="X93" i="2"/>
  <c r="X96" i="2"/>
  <c r="X97" i="2"/>
  <c r="X7" i="2"/>
  <c r="X99" i="2"/>
  <c r="X100" i="2"/>
  <c r="X101" i="2"/>
  <c r="X102" i="2"/>
  <c r="X103" i="2"/>
  <c r="X104" i="2"/>
  <c r="X23" i="2"/>
  <c r="X19" i="2"/>
  <c r="X107" i="2"/>
  <c r="X109" i="2"/>
  <c r="X110" i="2"/>
  <c r="X111" i="2"/>
  <c r="X113" i="2"/>
  <c r="X115" i="2"/>
  <c r="X116" i="2"/>
  <c r="X117" i="2"/>
  <c r="X25" i="2"/>
  <c r="X118" i="2"/>
  <c r="X29" i="2"/>
  <c r="X120" i="2"/>
  <c r="X121" i="2"/>
  <c r="X38" i="2"/>
  <c r="X125" i="2"/>
  <c r="X128" i="2"/>
  <c r="X131" i="2"/>
  <c r="X135" i="2"/>
  <c r="X138" i="2"/>
  <c r="X42" i="2"/>
  <c r="X140" i="2"/>
  <c r="X14" i="2"/>
  <c r="X16" i="2"/>
  <c r="X15" i="2"/>
  <c r="X17" i="2"/>
  <c r="X20" i="2"/>
  <c r="X24" i="2"/>
  <c r="X27" i="2"/>
  <c r="X32" i="2"/>
  <c r="X36" i="2"/>
  <c r="E21" i="2"/>
  <c r="G21" i="2"/>
  <c r="H21" i="2"/>
  <c r="I21" i="2"/>
  <c r="K21" i="2"/>
  <c r="M21" i="2"/>
  <c r="O21" i="2"/>
  <c r="V21" i="2"/>
  <c r="W21" i="2"/>
  <c r="X21" i="2"/>
  <c r="E18" i="2"/>
  <c r="G18" i="2"/>
  <c r="H18" i="2"/>
  <c r="I18" i="2"/>
  <c r="K18" i="2"/>
  <c r="M18" i="2"/>
  <c r="O18" i="2"/>
  <c r="V18" i="2"/>
  <c r="W18" i="2"/>
  <c r="X18" i="2"/>
  <c r="E44" i="2"/>
  <c r="E45" i="2"/>
  <c r="E46" i="2"/>
  <c r="E47" i="2"/>
  <c r="E48" i="2"/>
  <c r="E49" i="2"/>
  <c r="E13" i="2"/>
  <c r="E79" i="2"/>
  <c r="E3" i="2"/>
  <c r="E82" i="2"/>
  <c r="E83" i="2"/>
  <c r="E89" i="2"/>
  <c r="E91" i="2"/>
  <c r="G44" i="2"/>
  <c r="G45" i="2"/>
  <c r="G46" i="2"/>
  <c r="G47" i="2"/>
  <c r="G48" i="2"/>
  <c r="G49" i="2"/>
  <c r="G13" i="2"/>
  <c r="G79" i="2"/>
  <c r="G3" i="2"/>
  <c r="G82" i="2"/>
  <c r="G83" i="2"/>
  <c r="G89" i="2"/>
  <c r="G91" i="2"/>
  <c r="H44" i="2"/>
  <c r="H45" i="2"/>
  <c r="H46" i="2"/>
  <c r="H47" i="2"/>
  <c r="H48" i="2"/>
  <c r="H49" i="2"/>
  <c r="H13" i="2"/>
  <c r="H79" i="2"/>
  <c r="H3" i="2"/>
  <c r="H82" i="2"/>
  <c r="H83" i="2"/>
  <c r="H89" i="2"/>
  <c r="H91" i="2"/>
  <c r="I44" i="2"/>
  <c r="I45" i="2"/>
  <c r="I46" i="2"/>
  <c r="I47" i="2"/>
  <c r="I48" i="2"/>
  <c r="I49" i="2"/>
  <c r="I13" i="2"/>
  <c r="I79" i="2"/>
  <c r="I3" i="2"/>
  <c r="I82" i="2"/>
  <c r="I83" i="2"/>
  <c r="I89" i="2"/>
  <c r="I91" i="2"/>
  <c r="K44" i="2"/>
  <c r="K45" i="2"/>
  <c r="K46" i="2"/>
  <c r="K47" i="2"/>
  <c r="K48" i="2"/>
  <c r="K49" i="2"/>
  <c r="K13" i="2"/>
  <c r="K79" i="2"/>
  <c r="K3" i="2"/>
  <c r="K82" i="2"/>
  <c r="K83" i="2"/>
  <c r="K89" i="2"/>
  <c r="K91" i="2"/>
  <c r="M44" i="2"/>
  <c r="M45" i="2"/>
  <c r="M46" i="2"/>
  <c r="M47" i="2"/>
  <c r="M48" i="2"/>
  <c r="M49" i="2"/>
  <c r="M13" i="2"/>
  <c r="M79" i="2"/>
  <c r="M3" i="2"/>
  <c r="M82" i="2"/>
  <c r="M83" i="2"/>
  <c r="M89" i="2"/>
  <c r="M91" i="2"/>
  <c r="O44" i="2"/>
  <c r="O45" i="2"/>
  <c r="O46" i="2"/>
  <c r="O47" i="2"/>
  <c r="O48" i="2"/>
  <c r="O49" i="2"/>
  <c r="O13" i="2"/>
  <c r="O79" i="2"/>
  <c r="O3" i="2"/>
  <c r="O82" i="2"/>
  <c r="O83" i="2"/>
  <c r="O89" i="2"/>
  <c r="O91" i="2"/>
  <c r="V44" i="2"/>
  <c r="V45" i="2"/>
  <c r="V46" i="2"/>
  <c r="V47" i="2"/>
  <c r="V48" i="2"/>
  <c r="V49" i="2"/>
  <c r="V13" i="2"/>
  <c r="V79" i="2"/>
  <c r="V3" i="2"/>
  <c r="V82" i="2"/>
  <c r="V83" i="2"/>
  <c r="V89" i="2"/>
  <c r="V91" i="2"/>
  <c r="W44" i="2"/>
  <c r="W45" i="2"/>
  <c r="W46" i="2"/>
  <c r="W47" i="2"/>
  <c r="W48" i="2"/>
  <c r="W49" i="2"/>
  <c r="W13" i="2"/>
  <c r="W79" i="2"/>
  <c r="W3" i="2"/>
  <c r="W82" i="2"/>
  <c r="W83" i="2"/>
  <c r="W89" i="2"/>
  <c r="W91" i="2"/>
  <c r="X44" i="2"/>
  <c r="X45" i="2"/>
  <c r="X46" i="2"/>
  <c r="X47" i="2"/>
  <c r="X48" i="2"/>
  <c r="X49" i="2"/>
  <c r="X13" i="2"/>
  <c r="X79" i="2"/>
  <c r="X3" i="2"/>
  <c r="X82" i="2"/>
  <c r="X83" i="2"/>
  <c r="X89" i="2"/>
  <c r="X91" i="2"/>
  <c r="B4" i="3" l="1"/>
  <c r="E4" i="3"/>
  <c r="B5" i="3"/>
  <c r="E5" i="3"/>
  <c r="B6" i="3"/>
  <c r="E6" i="3"/>
  <c r="B7" i="3"/>
  <c r="E7" i="3"/>
  <c r="B8" i="3"/>
  <c r="E8" i="3"/>
  <c r="B9" i="3"/>
  <c r="E9" i="3"/>
  <c r="B10" i="3"/>
  <c r="E10" i="3"/>
  <c r="B11" i="3"/>
  <c r="E11" i="3"/>
  <c r="B12" i="3"/>
  <c r="E12" i="3"/>
  <c r="B13" i="3"/>
  <c r="E13" i="3"/>
  <c r="B14" i="3"/>
  <c r="E14" i="3"/>
  <c r="B15" i="3"/>
  <c r="E15" i="3"/>
  <c r="B16" i="3"/>
  <c r="E16" i="3"/>
  <c r="B17" i="3"/>
  <c r="E17" i="3"/>
  <c r="B18" i="3"/>
  <c r="E18" i="3"/>
  <c r="B19" i="3"/>
  <c r="E19" i="3"/>
  <c r="B20" i="3"/>
  <c r="E20" i="3"/>
  <c r="B21" i="3"/>
  <c r="E21" i="3"/>
  <c r="B22" i="3"/>
  <c r="E22" i="3"/>
  <c r="B23" i="3"/>
  <c r="E23" i="3"/>
  <c r="B24" i="3"/>
  <c r="E24" i="3"/>
  <c r="B25" i="3"/>
  <c r="E25" i="3"/>
  <c r="B26" i="3"/>
  <c r="E26" i="3"/>
  <c r="B27" i="3"/>
  <c r="E27" i="3"/>
  <c r="B28" i="3"/>
  <c r="E28" i="3"/>
  <c r="B29" i="3"/>
  <c r="E29" i="3"/>
  <c r="B30" i="3"/>
  <c r="E30" i="3"/>
  <c r="B31" i="3"/>
  <c r="E31" i="3"/>
  <c r="B32" i="3"/>
  <c r="E32" i="3"/>
  <c r="B33" i="3"/>
  <c r="E33" i="3"/>
  <c r="B34" i="3"/>
  <c r="E34" i="3"/>
  <c r="B35" i="3"/>
  <c r="E35" i="3"/>
  <c r="B36" i="3"/>
  <c r="E36" i="3"/>
  <c r="B37" i="3"/>
  <c r="E37" i="3"/>
  <c r="B38" i="3"/>
  <c r="E38" i="3"/>
  <c r="B39" i="3"/>
  <c r="E39" i="3"/>
  <c r="B40" i="3"/>
  <c r="E40" i="3"/>
  <c r="B41" i="3"/>
  <c r="E41" i="3"/>
  <c r="B42" i="3"/>
  <c r="E42" i="3"/>
  <c r="B43" i="3"/>
  <c r="E43" i="3"/>
  <c r="B44" i="3"/>
  <c r="E44" i="3"/>
  <c r="B45" i="3"/>
  <c r="E45" i="3"/>
  <c r="B46" i="3"/>
  <c r="E46" i="3"/>
  <c r="B47" i="3"/>
  <c r="E47" i="3"/>
  <c r="B48" i="3"/>
  <c r="E48" i="3"/>
  <c r="B49" i="3"/>
  <c r="E49" i="3"/>
  <c r="B50" i="3"/>
  <c r="E50" i="3"/>
  <c r="B51" i="3"/>
  <c r="E51" i="3"/>
  <c r="B52" i="3"/>
  <c r="E52" i="3"/>
  <c r="B53" i="3"/>
  <c r="E53" i="3"/>
  <c r="B54" i="3"/>
  <c r="E54" i="3"/>
  <c r="B55" i="3"/>
  <c r="E55" i="3"/>
  <c r="B56" i="3"/>
  <c r="E56" i="3"/>
  <c r="B57" i="3"/>
  <c r="E57" i="3"/>
  <c r="B58" i="3"/>
  <c r="E58" i="3"/>
  <c r="B59" i="3"/>
  <c r="E59" i="3"/>
  <c r="B60" i="3"/>
  <c r="E60" i="3"/>
  <c r="B61" i="3"/>
  <c r="E61" i="3"/>
  <c r="B62" i="3"/>
  <c r="E62" i="3"/>
  <c r="B63" i="3"/>
  <c r="E63" i="3"/>
  <c r="B64" i="3"/>
  <c r="E64" i="3"/>
  <c r="B65" i="3"/>
  <c r="E65" i="3"/>
  <c r="B66" i="3"/>
  <c r="E66" i="3"/>
  <c r="B67" i="3"/>
  <c r="E67" i="3"/>
  <c r="B68" i="3"/>
  <c r="E68" i="3"/>
  <c r="B69" i="3"/>
  <c r="E69" i="3"/>
  <c r="B70" i="3"/>
  <c r="E70" i="3"/>
  <c r="B71" i="3"/>
  <c r="E71" i="3"/>
  <c r="B72" i="3"/>
  <c r="E72" i="3"/>
  <c r="B73" i="3"/>
  <c r="E73" i="3"/>
  <c r="B74" i="3"/>
  <c r="E74" i="3"/>
  <c r="B75" i="3"/>
  <c r="E75" i="3"/>
  <c r="B76" i="3"/>
  <c r="E76" i="3"/>
  <c r="B77" i="3"/>
  <c r="E77" i="3"/>
  <c r="B78" i="3"/>
  <c r="E78" i="3"/>
  <c r="B79" i="3"/>
  <c r="E79" i="3"/>
  <c r="B80" i="3"/>
  <c r="E80" i="3"/>
  <c r="B81" i="3"/>
  <c r="E81" i="3"/>
  <c r="B82" i="3"/>
  <c r="E82" i="3"/>
  <c r="B83" i="3"/>
  <c r="E83" i="3"/>
  <c r="B84" i="3"/>
  <c r="E84" i="3"/>
  <c r="B85" i="3"/>
  <c r="E85" i="3"/>
  <c r="B86" i="3"/>
  <c r="E86" i="3"/>
  <c r="B87" i="3"/>
  <c r="E87" i="3"/>
  <c r="B88" i="3"/>
  <c r="E88" i="3"/>
  <c r="B89" i="3"/>
  <c r="E89" i="3"/>
  <c r="B90" i="3"/>
  <c r="E90" i="3"/>
  <c r="B91" i="3"/>
  <c r="E91" i="3"/>
  <c r="B92" i="3"/>
  <c r="E92" i="3"/>
  <c r="B93" i="3"/>
  <c r="E93" i="3"/>
  <c r="B94" i="3"/>
  <c r="E94" i="3"/>
  <c r="B95" i="3"/>
  <c r="E95" i="3"/>
  <c r="B96" i="3"/>
  <c r="E96" i="3"/>
  <c r="B97" i="3"/>
  <c r="E97" i="3"/>
  <c r="B98" i="3"/>
  <c r="E98" i="3"/>
  <c r="B99" i="3"/>
  <c r="E99" i="3"/>
  <c r="B100" i="3"/>
  <c r="E100" i="3"/>
  <c r="B101" i="3"/>
  <c r="E101" i="3"/>
  <c r="B102" i="3"/>
  <c r="E102" i="3"/>
  <c r="B103" i="3"/>
  <c r="E103" i="3"/>
  <c r="B104" i="3"/>
  <c r="E104" i="3"/>
  <c r="B105" i="3"/>
  <c r="E105" i="3"/>
  <c r="B106" i="3"/>
  <c r="E106" i="3"/>
  <c r="B107" i="3"/>
  <c r="E107" i="3"/>
  <c r="B108" i="3"/>
  <c r="E108" i="3"/>
  <c r="B109" i="3"/>
  <c r="E109" i="3"/>
  <c r="B110" i="3"/>
  <c r="E110" i="3"/>
  <c r="B111" i="3"/>
  <c r="E111" i="3"/>
  <c r="B112" i="3"/>
  <c r="E112" i="3"/>
  <c r="B113" i="3"/>
  <c r="E113" i="3"/>
  <c r="B114" i="3"/>
  <c r="E114" i="3"/>
  <c r="B115" i="3"/>
  <c r="E115" i="3"/>
  <c r="B116" i="3"/>
  <c r="E116" i="3"/>
  <c r="B117" i="3"/>
  <c r="E117" i="3"/>
  <c r="B118" i="3"/>
  <c r="E118" i="3"/>
  <c r="B119" i="3"/>
  <c r="E119" i="3"/>
  <c r="B120" i="3"/>
  <c r="E120" i="3"/>
  <c r="B121" i="3"/>
  <c r="E121" i="3"/>
  <c r="B122" i="3"/>
  <c r="E122" i="3"/>
  <c r="B123" i="3"/>
  <c r="E123" i="3"/>
  <c r="B124" i="3"/>
  <c r="E124" i="3"/>
  <c r="B125" i="3"/>
  <c r="E125" i="3"/>
  <c r="B126" i="3"/>
  <c r="E126" i="3"/>
  <c r="B127" i="3"/>
  <c r="E127" i="3"/>
  <c r="B128" i="3"/>
  <c r="E128" i="3"/>
  <c r="B129" i="3"/>
  <c r="E129" i="3"/>
  <c r="B130" i="3"/>
  <c r="E130" i="3"/>
  <c r="B131" i="3"/>
  <c r="E131" i="3"/>
  <c r="B132" i="3"/>
  <c r="E132" i="3"/>
  <c r="B133" i="3"/>
  <c r="E133" i="3"/>
  <c r="B134" i="3"/>
  <c r="E134" i="3"/>
  <c r="B135" i="3"/>
  <c r="E135" i="3"/>
  <c r="B136" i="3"/>
  <c r="E136" i="3"/>
  <c r="B137" i="3"/>
  <c r="E137" i="3"/>
  <c r="B138" i="3"/>
  <c r="E138" i="3"/>
  <c r="B139" i="3"/>
  <c r="E139" i="3"/>
  <c r="B140" i="3"/>
  <c r="E140" i="3"/>
  <c r="B141" i="3"/>
  <c r="E141" i="3"/>
  <c r="B142" i="3"/>
  <c r="E142" i="3"/>
  <c r="B143" i="3"/>
  <c r="E143" i="3"/>
  <c r="B144" i="3"/>
  <c r="E144" i="3"/>
  <c r="B145" i="3"/>
  <c r="E145" i="3"/>
  <c r="B146" i="3"/>
  <c r="E146" i="3"/>
  <c r="B147" i="3"/>
  <c r="E147" i="3"/>
  <c r="B148" i="3"/>
  <c r="E148" i="3"/>
  <c r="B149" i="3"/>
  <c r="E149" i="3"/>
  <c r="B150" i="3"/>
  <c r="E150" i="3"/>
  <c r="B151" i="3"/>
  <c r="E151" i="3"/>
  <c r="B152" i="3"/>
  <c r="E152" i="3"/>
  <c r="B153" i="3"/>
  <c r="E153" i="3"/>
  <c r="B154" i="3"/>
  <c r="E154" i="3"/>
  <c r="B155" i="3"/>
  <c r="E155" i="3"/>
  <c r="B156" i="3"/>
  <c r="E156" i="3"/>
  <c r="B157" i="3"/>
  <c r="E157" i="3"/>
  <c r="B158" i="3"/>
  <c r="E158" i="3"/>
  <c r="B159" i="3"/>
  <c r="E159" i="3"/>
  <c r="B160" i="3"/>
  <c r="E160" i="3"/>
  <c r="B161" i="3"/>
  <c r="E161" i="3"/>
  <c r="B162" i="3"/>
  <c r="E162" i="3"/>
  <c r="B163" i="3"/>
  <c r="E163" i="3"/>
  <c r="B164" i="3"/>
  <c r="E164" i="3"/>
  <c r="E43" i="2"/>
  <c r="G43" i="2"/>
  <c r="H43" i="2"/>
  <c r="I43" i="2"/>
  <c r="K43" i="2"/>
  <c r="M43" i="2"/>
  <c r="O43" i="2"/>
  <c r="V43" i="2"/>
  <c r="W43" i="2"/>
  <c r="X43" i="2"/>
  <c r="A1" i="15" a="1"/>
  <c r="A1" i="15" l="1"/>
  <c r="B1" i="15" a="1"/>
  <c r="B1" i="15" l="1"/>
  <c r="C1" i="15" a="1"/>
  <c r="C1" i="15" l="1"/>
  <c r="B5" i="13" a="1"/>
  <c r="P3" i="13" l="1"/>
  <c r="B5" i="13"/>
  <c r="H5" i="13" a="1"/>
  <c r="H5" i="13" l="1"/>
  <c r="N5" i="13" a="1"/>
  <c r="N5" i="13" l="1"/>
  <c r="R5" i="13" a="1"/>
  <c r="R5" i="13" l="1"/>
  <c r="R12" i="13" a="1"/>
  <c r="R12" i="1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from datetime import date
# =========================
# CONSTANTS / HELPERS
# =========================
EXCEL_COLUMNS = [
    "Unit","Status","Move_out","Ready_Date","DV","Move_in","DTBR","N/V/M",
    "Insp","Insp_status","Paint","Paint_status","MR","MR_Status",
    "HK","HK_Status","CC","CC_status","Assign","W_D","QC","P","B","U","Notes"
]
TASK_SEQUENCE = ["Inspection", "Paint", "MR", "HK", "CC"]
TASK_COLS = {
    "Inspection": ("Insp", "Insp_status", 1),
    "Paint": ("Paint", "Paint_status", 2),
    "MR": ("MR", "MR_Status", 3),
    "HK": ("HK", "HK_Status", 6),
    "CC": ("CC", "CC_status", 7),
}
ALLOWED_PHASES = ["5", "7", "8"]
def business_days(start, end):
    if pd.isna(start) or pd.isna(end):
        return np.nan
    s = pd.to_datetime(start, errors="coerce")
    e = pd.to_datetime(end, errors="coerce")
    if pd.isna(s) or pd.isna(e):
        return np.nan
    return np.busday_count(s.date(), e.date())
# =========================
# STAGE 1 — FACT ENGINE (VECTORIZED)
# =========================
def run_facts(df, today=None):
    if today is None:
        today = date.today()
    df = df.copy()
    # Normalize dates upfront
    for col in ["Move_in", "Ready_Date", "Move_out"]:
        df[col] = pd.to_datetime(df[col], errors="coerce")
    # Notes
    df["Note_Text"] = df["Notes"].fillna("").astype(str).str.strip()
    df["Has_Note_Context"] = df["Note_Text"].ne("")
    df["Note_Category"] = (
        df["Note_Text"].str.upper()
        .str.extract("(HOLD|ISSUE|REOPEN|DECISION)", expand=False)
        .fillna("")
    )
    # Assignment
    df["Has_Assignment"] = df["Assign"].fillna("").astype(str).str.strip().str.lower().ne("total") &amp; \
                           df["Assign"].astype(str).str.strip().ne("")
    # Move-in / Ready flags
    df["Is_MoveIn_Present"] = df["Move_in"].notna()
    df["Is_Ready_Declared"] = df["Ready_Date"].notna()
    # N/V/M flags
    upper_nvm = df["N/V/M"].fillna("").astype(str).str.strip().str.upper()
    df["Is_Vacant"] = upper_nvm.eq("VACANT")
    df["Is_SMI"] = upper_nvm.str.contains("SMI|MOVE IN")
    df["Is_On_Notice"] = upper_nvm.str.contains("NOTICE")
    # Phase
    df["Is_Allowed_Phase"] = (
        df["P"].fillna("").astype(str).str.strip().isin(ALLOWED_PHASES)
    )
    # QC
    df["Is_QC_Done"] = df["QC"].fillna("").astype(str).str.strip().str.upper().eq("DONE")
    # Business days
    df["Aging_Business_Days"] = df["Move_out"].apply(lambda d: business_days(d, today))
    return df
# =========================
# STAGE 2 — TASK MECHANICS (FULLY VECTORIZED)
# =========================
def apply_task_mechanics(df):
    df = df.copy()
    # Pre-normalize all 5 status columns
    status_cols = [TASK_COLS[t][1] for t in TASK_SEQUENCE]
    for col in status_cols:
        df[col] = df[col].fillna("").astype(str).str.strip().replace("", "Not Started").str.title()
    # ---- Task State ----
    all_done = df[status_cols].eq("Done").all(axis=1)
    none_started = df[status_cols].eq("Not Started").all(axis=1)
    df["Task_State"] = np.select(
        [all_done, none_started],
        ["All Tasks Complete", "Not Started"],
        default="In Progress"
    )
    # ---- Completion Ratio ----
    df["Task_Completion_Ratio"] = (
        df[status_cols].eq("Done").sum(axis=1) / len(status_cols) * 100
    )
    # ---- Current / Next Task ----
    done_matrix = df[status_cols].eq("Done")
    first_not_done_col = (~done_matrix).idxmax(axis=1)         # the status col name
    cur_index = first_not_done_col.map(lambda name: status_cols.index(name) if name in status_cols else np.nan)
    df["Table_Current_Task"] = cur_index.map(
        lambda i: TASK_SEQUENCE[int(i)] if pd.notna(i) else ""
    )
    df["Table_Next_Task"] = cur_index.add(1).map(
        lambda i: TASK_SEQUENCE[int(i)] if pd.notna(i) and i &lt; len(TASK_SEQUENCE) else ""
    )
    # ---- Stalled Logic ----
    stall_matrix = pd.DataFrame({
        task: (
            df["Is_Vacant"] &amp;
            ~df[TASK_COLS[task][1]].eq("Done") &amp;
            (df["Aging_Business_Days"] &gt; (TASK_COLS[task][2] + 1))
        )
        for task in TASK_SEQUENCE
    })
    df["Is_Task_Stalled"] = stall_matrix.any(axis=1)
    return df
# =========================
# EXCEL HOOK
# =========================
raw_df = xl(%P2%)
raw_df.columns = EXCEL_COLUMNS
df = run_facts(raw_df)
df = apply_task_mechanics(df)
df</code>
    </pythonScript>
    <pythonScript>
      <code>import pandas as pd
import numpy as np
from datetime import date
# ============================================================
# ENGINE CONFIG
# ============================================================
BASE_COLUMN_COUNT = 25
EXPECTED_HEADERS = [
    "Unit", "Status", "Move_out", "Ready_Date", "DV", "Move_in", "DTBR", "N/V/M",
    "Insp", "Insp_status", "Paint", "Paint_status", "MR", "MR_Status",
    "HK", "HK_Status", "CC", "CC_status", "Assign", "W_D",
    "QC", "P", "B", "U", "Notes"
]
# Derived columns from Stage 1 (Core_Facts)
STAGE1_DERIVED = [
    "Note_Text",
    "Has_Note_Context",
    "Note_Category",
    "Has_Assignment",
    "Is_MoveIn_Present",
    "Is_Ready_Declared",
    "Is_Vacant",
    "Is_SMI",
    "Is_On_Notice",
    "Is_Allowed_Phase",
    "Is_QC_Done",
    "Aging_Business_Days",
    "Task_State",
    "Task_Completion_Ratio",
    "Table_Current_Task",
    "Table_Next_Task",
    "Is_Task_Stalled",
]
ALL_INPUT_COLUMNS = EXPECTED_HEADERS + STAGE1_DERIVED
# Task configuration
TASK_SEQUENCE = ["Inspection", "Paint", "MR", "HK", "CC"]
TASK_COLS = {
    "Inspection": ("Insp_status", 1),
    "Paint": ("Paint_status", 2),
    "MR": ("MR_Status", 3),
    "HK": ("HK_Status", 6),
    "CC": ("CC_status", 7),
}
# ============================================================
# HELPER FUNCTIONS
# ============================================================
def norm_status(v):
    if pd.isna(v) or str(v).strip() == "":
        return "Not Started"
    return str(v).strip().title()
def is_done(v):
    return str(v).strip().upper() == "DONE"
# ============================================================
# STAGE 2 ENGINE
# ============================================================
def run_intelligence_engine():
    """
    Reads Core_Facts output from Stage 1 and produces Intelligence Layer
    """
    df = xl(%P2%, header=None)
    today = date.today()
    # Handle empty table
    if df.empty or df.shape[0] == 0:
        empty_df = pd.DataFrame(columns=ALL_INPUT_COLUMNS + [
            "Status_Norm",
            "Is_Unit_Ready",
            "Is_Unit_Ready_For_Moving",
            "In_Turn_Execution",
            "Operational_State",
            "Prevention_Risk_Flag",
            "Attention_Badge",
        ])
        manifest = {
            "base_column_count": BASE_COLUMN_COUNT,
            "stage1_derived_count": len(STAGE1_DERIVED),
            "stage2_derived_count": 7,
            "all_headers": list(empty_df.columns),
        }
        return empty_df, manifest
    # Validate column count
    if df.shape[1] != len(ALL_INPUT_COLUMNS):
        raise ValueError(
            f"Column count mismatch: Core_Facts has {df.shape[1]} columns, "
            f"but Stage 2 expects {len(ALL_INPUT_COLUMNS)} columns"
        )
    # Assign headers
    df.columns = ALL_INPUT_COLUMNS
    # Clean column names
    df.columns = (
        df.columns
        .astype(str)
        .str.replace("\u00a0", "", regex=False)
        .str.strip()
    )
    # ============================================================
    # STAGE 2 DERIVED COLUMNS (7 total)
    # ============================================================
    # 1. Status normalization for consumer filtering
    df["Status_Norm"] = (
        df["Status"]
        .fillna("")
        .astype(str)
        .str.strip()
        .str.lower()
    )
    # 2. Readiness flags
    df["Is_Unit_Ready"] = (
        df["Status"].astype(str).str.upper().eq("VACANT READY") &amp;
        (df["Task_State"] == "All Tasks Complete")
    )
    # 3. Move-in readiness
    df["Is_Unit_Ready_For_Moving"] = (
        df["Is_Unit_Ready"] &amp;
        df["Is_MoveIn_Present"] &amp;
        df["Is_QC_Done"]
    )
    # 4. Turn execution flag
    df["In_Turn_Execution"] = df["Is_Vacant"] &amp; (~df["Is_Unit_Ready"])
    # 5. Operational State
    def operational_state(r):
        # NOTICE units (tenant gave notice, not yet vacant)
        if r["Is_On_Notice"]:
            if r["Is_SMI"]:  # NOTICE + SMI
                return "On Notice - Scheduled"
            else:  # Just NOTICE
                return "On Notice"
        # Out of scope (not vacant, not SMI, not notice)
        if not (r["Is_Vacant"] or r["Is_SMI"]):
            return "Out of Scope"
        # Vacant/SMI logic
        if r["Is_MoveIn_Present"] and not r["Is_Unit_Ready_For_Moving"] and r["In_Turn_Execution"]:
            return "Move-In Risk"
        if r["Is_Unit_Ready"] and r["Is_MoveIn_Present"] and not r["Is_QC_Done"]:
            return "QC Hold"
        if r["Is_Task_Stalled"]:
            return "Work Stalled"
        if r["Task_State"] == "In Progress":
            return "In Progress"
        if r["Is_Unit_Ready"]:
            return "Apartment Ready"
        return "Pending Start"
    df["Operational_State"] = df.apply(operational_state, axis=1)
    # 6. Prevention Risk Flag
    df["Prevention_Risk_Flag"] = (
        df["In_Turn_Execution"] &amp; (
            df["Note_Category"].isin(["HOLD", "ISSUE", "REOPEN"]) |
            (~df["Has_Assignment"]) |
            ((df["Task_State"] == "In Progress") &amp; (~df["Is_Task_Stalled"]))
        )
    )
    # 7. Attention Badge
    def attention_badge(r):
        # NOTICE units
        if r["Is_On_Notice"]:
            if r["Is_SMI"]:
                return "📋 On Notice - Scheduled"
            else:
                return "📋 On Notice"
        # SMI/MOVE IN with move-in date
        if r["Is_SMI"] and r["Is_MoveIn_Present"]:
            return "📅 Scheduled to Move In"
        # Standard operational state mapping
        base = {
            "Out of Scope": "Out of Scope",
            "Move-In Risk": "🔴 Move-In Risk",
            "QC Hold": "🚫 QC Hold",
            "Work Stalled": "⏸️ Work Stalled",
            "In Progress": "🔧 In Progress",
            "Pending Start": "⏳ Pending Start",
            "Apartment Ready": "🟢 Apartment Ready",
        }[r["Operational_State"]]
        if r["Operational_State"] in {"Pending Start", "In Progress"} and r["Prevention_Risk_Flag"]:
            return "🟡 Needs Attention"
        return base
    df["Attention_Badge"] = df.apply(attention_badge, axis=1)
    # ============================================================
    # SORTING
    # ============================================================
    df = df.sort_values(
        by="Aging_Business_Days",
        ascending=False,
        na_position="last"
    )
    # ============================================================
    # MANIFEST
    # ============================================================
    manifest = {
        "base_column_count": BASE_COLUMN_COUNT,
        "stage1_derived_count": len(STAGE1_DERIVED),
        "stage2_derived_columns": [
            "Status_Norm",
            "Is_Unit_Ready",
            "Is_Unit_Ready_For_Moving",
            "In_Turn_Execution",
            "Operational_State",
            "Prevention_Risk_Flag",
            "Attention_Badge",
        ],
        "all_headers": list(df.columns),
    }
    return df, manifest
# ============================================================
# EXECUTE
# ============================================================
df_out, manifest = run_intelligence_engine()
df</code>
    </pythonScript>
    <pythonScript>
      <code>import pandas as pd
import numpy as np
from datetime import date
# ============================================================
# SLA CONFIGURATION
# ============================================================
INSPECTION_SLA_DAYS = 1       # Inspection must happen within 1 business day
TURN_SLA_DAYS = 10            # Unit must be ready within 10 business days
MOVE_IN_BUFFER_DAYS = 2       # Must be ready 2 days before move-in
# ============================================================
# ENGINE CONFIG
# ============================================================
BASE_COLUMN_COUNT = 25
EXPECTED_HEADERS = [
    "Unit", "Status", "Move_out", "Ready_Date", "DV", "Move_in", "DTBR", "N/V/M",
    "Insp", "Insp_status", "Paint", "Paint_status", "MR", "MR_Status",
    "HK", "HK_Status", "CC", "CC_status", "Assign", "W_D",
    "QC", "P", "B", "U", "Notes"
]
STAGE1_DERIVED = [
    "Note_Text",
    "Has_Note_Context",
    "Note_Category",
    "Has_Assignment",
    "Is_MoveIn_Present",
    "Is_Ready_Declared",
    "Is_Vacant",
    "Is_SMI",
    "Is_On_Notice",
    "Is_Allowed_Phase",
    "Is_QC_Done",
    "Aging_Business_Days",
    "Task_State",
    "Task_Completion_Ratio",
    "Table_Current_Task",
    "Table_Next_Task",
    "Is_Task_Stalled",
]
STAGE2_DERIVED = [
    "Status_Norm",
    "Is_Unit_Ready",
    "Is_Unit_Ready_For_Moving",
    "In_Turn_Execution",
    "Operational_State",
    "Prevention_Risk_Flag",
    "Attention_Badge",
]
ALL_INPUT_COLUMNS = EXPECTED_HEADERS + STAGE1_DERIVED + STAGE2_DERIVED
# ============================================================
# STAGE 3 ENGINE
# ============================================================
def run_sla_engine():
    """
    Reads Intelligence_Layer output from Stage 2 and adds SLA compliance flags
    """
    df = xl(%P2%, header=None)
    today = date.today()
    # Handle empty table
    if df.empty or df.shape[0] == 0:
        empty_df = pd.DataFrame(columns=ALL_INPUT_COLUMNS + [
            "Days_To_MoveIn",
            "Inspection_SLA_Breach",
            "SLA_Breach",
            "SLA_MoveIn_Breach",
            "Plan_Breach",
        ])
        manifest = {
            "base_column_count": BASE_COLUMN_COUNT,
            "stage1_derived_count": len(STAGE1_DERIVED),
            "stage2_derived_count": len(STAGE2_DERIVED),
            "stage3_derived_count": 5,
            "all_headers": list(empty_df.columns),
        }
        return empty_df, manifest
    # Validate column count
    if df.shape[1] != len(ALL_INPUT_COLUMNS):
        raise ValueError(
            f"Column count mismatch: Intelligence_Layer has {df.shape[1]} columns, "
            f"but Stage 3 expects {len(ALL_INPUT_COLUMNS)} columns"
        )
    # Assign headers
    df.columns = ALL_INPUT_COLUMNS
    # Clean column names
    df.columns = (
        df.columns
        .astype(str)
        .str.replace("\u00a0", "", regex=False)
        .str.strip()
    )
    # ============================================================
    # STAGE 3 DERIVED COLUMNS (5 total)
    # ============================================================
    # 1. Days to Move-In (helper metric)
    def calc_days_to_move_in(move_in_date):
        if pd.isna(move_in_date):
            return np.nan
        try:
            move_in = pd.to_datetime(move_in_date)
            if pd.isna(move_in):
                return np.nan
            delta = (move_in.date() - today)
            return delta.days
        except:
            return np.nan
    df["Days_To_MoveIn"] = df["Move_in"].apply(calc_days_to_move_in)
    # 2. Inspection SLA Breach
    # "Inspection did not occur within 1 business day after move-out"
    df["Inspection_SLA_Breach"] = (
        df["Is_Vacant"] &amp;
        (df["Insp_status"].astype(str).str.upper() != "DONE") &amp;
        (df["Aging_Business_Days"] &gt; INSPECTION_SLA_DAYS)
    )
    # 3. Global Turn SLA Breach
    # "Unit is still vacant and not ready after 10 business days"
    df["SLA_Breach"] = (
        df["Is_Vacant"] &amp;
        (~df["Is_Unit_Ready"]) &amp;
        (df["Aging_Business_Days"] &gt; TURN_SLA_DAYS)
    )
    # 4. Move-In SLA Breach
    # "Move-in is scheduled and unit cannot meet it (&lt; 2 days away, not ready)"
    df["SLA_MoveIn_Breach"] = (
        df["Is_MoveIn_Present"] &amp;
        (~df["Is_Unit_Ready_For_Moving"]) &amp;
        (df["Days_To_MoveIn"] &lt;= MOVE_IN_BUFFER_DAYS) &amp;
        (df["Days_To_MoveIn"] &gt;= 0)  # Only if move-in is in the future or today
    )
    # 5. Plan Breach
    # "Declared Ready_Date has passed, but unit is not actually ready"
    def calc_plan_breach(row):
        if not row["Is_Ready_Declared"]:
            return False
        try:
            ready_date = pd.to_datetime(row["Ready_Date"])
            if pd.isna(ready_date):
                return False
            # Today is on or after the declared ready date
            if today &gt;= ready_date.date():
                # But unit is NOT actually ready
                return not row["Is_Unit_Ready"]
            else:
                return False
        except:
            return False
    df["Plan_Breach"] = df.apply(calc_plan_breach, axis=1)
    # ============================================================
    # SORTING (maintain Stage 2 sort)
    # ============================================================
    df = df.sort_values(
        by="Aging_Business_Days",
        ascending=False,
        na_position="last"
    )
    # ============================================================
    # MANIFEST
    # ============================================================
    manifest = {
        "base_column_count": BASE_COLUMN_COUNT,
        "stage1_derived_count": len(STAGE1_DERIVED),
        "stage2_derived_count": len(STAGE2_DERIVED),
        "stage3_derived_columns": [
            "Days_To_MoveIn",
            "Inspection_SLA_Breach",
            "SLA_Breach",
            "SLA_MoveIn_Breach",
            "Plan_Breach",
        ],
        "sla_configuration": {
            "inspection_sla_days": INSPECTION_SLA_DAYS,
            "turn_sla_days": TURN_SLA_DAYS,
            "move_in_buffer_days": MOVE_IN_BUFFER_DAYS,
        },
        "all_headers": list(df.columns),
    }
    return df, manifest
# ============================================================
# EXECUTE
# ============================================================
df_out, manifest = run_sla_engine()
df_out</code>
    </pythonScript>
    <pythonScript>
      <code>import pandas as pd
# ============================================================
# ENGINE OUTPUT
# ============================================================
df = df_out.copy()
# ============================================================
# REQUIRED COLUMNS
# ============================================================
REQUIRED_COLUMNS = [
    "Unit",
    "Status",
    "Status_Norm",
    "DV",
    "Move_in",
    "Attention_Badge",
    "Is_Allowed_Phase",
    "P",
]
missing = [c for c in REQUIRED_COLUMNS if c not in df.columns]
if missing:
    raise ValueError(f"Missing required columns in engine output: {missing}")
# ============================================================
# EXCEL-DRIVEN INPUTS
# ============================================================
phase_selection = str(xl(%P2%)).strip().lower()
status_selection = str(xl(%P3%)).strip().lower()
alert_selection = str(xl(%P4%)).strip().lower()   # ← NEW
# ============================================================
# PHASE FILTERING LOGIC
# ============================================================
if phase_selection in {"all", "", "none"}:
    phase_mask = df["Is_Allowed_Phase"] == True
else:
    phase_mask = (
        df["P"]
        .fillna("")
        .astype(str)
        .str.strip()
        .str.lower()
        .eq(phase_selection)
    )
# ============================================================
# STATUS FILTERING LOGIC (ENGINE-GROUPED)
# ============================================================
if status_selection in {"all", "", "none"}:
    allowed_statuses = {
        "vacant",
        "vacant ready",
        "vacant not ready",
        "smi",
        "on notice",
    }
elif status_selection == "vacant":
    allowed_statuses = {
        "vacant",
        "vacant ready",
        "vacant not ready",
    }
elif status_selection == "vacant ready":
    allowed_statuses = {"vacant ready"}
elif status_selection == "vacant not ready":
    allowed_statuses = {"vacant not ready"}
elif status_selection == "on notice":
    allowed_statuses = {"on notice"}
else:
    raise ValueError(f"Unknown status selection: {status_selection}")
status_mask = df["Status_Norm"].isin(allowed_statuses)
# ============================================================
# ALERT FILTERING LOGIC
# ============================================================
if alert_selection in {"all", "", "none"}:
    alert_mask = pd.Series(True, index=df.index)
else:
    alert_map = {
        "move-in risk": "🔴 Move-In Risk",
        "qc hold": "🚫 QC Hold",
        "work stalled": "⏸️ Work Stalled",
        "needs attention": "🟡 Needs Attention",
        "scheduled to move in": "📅 Scheduled to Move In",
        "on notice - scheduled": "📋 On Notice - Scheduled",
        "on notice": "📋 On Notice",
        "in progress": "🔧 In Progress",
        "pending start": "⏳ Pending Start",
        "apartment ready": "🟢 Apartment Ready",
        "out of scope": "Out of Scope",
    }
    target_badge = alert_map.get(alert_selection)
    if target_badge is None:
        raise ValueError(f"Unknown alert selection: {alert_selection}")
    alert_mask = df["Attention_Badge"].eq(target_badge)
# ============================================================
# APPLY FILTERS
# ============================================================
df = df.loc[phase_mask &amp; status_mask &amp; alert_mask].copy()
# ============================================================
# TYPE NORMALIZATION (SORT SAFETY ONLY)
# ============================================================
df["Move_in"] = pd.to_datetime(df["Move_in"], errors="coerce")
df["DV"] = pd.to_numeric(df["DV"], errors="coerce")
# ============================================================
# SORTING
# ============================================================
df = df.sort_values(
    by=["Move_in", "DV"],
    ascending=[True, False],
    na_position="last"
).reset_index(drop=True)
# ============================================================
# OUTPUT SHAPING
# ============================================================
df_view = df[
    [
        "Unit",
        "Status",
        "DV",
        "Move_in",
        "Attention_Badge",
    ]
].copy()
df_view = df_view.rename(
    columns={
        "DV": "Days Vacant",
        "Move_in": "M-I Date",
        "Attention_Badge": "⚠️ Alert",
    }
)
# ============================================================
# FINAL NORMALIZATION
# ============================================================
df_view["M-I Date"] = pd.to_datetime(
    df_view["M-I Date"], errors="coerce"
).dt.strftime("%%m/%%d/%%y")
df_view = df_view.fillna("").astype(str)
# ============================================================
# OUTPUT
# ============================================================
df_view.reset_index(drop=True)</code>
    </pythonScript>
    <pythonScript>
      <code>import pandas as pd
# ============================================================
# ENGINE OUTPUT
# ============================================================
df = df_out.copy()
# ============================================================
# REQUIRED COLUMNS
# ============================================================
REQUIRED_COLUMNS = [
    "Unit",
    "W_D",
    "Status",
    "Status_Norm",
    "Attention_Badge",
    "Table_Current_Task",
    "Is_Allowed_Phase",
    "P",
]
missing = [c for c in REQUIRED_COLUMNS if c not in df.columns]
if missing:
    raise ValueError(f"Missing required columns in engine output: {missing}")
# ============================================================
# EXCEL-DRIVEN INPUTS (INTENT ONLY)
# ============================================================
phase_selection = str(xl(%P2%)).strip().lower()
status_selection = str(xl(%P3%)).strip().lower()
alert_selection = str(xl(%P4%)).strip().lower()
# ============================================================
# PHASE FILTERING LOGIC
# ============================================================
if phase_selection in {"all", "", "none"}:
    phase_mask = df["Is_Allowed_Phase"] == True
else:
    phase_mask = (
        df["P"]
        .fillna("")
        .astype(str)
        .str.strip()
        .str.lower()
        .eq(phase_selection)
    )
# ============================================================
# STATUS FILTERING LOGIC (ENGINE-GROUPED)
# ============================================================
if status_selection in {"all", "", "none"}:
    allowed_statuses = {
        "vacant",
        "vacant ready",
        "vacant not ready",
        "smi",
        "on notice",
    }
elif status_selection == "vacant":
    allowed_statuses = {
        "vacant",
        "vacant ready",
        "vacant not ready",
    }
elif status_selection == "vacant ready":
    allowed_statuses = {"vacant ready"}
elif status_selection == "vacant not ready":
    allowed_statuses = {"vacant not ready"}
elif status_selection == "on notice":
    allowed_statuses = {"on notice"}
else:
    raise ValueError(f"Unknown status selection: {status_selection}")
status_mask = df["Status_Norm"].isin(allowed_statuses)
# ============================================================
# ALERT FILTERING LOGIC
# ============================================================
if alert_selection in {"all", "", "none"}:
    alert_mask = pd.Series(True, index=df.index)
else:
    alert_map = {
        "move-in risk": "🔴 Move-In Risk",
        "qc hold": "🚫 QC Hold",
        "work stalled": "⏸️ Work Stalled",
        "needs attention": "🟡 Needs Attention",
        "scheduled to move in": "📅 Scheduled to Move In",
        "on notice - scheduled": "📋 On Notice - Scheduled",
        "on notice": "📋 On Notice",
        "in progress": "🔧 In Progress",
        "pending start": "⏳ Pending Start",
        "apartment ready": "🟢 Apartment Ready",
        "out of scope": "Out of Scope",
    }
    target_badge = alert_map.get(alert_selection)
    if target_badge is None:
        raise ValueError(f"Unknown alert selection: {alert_selection}")
    alert_mask = df["Attention_Badge"].eq(target_badge)
# ============================================================
# APPLY FILTERS
# ============================================================
df = df.loc[phase_mask &amp; status_mask &amp; alert_mask].copy()
# ============================================================
# SORTING
# ============================================================
df = df.sort_values(
    by=["Unit"],
    ascending=True,
    na_position="last"
).reset_index(drop=True)
# ============================================================
# OUTPUT SHAPING
# ============================================================
df_view = df[
    [
        "Unit",
        "W_D",
        "Status",
        "Attention_Badge",
        "Table_Current_Task",
    ]
].copy()
df_view = df_view.rename(
    columns={
        "W_D": "W/D",
        "Attention_Badge": "Move Ins ⚠️ Alert",
        "Table_Current_Task": "Current Task",
    }
)
# ============================================================
# FINAL NORMALIZATION
# ============================================================
df_view = df_view.fillna("").astype(str)
df_view</code>
    </pythonScript>
    <pythonScript>
      <code>import pandas as pd
import re
# ============================================================
# ENGINE OUTPUT
# ============================================================
df = df_out.copy()
# ============================================================
# EXCEL-DRIVEN INPUT
# ============================================================
unit_input = str(xl(%P2%)).strip()
# ============================================================
# REQUIRED COLUMNS
# ============================================================
REQUIRED_COLUMNS = [
    "Unit",
    "P", "B", "U",
    "Status",
    "Move_out", "Ready_Date", "DV", "Move_in", "DTBR",
    "QC",
    "Attention_Badge",
    "Table_Current_Task",
    "Table_Next_Task",
    "Insp", "Insp_status",
    "Paint", "Paint_status",
    "MR", "MR_Status",
    "HK", "HK_Status",
    "CC", "CC_status",
    "Notes",
]
missing = [c for c in REQUIRED_COLUMNS if c not in df.columns]
if missing:
    raise ValueError(f"Missing required columns in engine output: {missing}")
# ============================================================
# UNIT SELECTION
# ============================================================
unit_rows = df[
    df["Unit"]
    .fillna("")
    .astype(str)
    .str.strip()
    .eq(unit_input)
]
# ============================================================
# EMPTY STATE
# ============================================================
if unit_rows.empty:
    df_view = pd.DataFrame(
        [
            ["═══════════════", "═══════════════", "═══════════════"],
            ["", "UNIT NOT FOUND", ""],
            ["═══════════════", "═══════════════", "═══════════════"],
            ["", "", ""],
            ["", f"No unit found matching: {unit_input}", ""],
        ]
    ).astype(str)
else:
    r = unit_rows.iloc[0]
    # ========================================================
    # FORMAT HELPERS (SAFE)
    # ========================================================
    def fmt(x):
        x = pd.to_datetime(x, errors="coerce")
        if pd.isna(x):
            return "—"
        return x.strftime("%%m/%%d/%%y")
    def status_icon(status):
        s = str(status).strip().lower()
        return {
            "done": "✓ Done",
            "in progress": "⚙ In Progress",
            "blocked": "✖ Blocked",
            "not started": "○ Not Started",
            "scheduled": "◷ Scheduled",
        }.get(s, status)
    def task_date(task):
        return fmt(r.get(task))
    def task_status(task):
        return status_icon(r.get(f"{task}_status"))
    # ========================================================
    # NOTE PARSING
    # ========================================================
    NOTE_PATTERN = re.compile(
        r"\[\s*([A-Z]+)\s*:\s*([^|\]]+)(?:\|\s*([^\]]+))?\s*\]",
        re.IGNORECASE
    )
    def parse_note_line(line):
        line = str(line).strip()
        if not line:
            return None
        m = NOTE_PATTERN.search(line)
        if not m:
            return None
        return (
            m.group(1).strip().upper(),
            m.group(2).strip(),
            m.group(3).strip() if m.group(3) else "",
        )
    # ========================================================
    # LAYOUT CONSTRUCTION
    # ========================================================
    layout = []
    # ------------------------
    # UNIT SUMMARY
    # ------------------------
    layout += [
        ["═══════════════", "═══════════════", "═══════════════"],
        ["", "UNIT SUMMARY", ""],
        ["═══════════════", "═══════════════", "═══════════════"],
        ["", "", ""],
        [f"Unit {r['Unit']}", "", ""],
        ["", "", ""],
        [f"Phase: {r['P']}", f"Building: {r['B']}", f"Unit: {r['U']}"],
        ["", "", ""],
        [f"Move-out: {fmt(r['Move_out'])}", "", f"Move-in: {fmt(r['Move_in'])}"],
        [f"DV: {r['DV']}", "", f"DTBR: {r['DTBR']}"],
        ["", "", ""],
        ["", f"Ready Date: {fmt(r['Ready_Date'])}", ""],
        ["", "", ""],
        [f"Status: {r['Status']}", "", f"QC: {r['QC']}"],
        ["", "", ""],
        ["", "⚠️ Alert", ""],
        ["", r["Attention_Badge"], ""],
        ["", "", ""],
        ["Current Task", "", "Next Task"],
    ]
    current = r["Table_Current_Task"]
    next_task = r["Table_Next_Task"]
    layout.append([
        f"{current} — {task_date(current)} | {task_status(current)}" if current else "—",
        "",
        f"{next_task} | {task_status(next_task)}" if next_task else "—",
    ])
    layout.append(["", "", ""])
    # ------------------------
    # TURN TASKS
    # ------------------------
    layout += [
        ["═══════════════", "═══════════════", "═══════════════"],
        ["", "TURN TASKS", ""],
        ["═══════════════", "═══════════════", "═══════════════"],
        ["", "", ""],
        ["Task", "Date", "Status"],
        ["────────────────", "────────────", "────────────────"],
    ]
    tasks = [
        ("Inspection", "Insp", "Insp_status"),
        ("Paint", "Paint", "Paint_status"),
        ("MR", "MR", "MR_Status"),
        ("HK", "HK", "HK_Status"),
        ("CC", "CC", "CC_status"),
    ]
    for label, date_col, status_col in tasks:
        layout.append([
            label,
            fmt(r[date_col]),
            status_icon(r[status_col]),
        ])
    layout.append(["", "", ""])
    # ------------------------
    # NOTES
    # ------------------------
    layout += [
        ["═══════════════", "═══════════════", "═══════════════"],
        ["", "NOTES", ""],
        ["═══════════════", "═══════════════", "═══════════════"],
        ["Category", "Type", "Notes"],
        ["────────────────", "────────────────", "────────────────"],
    ]
    raw_notes = str(r["Notes"]) if pd.notna(r["Notes"]) else ""
    lines = [ln.strip() for ln in raw_notes.split("\n") if ln.strip()]
    rendered = False
    for ln in lines:
        parsed = parse_note_line(ln)
        if parsed:
            layout.append(list(parsed))
            rendered = True
    if not rendered:
        layout.append(["", "", "(No notes)"])
    layout.append(["", "", ""])
    # ========================================================
    # OUTPUT
    # ========================================================
    df_view = pd.DataFrame(layout).fillna("").astype(str)
df_view</code>
    </pythonScript>
    <pythonScript>
      <code>import pandas as pd
# ============================================================
# ENGINE OUTPUT
# ============================================================
df = df_out.copy()
# ============================================================
# REQUIRED COLUMNS
# ============================================================
REQUIRED_COLUMNS = [
    "Aging_Business_Days",
    "DV",
    "Attention_Badge",
    "Status_Norm",
    "Is_Vacant",
    "Is_Allowed_Phase",
    "P",
]
missing = [c for c in REQUIRED_COLUMNS if c not in df.columns]
if missing:
    raise ValueError(f"Missing required columns in engine output: {missing}")
# ============================================================
# EXCEL-DRIVEN INPUTS
# ============================================================
phase_selection = str(xl(%P2%)).strip().lower()
status_selection = str(xl(%P3%)).strip().lower()  # retained for interface consistency
# ============================================================
# PHASE FILTERING LOGIC
# ============================================================
if phase_selection in {"all", "", "none"}:
    phase_mask = df["Is_Allowed_Phase"] == True
else:
    phase_mask = (
        df["P"]
        .fillna("")
        .astype(str)
        .str.strip()
        .str.lower()
        .eq(phase_selection)
    )
# ============================================================
# STATUS FILTERING LOGIC (VACANT POPULATION ONLY)
# ============================================================
status_mask = df["Is_Vacant"] == True
# ============================================================
# APPLY FILTERS
# ============================================================
df = df.loc[phase_mask &amp; status_mask].copy()
# ============================================================
# PRESENTATION SAFETY
# ============================================================
df["DV"] = pd.to_numeric(df["DV"], errors="coerce")
df["Aging_Business_Days"] = pd.to_numeric(
    df["Aging_Business_Days"], errors="coerce"
)
df["Has_Alert"] = (
    df["Attention_Badge"]
    .fillna("")
    .astype(str)
    .str.strip()
    .ne("")
)
# ============================================================
# AGING BUCKETING (PRESENTATION ONLY)
# ============================================================
def aging_bucket(days):
    if pd.isna(days):
        return None
    if days &lt;= 14:
        return "0–14"
    if days &lt;= 30:
        return "15–30"
    if days &lt;= 60:
        return "31–60"
    if days &lt;= 120:
        return "61–120"
    return "120+"
df["Aging_Bucket"] = df["Aging_Business_Days"].apply(aging_bucket)
# ============================================================
# DERIVE READY / NOT READY (FROM STATUS_NORM)
# ============================================================
df["Is_Ready"] = df["Status_Norm"].eq("vacant ready")
df["Is_Not_Ready"] = df["Status_Norm"].eq("vacant not ready")
# ============================================================
# AGGREGATION
# ============================================================
agg = (
    df.groupby("Aging_Bucket", as_index=False)
      .agg(
          Units=("Aging_Bucket", "size"),
          Ready_Units=("Is_Ready", "sum"),
          Not_Ready_Units=("Is_Not_Ready", "sum"),
          Alert_Units=("Has_Alert", "sum"),
          Avg_Days_Vacant=("DV", "mean"),
      )
)
total_units = agg["Units"].sum()
agg["%% of Vacant"] = (agg["Units"] / total_units * 100).round(1)
agg["%% With Alert"] = (agg["Alert_Units"] / agg["Units"] * 100).round(1)
agg["Avg Days Vacant"] = agg["Avg_Days_Vacant"].round(1)
# ============================================================
# FINAL SHAPING
# ============================================================
AGING_ORDER = ["0–14", "15–30", "31–60", "61–120", "120+"]
order_map = {b: i for i, b in enumerate(AGING_ORDER)}
agg["_sort"] = agg["Aging_Bucket"].map(order_map).fillna(999).astype(int)
df_view = (
    agg.sort_values("_sort")
       .drop(columns=["_sort", "Alert_Units", "Avg_Days_Vacant"])
       .rename(columns={"Aging_Bucket": "Age Range"})
       .reset_index(drop=True)
)
# ============================================================
# DISPLAY FORMATTING
# ============================================================
df_view["%% of Vacant"] = df_view["%% of Vacant"].astype(str) + "%%"
df_view["%% With Alert"] = df_view["%% With Alert"].astype(str) + "%%"
df_view = df_view[
    [
        "Age Range",
        "Units",
        "%% of Vacant",
        "%% With Alert",
        "Avg Days Vacant",
        "Ready_Units",
        "Not_Ready_Units",
    ]
]
# ============================================================
# ADD TOTALS ROW (PRESENTATION ONLY)
# ============================================================
totals_row = {
    "Age Range": "TOTAL",
    "Units": str(df_view["Units"].astype(int).sum()),
    "%% of Vacant": "100%%",
    "%% With Alert": "",
    "Avg Days Vacant": "",
    "Ready_Units": str(df_view["Ready_Units"].astype(int).sum()),
    "Not_Ready_Units": str(df_view["Not_Ready_Units"].astype(int).sum()),
}
df_view = pd.concat(
    [df_view, pd.DataFrame([totals_row])],
    ignore_index=True
)
df_view = df_view.fillna("").astype(str)
df_view</code>
    </pythonScript>
    <pythonScript>
      <code>import pandas as pd
# ============================================================
# ENGINE OUTPUT
# ============================================================
df = df_out.copy()
# ============================================================
# REQUIRED COLUMNS
# ============================================================
REQUIRED_COLUMNS = [
    "Unit",
    "Status",
    "Status_Norm",
    "DV",
    "Is_Allowed_Phase",
    "P",
]
missing = [c for c in REQUIRED_COLUMNS if c not in df.columns]
if missing:
    raise ValueError(f"Missing required columns in engine output: {missing}")
# ============================================================
# EXCEL-DRIVEN INPUTS
# ============================================================
phase_selection = str(xl(%P2%)).strip().lower()
status_selection = str(xl(%P3%)).strip().lower()
# ============================================================
# PHASE FILTERING LOGIC
# ============================================================
if phase_selection in {"all", "", "none"}:
    phase_mask = df["Is_Allowed_Phase"] == True
else:
    phase_mask = (
        df["P"]
        .fillna("")
        .astype(str)
        .str.strip()
        .str.lower()
        .eq(phase_selection)
    )
# ============================================================
# STATUS FILTERING LOGIC (ENGINE-GROUPED)
# ============================================================
if status_selection in {"all", "", "none"}:
    allowed_statuses = {
        "vacant",
        "vacant ready",
        "vacant not ready",
        "smi",
        "on notice",
    }
elif status_selection == "vacant":
    allowed_statuses = {
        "vacant",
        "vacant ready",
        "vacant not ready",
    }
elif status_selection == "vacant ready":
    allowed_statuses = {"vacant ready"}
elif status_selection == "vacant not ready":
    allowed_statuses = {"vacant not ready"}
elif status_selection == "on notice":
    allowed_statuses = {"on notice"}
else:
    raise ValueError(f"Unknown status selection: {status_selection}")
status_mask = df["Status_Norm"].isin(allowed_statuses)
# ============================================================
# APPLY FILTERS
# ============================================================
df = df.loc[phase_mask &amp; status_mask].copy()
# ============================================================
# PRESENTATION SAFETY
# ============================================================
df["DV"] = pd.to_numeric(df["DV"], errors="coerce")
# ============================================================
# AGING BUCKETING (BY DV ONLY)
# ============================================================
def aging_bucket(dv):
    if pd.isna(dv):
        return None
    if dv &lt;= 10:
        return "1–10"
    if dv &lt;= 20:
        return "11–20"
    if dv &lt;= 30:
        return "21–30"
    if dv &lt;= 60:
        return "31–60"
    if dv &lt;= 120:
        return "61–120"
    return "120+"
df["Aging_Bucket"] = df["DV"].apply(aging_bucket)
AGING_ORDER = ["1–10", "11–20", "21–30", "31–60", "61–120", "120+"]
# ============================================================
# BUILD AGING BUCKET COLUMNS
# ============================================================
columns = {}
max_len = 0
for bucket in AGING_ORDER:
    bucket_df = df[df["Aging_Bucket"] == bucket].copy()
    # Sort highest DV first (like your screenshot)
    bucket_df = bucket_df.sort_values("DV", ascending=False)
    units = bucket_df.apply(
        lambda r: f"{r['Unit']} ({r['Status']}) | DV-{int(r['DV']) if pd.notna(r['DV']) else '—'}",
        axis=1
    ).tolist()
    columns[bucket] = units
    max_len = max(max_len, len(units))
# Pad columns for Excel spill alignment
for k in columns:
    columns[k] += [""] * (max_len - len(columns[k]))
# ============================================================
# OUTPUT
# ============================================================
df_view = pd.DataFrame(columns).fillna("").astype(str)
df_view</code>
    </pythonScript>
  </pythonScripts>
</python>
</file>

<file path=xl/sharedStrings.xml><?xml version="1.0" encoding="utf-8"?>
<sst xmlns="http://schemas.openxmlformats.org/spreadsheetml/2006/main" count="1398" uniqueCount="227">
  <si>
    <t>Done</t>
  </si>
  <si>
    <t xml:space="preserve">Yes stack </t>
  </si>
  <si>
    <t>Total</t>
  </si>
  <si>
    <t>Scheduled</t>
  </si>
  <si>
    <t>In Progress</t>
  </si>
  <si>
    <t>Vacant not ready</t>
  </si>
  <si>
    <t>Notes</t>
  </si>
  <si>
    <t>U</t>
  </si>
  <si>
    <t>B</t>
  </si>
  <si>
    <t>P</t>
  </si>
  <si>
    <t>QC</t>
  </si>
  <si>
    <t>W_D</t>
  </si>
  <si>
    <t>Assign</t>
  </si>
  <si>
    <t>CC_status</t>
  </si>
  <si>
    <t>CC</t>
  </si>
  <si>
    <t>HK_Status</t>
  </si>
  <si>
    <t>HK</t>
  </si>
  <si>
    <t>MR_Status</t>
  </si>
  <si>
    <t>MR</t>
  </si>
  <si>
    <t>Paint_status</t>
  </si>
  <si>
    <t>Paint</t>
  </si>
  <si>
    <t xml:space="preserve">Insp_status </t>
  </si>
  <si>
    <t>Insp</t>
  </si>
  <si>
    <t>N/V/M</t>
  </si>
  <si>
    <t>DTBR</t>
  </si>
  <si>
    <t>Move_in</t>
  </si>
  <si>
    <t>DV</t>
  </si>
  <si>
    <t>Ready_Date</t>
  </si>
  <si>
    <t xml:space="preserve">Move_out </t>
  </si>
  <si>
    <t>Status</t>
  </si>
  <si>
    <t xml:space="preserve">Unit </t>
  </si>
  <si>
    <t>Blocked</t>
  </si>
  <si>
    <t>All</t>
  </si>
  <si>
    <t xml:space="preserve"> </t>
  </si>
  <si>
    <t xml:space="preserve">On Notice </t>
  </si>
  <si>
    <t>Miguel  A</t>
  </si>
  <si>
    <t>No</t>
  </si>
  <si>
    <t xml:space="preserve">next month </t>
  </si>
  <si>
    <t>Not Started</t>
  </si>
  <si>
    <t>Brad</t>
  </si>
  <si>
    <t xml:space="preserve">next week </t>
  </si>
  <si>
    <t>Vacant ready</t>
  </si>
  <si>
    <t xml:space="preserve">Michael </t>
  </si>
  <si>
    <t>Yes</t>
  </si>
  <si>
    <t>today ,this week</t>
  </si>
  <si>
    <t xml:space="preserve">QC </t>
  </si>
  <si>
    <t>PH</t>
  </si>
  <si>
    <t>Status apt</t>
  </si>
  <si>
    <t>W/D</t>
  </si>
  <si>
    <t>Move ins</t>
  </si>
  <si>
    <t>Data</t>
  </si>
  <si>
    <t>Trafomers</t>
  </si>
  <si>
    <t>Phases</t>
  </si>
  <si>
    <t>TS</t>
  </si>
  <si>
    <t>Vacant Units Overview</t>
  </si>
  <si>
    <t xml:space="preserve">Walking  Path </t>
  </si>
  <si>
    <t>Unit 5-12-0307</t>
  </si>
  <si>
    <t>Unit 5-18-0116</t>
  </si>
  <si>
    <t>Unit 5-18-0238</t>
  </si>
  <si>
    <t>Unit 8-01-3001</t>
  </si>
  <si>
    <t>Unit 5-18-0422</t>
  </si>
  <si>
    <t>Unit 8-01-2001</t>
  </si>
  <si>
    <t>Unit 5-15-0305</t>
  </si>
  <si>
    <t>Unit 5-18-0202</t>
  </si>
  <si>
    <t>Unit 7-10-0303</t>
  </si>
  <si>
    <t>Unit 8-01-3013</t>
  </si>
  <si>
    <t>Unit 5-18-0117</t>
  </si>
  <si>
    <t>Unit 5-11-0106</t>
  </si>
  <si>
    <t>Unit 5-17-0119</t>
  </si>
  <si>
    <t>Unit 7-11-0315</t>
  </si>
  <si>
    <t>Unit 5-02-0109</t>
  </si>
  <si>
    <t>Unit 7-04-0303</t>
  </si>
  <si>
    <t>Unit 5-01-0221</t>
  </si>
  <si>
    <t>Unit 7-02-0302</t>
  </si>
  <si>
    <t>Unit 7-07-0104</t>
  </si>
  <si>
    <t>Unit 7-11-0318</t>
  </si>
  <si>
    <t>Unit 8-01-3096</t>
  </si>
  <si>
    <t>Unit 5-18-0218</t>
  </si>
  <si>
    <t>Unit 7-10-0302</t>
  </si>
  <si>
    <t>Unit 5-17-0215</t>
  </si>
  <si>
    <t>Unit 5-17-0311</t>
  </si>
  <si>
    <t>Unit 8-01-3086</t>
  </si>
  <si>
    <t>Unit 5-17-0310</t>
  </si>
  <si>
    <t>Unit 7-02-0116</t>
  </si>
  <si>
    <t>Unit 7-TH1-0104</t>
  </si>
  <si>
    <t>Unit 8-01-2034</t>
  </si>
  <si>
    <t>Unit 8-01-1048</t>
  </si>
  <si>
    <t>Unit 5-18-0310</t>
  </si>
  <si>
    <t>Unit 8-01-3107</t>
  </si>
  <si>
    <t>Unit 7-10-0306</t>
  </si>
  <si>
    <t>Unit 5-18-0346</t>
  </si>
  <si>
    <t>Unit 7-10-0107</t>
  </si>
  <si>
    <t>Unit 5-03-0227</t>
  </si>
  <si>
    <t>Unit 5-10-0203</t>
  </si>
  <si>
    <t>Unit 8-01-2041</t>
  </si>
  <si>
    <t>Unit 5-17-0207</t>
  </si>
  <si>
    <t>Unit 7-07-0107</t>
  </si>
  <si>
    <t>Unit 7-10-0203</t>
  </si>
  <si>
    <t>Unit 7-04-0305</t>
  </si>
  <si>
    <t>Unit 7-04-0311</t>
  </si>
  <si>
    <t>yes</t>
  </si>
  <si>
    <t>[ISSUE:Wether | weather storm  freezes]</t>
  </si>
  <si>
    <t>Miguel G</t>
  </si>
  <si>
    <t>Unit Search ------&gt;&gt;&gt;&gt;&gt;</t>
  </si>
  <si>
    <t>Unit 8-01-2083</t>
  </si>
  <si>
    <t xml:space="preserve">Age Report </t>
  </si>
  <si>
    <t>Alert</t>
  </si>
  <si>
    <t>Move-in risk</t>
  </si>
  <si>
    <t>Qc hold</t>
  </si>
  <si>
    <t>Work stalled</t>
  </si>
  <si>
    <t>Needs attention</t>
  </si>
  <si>
    <t>Scheduled to move in</t>
  </si>
  <si>
    <t>On notice - scheduled</t>
  </si>
  <si>
    <t>On notice</t>
  </si>
  <si>
    <t>In progress</t>
  </si>
  <si>
    <t>Pending start</t>
  </si>
  <si>
    <t>Apartment ready</t>
  </si>
  <si>
    <t>Out of scope</t>
  </si>
  <si>
    <t>Vacant</t>
  </si>
  <si>
    <t>Unit 5-03-0427</t>
  </si>
  <si>
    <t>Unit 5-02-0305</t>
  </si>
  <si>
    <t>Unit 7-06-0106</t>
  </si>
  <si>
    <t>Unit 5-11-0303</t>
  </si>
  <si>
    <t>Unit 7-02-0201</t>
  </si>
  <si>
    <t>Unit 5-18-0125</t>
  </si>
  <si>
    <t>Unit 5-17-0204</t>
  </si>
  <si>
    <t>Unit 8-01-1001</t>
  </si>
  <si>
    <t>Unit 8-01-2011</t>
  </si>
  <si>
    <t>Unit 5-18-0439</t>
  </si>
  <si>
    <t>Unit 7-10-0101</t>
  </si>
  <si>
    <t>Unit 7-TH1-0102</t>
  </si>
  <si>
    <t>Unit 7-03-0304</t>
  </si>
  <si>
    <t>Unit 8-01-3030</t>
  </si>
  <si>
    <t>Unit 8-01-2007</t>
  </si>
  <si>
    <t>Unit 5-13-0305</t>
  </si>
  <si>
    <t>Unit 5-12-0303</t>
  </si>
  <si>
    <t>Unit 5-18-0221</t>
  </si>
  <si>
    <t>Unit 8-01-3083</t>
  </si>
  <si>
    <t>Unit 5-17-0316</t>
  </si>
  <si>
    <t>Unit 8-01-1089</t>
  </si>
  <si>
    <t>Unit 5-13-0207</t>
  </si>
  <si>
    <t>Unit 5-18-0234</t>
  </si>
  <si>
    <t>Unit 8-01-4051</t>
  </si>
  <si>
    <t>Unit 8-01-4124</t>
  </si>
  <si>
    <t>Unit 5-01-0206</t>
  </si>
  <si>
    <t>Unit 7-08-0306</t>
  </si>
  <si>
    <t>Unit 5-10-0302</t>
  </si>
  <si>
    <t>Unit 8-01-1122</t>
  </si>
  <si>
    <t>Unit 8-01-2010</t>
  </si>
  <si>
    <t>Unit 8-01-2053</t>
  </si>
  <si>
    <t>Unit 5-18-0413</t>
  </si>
  <si>
    <t>Unit 7-03-0308</t>
  </si>
  <si>
    <t>Unit 8-01-1119</t>
  </si>
  <si>
    <t>Unit 5-15-0205</t>
  </si>
  <si>
    <t>Unit 5-17-0209</t>
  </si>
  <si>
    <t>Unit 8-01-4110</t>
  </si>
  <si>
    <t>Unit 8-01-4017</t>
  </si>
  <si>
    <t>Unit 5-16-0203</t>
  </si>
  <si>
    <t>Unit 7-03-0118</t>
  </si>
  <si>
    <t>Unit 8-01-2094</t>
  </si>
  <si>
    <t>Unit 7-11-0202</t>
  </si>
  <si>
    <t>Unit 5-13-0203</t>
  </si>
  <si>
    <t>Unit 7-04-0201</t>
  </si>
  <si>
    <t>Unit 7-03-0218</t>
  </si>
  <si>
    <t>Unit 7-07-0208</t>
  </si>
  <si>
    <t>Unit 8-01-2074</t>
  </si>
  <si>
    <t>Unit 5-13-0306</t>
  </si>
  <si>
    <t>Unit 7-11-0411</t>
  </si>
  <si>
    <t>Unit 7-07-0109</t>
  </si>
  <si>
    <t>Unit 5-15-0204</t>
  </si>
  <si>
    <t>Unit 8-01-3082</t>
  </si>
  <si>
    <t>Unit 8-01-4008</t>
  </si>
  <si>
    <t>Unit 7-06-0209</t>
  </si>
  <si>
    <t>Unit 5-17-0104</t>
  </si>
  <si>
    <t>Unit 5-17-0118</t>
  </si>
  <si>
    <t>Unit 5-18-0106</t>
  </si>
  <si>
    <t>Unit 7-07-0209</t>
  </si>
  <si>
    <t>Unit 5-18-0240</t>
  </si>
  <si>
    <t>Unit 7-09-0103</t>
  </si>
  <si>
    <t>Unit 5-11-0102</t>
  </si>
  <si>
    <t>Unit 5-18-0421</t>
  </si>
  <si>
    <t>Unit 7-07-0203</t>
  </si>
  <si>
    <t>Unit 7-08-0208</t>
  </si>
  <si>
    <t>Unit 7-th2-0101</t>
  </si>
  <si>
    <t>Unit 7-TH2-0101</t>
  </si>
  <si>
    <t>Unit 5-14-0206</t>
  </si>
  <si>
    <t>Unit 7-04-0308</t>
  </si>
  <si>
    <t>Unit 5-10-0303</t>
  </si>
  <si>
    <t>Unit 8-01-4013</t>
  </si>
  <si>
    <t>Unit 8-01-4091</t>
  </si>
  <si>
    <t>Unit 7-02-0207</t>
  </si>
  <si>
    <t>Unit 5-17-0108</t>
  </si>
  <si>
    <t>Unit 5-18-0145</t>
  </si>
  <si>
    <t>Unit 8-01-2035</t>
  </si>
  <si>
    <t>Unit 8-01-4080</t>
  </si>
  <si>
    <t>Unit 8-01-2045</t>
  </si>
  <si>
    <t>Unit 7-10-0301</t>
  </si>
  <si>
    <t>Unit 5-16-0201</t>
  </si>
  <si>
    <t>Unit 7-11-0317</t>
  </si>
  <si>
    <t>Unit 8-01-4087</t>
  </si>
  <si>
    <t>Unit 5-13-0307</t>
  </si>
  <si>
    <t>blind 23 inch missing  47 inch blind</t>
  </si>
  <si>
    <t>Unit 5-03-0327</t>
  </si>
  <si>
    <t>Unit 8-01-3053</t>
  </si>
  <si>
    <t>Unit 7-11-0213</t>
  </si>
  <si>
    <t>Unit 8-01-3011</t>
  </si>
  <si>
    <t>Unit 5-17-0101</t>
  </si>
  <si>
    <t>Unit 5-02-0107</t>
  </si>
  <si>
    <t>Unit 8-01-3093</t>
  </si>
  <si>
    <t>Unit 7-08-0203</t>
  </si>
  <si>
    <t>Unit 7-09-0109</t>
  </si>
  <si>
    <t>Unit 7-09-0111</t>
  </si>
  <si>
    <t>Unit 7-11-0407</t>
  </si>
  <si>
    <t>Unit 5-03-0230</t>
  </si>
  <si>
    <t>Unit 5-16-0207</t>
  </si>
  <si>
    <t>Unit 8-01-1120</t>
  </si>
  <si>
    <t>Unit 8-01-4037</t>
  </si>
  <si>
    <t>Unit 7-03-0213</t>
  </si>
  <si>
    <t>Unit 8-01-3035</t>
  </si>
  <si>
    <t>Unit 8-01-3114</t>
  </si>
  <si>
    <t>Unit 5-02-0214</t>
  </si>
  <si>
    <t>Unit 7-03-0310</t>
  </si>
  <si>
    <t>Unit 7-11-0212</t>
  </si>
  <si>
    <t>Unit 5-18-0114</t>
  </si>
  <si>
    <t>Unit 8-01-1044</t>
  </si>
  <si>
    <t>Unit 5-12-0102</t>
  </si>
  <si>
    <t>Unit 7-02-0305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</si>
</sst>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/d/yy"/>
  </numFmts>
  <fonts count="3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8"/>
      <color theme="1"/>
      <name val="Aptos Narrow"/>
      <scheme val="minor"/>
    </font>
    <font>
      <sz val="22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E4D7F5"/>
        <bgColor indexed="64"/>
      </patternFill>
    </fill>
    <fill>
      <patternFill patternType="solid">
        <fgColor rgb="FFE7F3F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1"/>
        <bgColor theme="1"/>
      </patternFill>
    </fill>
  </fills>
  <borders count="3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left"/>
    </xf>
    <xf numFmtId="14" fontId="16" fillId="2" borderId="0" xfId="0" applyNumberFormat="1" applyFont="1" applyFill="1" applyAlignment="1">
      <alignment horizontal="left"/>
    </xf>
    <xf numFmtId="164" fontId="16" fillId="2" borderId="0" xfId="0" applyNumberFormat="1" applyFont="1" applyFill="1" applyAlignment="1">
      <alignment horizontal="left"/>
    </xf>
    <xf numFmtId="0" fontId="15" fillId="0" borderId="0" xfId="0" applyFont="1"/>
    <xf numFmtId="14" fontId="0" fillId="0" borderId="0" xfId="0" applyNumberFormat="1"/>
    <xf numFmtId="0" fontId="0" fillId="0" borderId="2" xfId="0" applyBorder="1"/>
    <xf numFmtId="0" fontId="0" fillId="0" borderId="1" xfId="0" applyBorder="1"/>
    <xf numFmtId="0" fontId="17" fillId="3" borderId="1" xfId="0" applyFont="1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18" fillId="5" borderId="1" xfId="0" applyFont="1" applyFill="1" applyBorder="1"/>
    <xf numFmtId="0" fontId="18" fillId="6" borderId="1" xfId="0" applyFont="1" applyFill="1" applyBorder="1"/>
    <xf numFmtId="0" fontId="18" fillId="7" borderId="1" xfId="0" applyFont="1" applyFill="1" applyBorder="1"/>
    <xf numFmtId="0" fontId="18" fillId="8" borderId="1" xfId="0" applyFont="1" applyFill="1" applyBorder="1"/>
    <xf numFmtId="0" fontId="18" fillId="9" borderId="1" xfId="0" applyFont="1" applyFill="1" applyBorder="1"/>
    <xf numFmtId="0" fontId="18" fillId="10" borderId="1" xfId="0" applyFont="1" applyFill="1" applyBorder="1"/>
    <xf numFmtId="0" fontId="14" fillId="2" borderId="1" xfId="0" applyFont="1" applyFill="1" applyBorder="1" applyAlignment="1">
      <alignment horizontal="center"/>
    </xf>
    <xf numFmtId="0" fontId="14" fillId="2" borderId="1" xfId="0" applyFont="1" applyFill="1" applyBorder="1"/>
    <xf numFmtId="164" fontId="13" fillId="11" borderId="2" xfId="0" applyNumberFormat="1" applyFont="1" applyFill="1" applyBorder="1" applyAlignment="1">
      <alignment horizontal="left"/>
    </xf>
    <xf numFmtId="0" fontId="14" fillId="2" borderId="3" xfId="0" applyFont="1" applyFill="1" applyBorder="1"/>
    <xf numFmtId="0" fontId="18" fillId="0" borderId="0" xfId="0" applyFont="1"/>
    <xf numFmtId="0" fontId="14" fillId="2" borderId="4" xfId="0" applyFont="1" applyFill="1" applyBorder="1"/>
    <xf numFmtId="0" fontId="14" fillId="2" borderId="5" xfId="0" applyFont="1" applyFill="1" applyBorder="1"/>
    <xf numFmtId="0" fontId="13" fillId="11" borderId="6" xfId="0" applyFont="1" applyFill="1" applyBorder="1"/>
    <xf numFmtId="14" fontId="13" fillId="11" borderId="7" xfId="0" applyNumberFormat="1" applyFont="1" applyFill="1" applyBorder="1"/>
    <xf numFmtId="0" fontId="14" fillId="2" borderId="0" xfId="0" applyFont="1" applyFill="1"/>
    <xf numFmtId="0" fontId="20" fillId="0" borderId="0" xfId="0" applyFont="1"/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6" fillId="2" borderId="0" xfId="0" applyFont="1" applyFill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3" xfId="0" applyBorder="1" applyAlignment="1">
      <alignment horizontal="center" wrapText="1"/>
    </xf>
    <xf numFmtId="0" fontId="14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8" fillId="0" borderId="8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14" fillId="2" borderId="14" xfId="0" applyFont="1" applyFill="1" applyBorder="1"/>
    <xf numFmtId="0" fontId="0" fillId="0" borderId="15" xfId="0" applyBorder="1"/>
    <xf numFmtId="0" fontId="0" fillId="0" borderId="15" xfId="0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</cellXfs>
  <cellStyles count="1">
    <cellStyle name="Normal" xfId="0" builtinId="0"/>
  </cellStyles>
  <dxfs count="32">
    <dxf>
      <numFmt numFmtId="165" formatCode="m/d/yy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/d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m/d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3/09/relationships/Python" Target="pyth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iguelgonzalez/Library/CloudStorage/GoogleDrive-mg.systems.dev@gmail.com/My%20Drive/offf.xlsx" TargetMode="External"/><Relationship Id="rId1" Type="http://schemas.openxmlformats.org/officeDocument/2006/relationships/externalLinkPath" Target="/Users/miguelgonzalez/Library/CloudStorage/GoogleDrive-mg.systems.dev@gmail.com/My%20Drive/of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_Validation"/>
    </sheetNames>
    <sheetDataSet>
      <sheetData sheetId="0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8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FBB40-ABD6-9945-B4A8-C5808FFE7FD2}" name="DMRB5" displayName="DMRB5" ref="A1:Y157" totalsRowShown="0" headerRowDxfId="31" dataDxfId="30">
  <autoFilter ref="A1:Y157" xr:uid="{B9EE9908-A466-7447-B633-1733A34E6CB6}"/>
  <sortState xmlns:xlrd2="http://schemas.microsoft.com/office/spreadsheetml/2017/richdata2" ref="A2:Y157">
    <sortCondition ref="F1:F157"/>
  </sortState>
  <tableColumns count="25">
    <tableColumn id="4" xr3:uid="{EF4BDE00-AB55-294F-B5A7-589C99D8AE67}" name="Unit " dataDxfId="29"/>
    <tableColumn id="5" xr3:uid="{A74AEA66-2475-8345-9BA6-54AFA1FABF27}" name="Status" dataDxfId="28"/>
    <tableColumn id="6" xr3:uid="{B1DBFD42-A283-9E4B-9824-CBF43D3DC56E}" name="Move_out " dataDxfId="27"/>
    <tableColumn id="7" xr3:uid="{81499C99-D05A-B743-9551-4299F55CB1A4}" name="Ready_Date" dataDxfId="26"/>
    <tableColumn id="8" xr3:uid="{3C951CEA-8577-B64E-8D2D-8B74251F6F59}" name="DV" dataDxfId="25">
      <calculatedColumnFormula>IF(DMRB5[[#This Row],[Move_out ]]="","",TODAY()-DMRB5[[#This Row],[Move_out ]])</calculatedColumnFormula>
    </tableColumn>
    <tableColumn id="9" xr3:uid="{CFBE10C0-FD06-B94C-9823-CE406FF4DC8D}" name="Move_in" dataDxfId="24"/>
    <tableColumn id="10" xr3:uid="{C24B24A8-F573-934F-BDCF-6472A0D3AE36}" name="DTBR" dataDxfId="23">
      <calculatedColumnFormula>IF(DMRB5[[#This Row],[Move_in]]="","",TODAY()-DMRB5[[#This Row],[Move_in]])</calculatedColumnFormula>
    </tableColumn>
    <tableColumn id="11" xr3:uid="{7E57EDDC-565E-6D4C-9631-0398AC23D1A5}" name="N/V/M" dataDxfId="22">
      <calculatedColumnFormula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calculatedColumnFormula>
    </tableColumn>
    <tableColumn id="12" xr3:uid="{A51CB3F9-E4CF-7547-9457-D914A142D0CE}" name="Insp" dataDxfId="21">
      <calculatedColumnFormula>IF(DMRB5[[#This Row],[Move_out ]]="","",
IF(OR(DMRB5[[#This Row],[Insp_status ]]="In Progress",DMRB5[[#This Row],[Insp_status ]]="Done",
DMRB5[[#This Row],[Insp_status ]]="Scheduled"),
WORKDAY(DMRB5[[#This Row],[Move_out ]],1),
""))</calculatedColumnFormula>
    </tableColumn>
    <tableColumn id="13" xr3:uid="{1EB28CF8-952B-0947-BAD3-5A022864BB9D}" name="Insp_status " dataDxfId="20"/>
    <tableColumn id="14" xr3:uid="{018E62CC-16D0-8441-9C77-7CB10079BE80}" name="Paint" dataDxfId="19">
      <calculatedColumnFormula>IF(DMRB5[[#This Row],[Move_out ]]="","",
IF(OR(DMRB5[[#This Row],[Paint_status]]="In Progress",DMRB5[[#This Row],[Paint_status]]="Done",
DMRB5[[#This Row],[Paint_status]]="Scheduled"),
WORKDAY(DMRB5[[#This Row],[Move_out ]],2),
""))</calculatedColumnFormula>
    </tableColumn>
    <tableColumn id="15" xr3:uid="{205C3CE5-8C25-474C-A5B8-730C87FF6417}" name="Paint_status" dataDxfId="18"/>
    <tableColumn id="16" xr3:uid="{FB5674BA-7ACA-2544-B6FC-1FA29E2ED2EB}" name="MR" dataDxfId="17">
      <calculatedColumnFormula>IF(DMRB5[[#This Row],[Move_out ]]="","",
IF(OR(DMRB5[[#This Row],[MR_Status]]="In Progress",DMRB5[[#This Row],[MR_Status]]="Done",
DMRB5[[#This Row],[MR_Status]]="Scheduled"),
WORKDAY(DMRB5[[#This Row],[Move_out ]],3),
""))</calculatedColumnFormula>
    </tableColumn>
    <tableColumn id="17" xr3:uid="{12F4033C-C95B-E845-A8F7-50CC2BC2E2CA}" name="MR_Status" dataDxfId="16"/>
    <tableColumn id="18" xr3:uid="{CBCE6FC3-5773-594D-AA0C-BBFA115D1B57}" name="HK" dataDxfId="15">
      <calculatedColumnFormula>IF(DMRB5[[#This Row],[Move_out ]]="","",
IF(OR(DMRB5[[#This Row],[HK_Status]]="In Progress",DMRB5[[#This Row],[HK_Status]]="Done",
DMRB5[[#This Row],[HK_Status]]="Scheduled"),
WORKDAY(DMRB5[[#This Row],[Move_out ]],6),
""))</calculatedColumnFormula>
    </tableColumn>
    <tableColumn id="19" xr3:uid="{6392EBE2-5036-1D48-8F06-D1CCC992C0CF}" name="HK_Status" dataDxfId="14"/>
    <tableColumn id="20" xr3:uid="{E9DD5472-6ED9-9849-8161-CC206F677593}" name="CC" dataDxfId="13">
      <calculatedColumnFormula>IF(DMRB5[[#This Row],[Move_out ]]="","",
IF(OR(DMRB5[[#This Row],[CC_status]]="In Progress",DMRB5[[#This Row],[CC_status]]="Done",
DMRB5[[#This Row],[CC_status]]="Scheduled"),
WORKDAY(DMRB5[[#This Row],[Move_out ]],7),
""))</calculatedColumnFormula>
    </tableColumn>
    <tableColumn id="21" xr3:uid="{1E47E0A2-251E-3545-A5B7-910C6F26F8A9}" name="CC_status" dataDxfId="12"/>
    <tableColumn id="22" xr3:uid="{C6E7A2F0-B0C2-BA44-87E6-83AF8D35FAFB}" name="Assign" dataDxfId="11"/>
    <tableColumn id="23" xr3:uid="{77FE896B-F7CF-6342-8C42-6148B2440B01}" name="W_D" dataDxfId="10"/>
    <tableColumn id="24" xr3:uid="{6B37FD53-4594-1C4A-95DD-B7834D2CB0AB}" name="QC" dataDxfId="9"/>
    <tableColumn id="1" xr3:uid="{0BC544ED-94A2-BC4D-877D-960F54FA848A}" name="P" dataDxfId="8">
      <calculatedColumnFormula>IF(TRIM(CLEAN(A2))="","",_xlfn.TEXTBEFORE(_xlfn.TEXTAFTER(A2,"Unit "),"-"))</calculatedColumnFormula>
    </tableColumn>
    <tableColumn id="2" xr3:uid="{2820B6D1-96EA-F649-8979-7BC2F7284D8B}" name="B" dataDxfId="7">
      <calculatedColumnFormula>IF(TRIM(CLEAN(A2))="","",_xlfn.TEXTBEFORE(_xlfn.TEXTAFTER(A2,"-"),"-"))</calculatedColumnFormula>
    </tableColumn>
    <tableColumn id="3" xr3:uid="{74170780-8D9F-BD47-8F24-63D6B159FC3B}" name="U" dataDxfId="6">
      <calculatedColumnFormula>IF(TRIM(CLEAN(A2))="","",_xlfn.TEXTAFTER(A2,"-",-1))</calculatedColumnFormula>
    </tableColumn>
    <tableColumn id="25" xr3:uid="{350E8AC3-54CB-EF4D-BEED-D9D9FF2EE743}" name="Notes" dataDxfId="5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41E5A8-F6F8-0340-89D8-BF26C266167D}" name="Unit_tranformers6" displayName="Unit_tranformers6" ref="B3:C164" totalsRowShown="0" headerRowDxfId="4">
  <autoFilter ref="B3:C164" xr:uid="{444120E1-FF14-8B4D-9678-39498DB2C57B}"/>
  <tableColumns count="2">
    <tableColumn id="1" xr3:uid="{9B4609FE-4B68-D449-828E-5FABB539BB46}" name="Trafomers">
      <calculatedColumnFormula>IF(TRIM(CLEAN(C4))="","",
IF(LEFT(TRIM(C4),4)="Unit",C4,"Unit "&amp;C4))</calculatedColumnFormula>
    </tableColumn>
    <tableColumn id="2" xr3:uid="{0503B856-C30B-134F-A156-0ED223BD0689}" name="Data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C4266A-F509-A74E-ABFD-F2FEA6505A9E}" name="Table37" displayName="Table37" ref="E3:F164" totalsRowShown="0" headerRowDxfId="3" headerRowBorderDxfId="2" tableBorderDxfId="1">
  <autoFilter ref="E3:F164" xr:uid="{ACB1B7FD-45EF-5D44-B105-62A9BD61E69E}"/>
  <tableColumns count="2">
    <tableColumn id="1" xr3:uid="{BD1D0180-BE20-9B4B-BB72-D9ADFB656C18}" name="Trafomers" dataDxfId="0">
      <calculatedColumnFormula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calculatedColumnFormula>
    </tableColumn>
    <tableColumn id="2" xr3:uid="{4373F6F0-1B67-DE49-9E58-C9243D237394}" name="Dat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6F09-D95D-A84C-8C1A-178D113E6519}">
  <dimension ref="A1:AC157"/>
  <sheetViews>
    <sheetView tabSelected="1" zoomScale="80" zoomScaleNormal="80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B31" sqref="B31"/>
    </sheetView>
  </sheetViews>
  <sheetFormatPr defaultColWidth="10.69921875" defaultRowHeight="15.6" x14ac:dyDescent="0.3"/>
  <cols>
    <col min="1" max="1" width="14.796875" customWidth="1"/>
    <col min="2" max="2" width="17.09765625" customWidth="1"/>
    <col min="3" max="3" width="14" style="1" customWidth="1"/>
    <col min="4" max="4" width="15" style="1" bestFit="1" customWidth="1"/>
    <col min="5" max="5" width="6.5" style="1" bestFit="1" customWidth="1"/>
    <col min="6" max="6" width="12.796875" style="3" customWidth="1"/>
    <col min="7" max="7" width="11.796875" style="3" customWidth="1"/>
    <col min="8" max="8" width="12.19921875" style="1" customWidth="1"/>
    <col min="9" max="9" width="7.69921875" style="3" bestFit="1" customWidth="1"/>
    <col min="10" max="10" width="14.796875" style="1" bestFit="1" customWidth="1"/>
    <col min="11" max="11" width="8.69921875" style="1" bestFit="1" customWidth="1"/>
    <col min="12" max="12" width="15.296875" style="3" bestFit="1" customWidth="1"/>
    <col min="13" max="13" width="6.69921875" style="1" bestFit="1" customWidth="1"/>
    <col min="14" max="14" width="13.69921875" style="3" bestFit="1" customWidth="1"/>
    <col min="15" max="15" width="6.5" style="1" bestFit="1" customWidth="1"/>
    <col min="16" max="16" width="13.5" style="3" bestFit="1" customWidth="1"/>
    <col min="17" max="17" width="6.69921875" style="1" bestFit="1" customWidth="1"/>
    <col min="18" max="18" width="15.69921875" style="3" customWidth="1"/>
    <col min="19" max="19" width="9.796875" style="1" bestFit="1" customWidth="1"/>
    <col min="20" max="20" width="9" style="3" bestFit="1" customWidth="1"/>
    <col min="21" max="21" width="8.69921875" style="1" customWidth="1"/>
    <col min="22" max="22" width="5" bestFit="1" customWidth="1"/>
    <col min="23" max="23" width="5" style="1" bestFit="1" customWidth="1"/>
    <col min="24" max="24" width="5.796875" style="1" customWidth="1"/>
    <col min="25" max="25" width="61.69921875" style="52" customWidth="1"/>
    <col min="26" max="26" width="9.796875" style="2" bestFit="1" customWidth="1"/>
    <col min="28" max="28" width="7.5" style="1" bestFit="1" customWidth="1"/>
    <col min="29" max="29" width="6.19921875" style="1" bestFit="1" customWidth="1"/>
  </cols>
  <sheetData>
    <row r="1" spans="1:25" s="1" customFormat="1" ht="18" x14ac:dyDescent="0.35">
      <c r="A1" s="5" t="s">
        <v>30</v>
      </c>
      <c r="B1" s="5" t="s">
        <v>29</v>
      </c>
      <c r="C1" s="7" t="s">
        <v>28</v>
      </c>
      <c r="D1" s="7" t="s">
        <v>27</v>
      </c>
      <c r="E1" s="5" t="s">
        <v>26</v>
      </c>
      <c r="F1" s="7" t="s">
        <v>25</v>
      </c>
      <c r="G1" s="5" t="s">
        <v>24</v>
      </c>
      <c r="H1" s="5" t="s">
        <v>23</v>
      </c>
      <c r="I1" s="7" t="s">
        <v>22</v>
      </c>
      <c r="J1" s="5" t="s">
        <v>21</v>
      </c>
      <c r="K1" s="7" t="s">
        <v>20</v>
      </c>
      <c r="L1" s="5" t="s">
        <v>19</v>
      </c>
      <c r="M1" s="7" t="s">
        <v>18</v>
      </c>
      <c r="N1" s="5" t="s">
        <v>17</v>
      </c>
      <c r="O1" s="7" t="s">
        <v>16</v>
      </c>
      <c r="P1" s="5" t="s">
        <v>15</v>
      </c>
      <c r="Q1" s="7" t="s">
        <v>14</v>
      </c>
      <c r="R1" s="5" t="s">
        <v>13</v>
      </c>
      <c r="S1" s="6" t="s">
        <v>12</v>
      </c>
      <c r="T1" s="5" t="s">
        <v>11</v>
      </c>
      <c r="U1" s="5" t="s">
        <v>10</v>
      </c>
      <c r="V1" s="5" t="s">
        <v>9</v>
      </c>
      <c r="W1" s="5" t="s">
        <v>8</v>
      </c>
      <c r="X1" s="5" t="s">
        <v>7</v>
      </c>
      <c r="Y1" s="53" t="s">
        <v>6</v>
      </c>
    </row>
    <row r="2" spans="1:25" x14ac:dyDescent="0.3">
      <c r="A2" s="4" t="s">
        <v>74</v>
      </c>
      <c r="B2" s="1" t="s">
        <v>41</v>
      </c>
      <c r="C2" s="3">
        <v>46027</v>
      </c>
      <c r="D2" s="3">
        <v>46045</v>
      </c>
      <c r="E2" s="1">
        <f ca="1">IF(DMRB5[[#This Row],[Move_out ]]="","",TODAY()-DMRB5[[#This Row],[Move_out ]])</f>
        <v>70</v>
      </c>
      <c r="F2" s="2">
        <v>46100</v>
      </c>
      <c r="G2" s="1">
        <f ca="1">IF(DMRB5[[#This Row],[Move_in]]="","",TODAY()-DMRB5[[#This Row],[Move_in]])</f>
        <v>-3</v>
      </c>
      <c r="H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2" s="3">
        <f>IF(DMRB5[[#This Row],[Move_out ]]="","",
IF(OR(DMRB5[[#This Row],[Insp_status ]]="In Progress",DMRB5[[#This Row],[Insp_status ]]="Done",
DMRB5[[#This Row],[Insp_status ]]="Scheduled"),
WORKDAY(DMRB5[[#This Row],[Move_out ]],1),
""))</f>
        <v>46028</v>
      </c>
      <c r="J2" s="1" t="s">
        <v>0</v>
      </c>
      <c r="K2" s="3">
        <f>IF(DMRB5[[#This Row],[Move_out ]]="","",
IF(OR(DMRB5[[#This Row],[Paint_status]]="In Progress",DMRB5[[#This Row],[Paint_status]]="Done",
DMRB5[[#This Row],[Paint_status]]="Scheduled"),
WORKDAY(DMRB5[[#This Row],[Move_out ]],2),
""))</f>
        <v>46029</v>
      </c>
      <c r="L2" s="1" t="s">
        <v>0</v>
      </c>
      <c r="M2" s="3">
        <f>IF(DMRB5[[#This Row],[Move_out ]]="","",
IF(OR(DMRB5[[#This Row],[MR_Status]]="In Progress",DMRB5[[#This Row],[MR_Status]]="Done",
DMRB5[[#This Row],[MR_Status]]="Scheduled"),
WORKDAY(DMRB5[[#This Row],[Move_out ]],3),
""))</f>
        <v>46030</v>
      </c>
      <c r="N2" s="1" t="s">
        <v>0</v>
      </c>
      <c r="O2" s="3">
        <f>IF(DMRB5[[#This Row],[Move_out ]]="","",
IF(OR(DMRB5[[#This Row],[HK_Status]]="In Progress",DMRB5[[#This Row],[HK_Status]]="Done",
DMRB5[[#This Row],[HK_Status]]="Scheduled"),
WORKDAY(DMRB5[[#This Row],[Move_out ]],6),
""))</f>
        <v>46035</v>
      </c>
      <c r="P2" s="1" t="s">
        <v>0</v>
      </c>
      <c r="Q2" s="3">
        <f>IF(DMRB5[[#This Row],[Move_out ]]="","",
IF(OR(DMRB5[[#This Row],[CC_status]]="In Progress",DMRB5[[#This Row],[CC_status]]="Done",
DMRB5[[#This Row],[CC_status]]="Scheduled"),
WORKDAY(DMRB5[[#This Row],[Move_out ]],7),
""))</f>
        <v>46036</v>
      </c>
      <c r="R2" s="1" t="s">
        <v>0</v>
      </c>
      <c r="S2" s="2" t="s">
        <v>39</v>
      </c>
      <c r="T2" s="1" t="s">
        <v>100</v>
      </c>
      <c r="U2" s="1" t="s">
        <v>36</v>
      </c>
      <c r="V2" s="1" t="str">
        <f>IF(TRIM(CLEAN(A2))="","",_xlfn.TEXTBEFORE(_xlfn.TEXTAFTER(A2,"Unit "),"-"))</f>
        <v>7</v>
      </c>
      <c r="W2" s="1" t="str">
        <f>IF(TRIM(CLEAN(A2))="","",_xlfn.TEXTBEFORE(_xlfn.TEXTAFTER(A2,"-"),"-"))</f>
        <v>07</v>
      </c>
      <c r="X2" s="1" t="str">
        <f>IF(TRIM(CLEAN(A2))="","",_xlfn.TEXTAFTER(A2,"-",-1))</f>
        <v>0104</v>
      </c>
    </row>
    <row r="3" spans="1:25" x14ac:dyDescent="0.3">
      <c r="A3" s="4" t="s">
        <v>95</v>
      </c>
      <c r="B3" s="1" t="s">
        <v>5</v>
      </c>
      <c r="C3" s="3">
        <v>46074</v>
      </c>
      <c r="D3" s="3">
        <v>46082</v>
      </c>
      <c r="E3" s="1">
        <f ca="1">IF(DMRB5[[#This Row],[Move_out ]]="","",TODAY()-DMRB5[[#This Row],[Move_out ]])</f>
        <v>23</v>
      </c>
      <c r="F3" s="2">
        <v>46102</v>
      </c>
      <c r="G3" s="1">
        <f ca="1">IF(DMRB5[[#This Row],[Move_in]]="","",TODAY()-DMRB5[[#This Row],[Move_in]])</f>
        <v>-5</v>
      </c>
      <c r="H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3" s="3">
        <f>IF(DMRB5[[#This Row],[Move_out ]]="","",
IF(OR(DMRB5[[#This Row],[Insp_status ]]="In Progress",DMRB5[[#This Row],[Insp_status ]]="Done",
DMRB5[[#This Row],[Insp_status ]]="Scheduled"),
WORKDAY(DMRB5[[#This Row],[Move_out ]],1),
""))</f>
        <v>46076</v>
      </c>
      <c r="J3" s="1" t="s">
        <v>0</v>
      </c>
      <c r="K3" s="3">
        <f>IF(DMRB5[[#This Row],[Move_out ]]="","",
IF(OR(DMRB5[[#This Row],[Paint_status]]="In Progress",DMRB5[[#This Row],[Paint_status]]="Done",
DMRB5[[#This Row],[Paint_status]]="Scheduled"),
WORKDAY(DMRB5[[#This Row],[Move_out ]],2),
""))</f>
        <v>46077</v>
      </c>
      <c r="L3" s="1" t="s">
        <v>3</v>
      </c>
      <c r="M3" s="3">
        <f>IF(DMRB5[[#This Row],[Move_out ]]="","",
IF(OR(DMRB5[[#This Row],[MR_Status]]="In Progress",DMRB5[[#This Row],[MR_Status]]="Done",
DMRB5[[#This Row],[MR_Status]]="Scheduled"),
WORKDAY(DMRB5[[#This Row],[Move_out ]],3),
""))</f>
        <v>46078</v>
      </c>
      <c r="N3" s="1" t="s">
        <v>3</v>
      </c>
      <c r="O3" s="3">
        <f>IF(DMRB5[[#This Row],[Move_out ]]="","",
IF(OR(DMRB5[[#This Row],[HK_Status]]="In Progress",DMRB5[[#This Row],[HK_Status]]="Done",
DMRB5[[#This Row],[HK_Status]]="Scheduled"),
WORKDAY(DMRB5[[#This Row],[Move_out ]],6),
""))</f>
        <v>46083</v>
      </c>
      <c r="P3" s="3" t="s">
        <v>3</v>
      </c>
      <c r="Q3" s="3">
        <f>IF(DMRB5[[#This Row],[Move_out ]]="","",
IF(OR(DMRB5[[#This Row],[CC_status]]="In Progress",DMRB5[[#This Row],[CC_status]]="Done",
DMRB5[[#This Row],[CC_status]]="Scheduled"),
WORKDAY(DMRB5[[#This Row],[Move_out ]],7),
""))</f>
        <v>46084</v>
      </c>
      <c r="R3" s="1" t="s">
        <v>3</v>
      </c>
      <c r="S3" s="2" t="s">
        <v>2</v>
      </c>
      <c r="T3" s="3" t="s">
        <v>43</v>
      </c>
      <c r="U3" s="1" t="s">
        <v>36</v>
      </c>
      <c r="V3" s="1" t="str">
        <f>IF(TRIM(CLEAN(A3))="","",_xlfn.TEXTBEFORE(_xlfn.TEXTAFTER(A3,"Unit "),"-"))</f>
        <v>5</v>
      </c>
      <c r="W3" s="1" t="str">
        <f>IF(TRIM(CLEAN(A3))="","",_xlfn.TEXTBEFORE(_xlfn.TEXTAFTER(A3,"-"),"-"))</f>
        <v>17</v>
      </c>
      <c r="X3" s="1" t="str">
        <f>IF(TRIM(CLEAN(A3))="","",_xlfn.TEXTAFTER(A3,"-",-1))</f>
        <v>0207</v>
      </c>
    </row>
    <row r="4" spans="1:25" x14ac:dyDescent="0.3">
      <c r="A4" s="88" t="s">
        <v>124</v>
      </c>
      <c r="B4" s="1" t="s">
        <v>5</v>
      </c>
      <c r="C4" s="3">
        <v>46072</v>
      </c>
      <c r="D4" s="3">
        <v>46086</v>
      </c>
      <c r="E4" s="1">
        <f ca="1">IF(DMRB5[[#This Row],[Move_out ]]="","",TODAY()-DMRB5[[#This Row],[Move_out ]])</f>
        <v>25</v>
      </c>
      <c r="F4" s="2">
        <v>46102</v>
      </c>
      <c r="G4" s="1">
        <f ca="1">IF(DMRB5[[#This Row],[Move_in]]="","",TODAY()-DMRB5[[#This Row],[Move_in]])</f>
        <v>-5</v>
      </c>
      <c r="H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4" s="3">
        <f>IF(DMRB5[[#This Row],[Move_out ]]="","",
IF(OR(DMRB5[[#This Row],[Insp_status ]]="In Progress",DMRB5[[#This Row],[Insp_status ]]="Done",
DMRB5[[#This Row],[Insp_status ]]="Scheduled"),
WORKDAY(DMRB5[[#This Row],[Move_out ]],1),
""))</f>
        <v>46073</v>
      </c>
      <c r="J4" s="1" t="s">
        <v>0</v>
      </c>
      <c r="K4" s="3">
        <f>IF(DMRB5[[#This Row],[Move_out ]]="","",
IF(OR(DMRB5[[#This Row],[Paint_status]]="In Progress",DMRB5[[#This Row],[Paint_status]]="Done",
DMRB5[[#This Row],[Paint_status]]="Scheduled"),
WORKDAY(DMRB5[[#This Row],[Move_out ]],2),
""))</f>
        <v>46076</v>
      </c>
      <c r="L4" s="1" t="s">
        <v>3</v>
      </c>
      <c r="M4" s="3">
        <f>IF(DMRB5[[#This Row],[Move_out ]]="","",
IF(OR(DMRB5[[#This Row],[MR_Status]]="In Progress",DMRB5[[#This Row],[MR_Status]]="Done",
DMRB5[[#This Row],[MR_Status]]="Scheduled"),
WORKDAY(DMRB5[[#This Row],[Move_out ]],3),
""))</f>
        <v>46077</v>
      </c>
      <c r="N4" s="1" t="s">
        <v>3</v>
      </c>
      <c r="O4" s="3">
        <f>IF(DMRB5[[#This Row],[Move_out ]]="","",
IF(OR(DMRB5[[#This Row],[HK_Status]]="In Progress",DMRB5[[#This Row],[HK_Status]]="Done",
DMRB5[[#This Row],[HK_Status]]="Scheduled"),
WORKDAY(DMRB5[[#This Row],[Move_out ]],6),
""))</f>
        <v>46080</v>
      </c>
      <c r="P4" s="3" t="s">
        <v>3</v>
      </c>
      <c r="Q4" s="3">
        <f>IF(DMRB5[[#This Row],[Move_out ]]="","",
IF(OR(DMRB5[[#This Row],[CC_status]]="In Progress",DMRB5[[#This Row],[CC_status]]="Done",
DMRB5[[#This Row],[CC_status]]="Scheduled"),
WORKDAY(DMRB5[[#This Row],[Move_out ]],7),
""))</f>
        <v>46083</v>
      </c>
      <c r="R4" s="1" t="s">
        <v>3</v>
      </c>
      <c r="S4" s="2" t="s">
        <v>2</v>
      </c>
      <c r="T4" s="1" t="s">
        <v>43</v>
      </c>
      <c r="U4" s="1" t="s">
        <v>36</v>
      </c>
      <c r="V4" s="1" t="str">
        <f>IF(TRIM(CLEAN(A4))="","",_xlfn.TEXTBEFORE(_xlfn.TEXTAFTER(A4,"Unit "),"-"))</f>
        <v>5</v>
      </c>
      <c r="W4" s="1" t="str">
        <f>IF(TRIM(CLEAN(A4))="","",_xlfn.TEXTBEFORE(_xlfn.TEXTAFTER(A4,"-"),"-"))</f>
        <v>18</v>
      </c>
      <c r="X4" s="1" t="str">
        <f>IF(TRIM(CLEAN(A4))="","",_xlfn.TEXTAFTER(A4,"-",-1))</f>
        <v>0125</v>
      </c>
    </row>
    <row r="5" spans="1:25" x14ac:dyDescent="0.3">
      <c r="A5" s="4" t="s">
        <v>67</v>
      </c>
      <c r="B5" s="1" t="s">
        <v>41</v>
      </c>
      <c r="C5" s="3">
        <v>45995</v>
      </c>
      <c r="D5" s="3">
        <v>46034</v>
      </c>
      <c r="E5" s="1">
        <f ca="1">IF(DMRB5[[#This Row],[Move_out ]]="","",TODAY()-DMRB5[[#This Row],[Move_out ]])</f>
        <v>102</v>
      </c>
      <c r="F5" s="2">
        <v>46105</v>
      </c>
      <c r="G5" s="1">
        <f ca="1">IF(DMRB5[[#This Row],[Move_in]]="","",TODAY()-DMRB5[[#This Row],[Move_in]])</f>
        <v>-8</v>
      </c>
      <c r="H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5" s="3">
        <f>IF(DMRB5[[#This Row],[Move_out ]]="","",
IF(OR(DMRB5[[#This Row],[Insp_status ]]="In Progress",DMRB5[[#This Row],[Insp_status ]]="Done",
DMRB5[[#This Row],[Insp_status ]]="Scheduled"),
WORKDAY(DMRB5[[#This Row],[Move_out ]],1),
""))</f>
        <v>45996</v>
      </c>
      <c r="J5" s="1" t="s">
        <v>0</v>
      </c>
      <c r="K5" s="3">
        <f>IF(DMRB5[[#This Row],[Move_out ]]="","",
IF(OR(DMRB5[[#This Row],[Paint_status]]="In Progress",DMRB5[[#This Row],[Paint_status]]="Done",
DMRB5[[#This Row],[Paint_status]]="Scheduled"),
WORKDAY(DMRB5[[#This Row],[Move_out ]],2),
""))</f>
        <v>45999</v>
      </c>
      <c r="L5" s="1" t="s">
        <v>0</v>
      </c>
      <c r="M5" s="3">
        <f>IF(DMRB5[[#This Row],[Move_out ]]="","",
IF(OR(DMRB5[[#This Row],[MR_Status]]="In Progress",DMRB5[[#This Row],[MR_Status]]="Done",
DMRB5[[#This Row],[MR_Status]]="Scheduled"),
WORKDAY(DMRB5[[#This Row],[Move_out ]],3),
""))</f>
        <v>46000</v>
      </c>
      <c r="N5" s="1" t="s">
        <v>0</v>
      </c>
      <c r="O5" s="3">
        <f>IF(DMRB5[[#This Row],[Move_out ]]="","",
IF(OR(DMRB5[[#This Row],[HK_Status]]="In Progress",DMRB5[[#This Row],[HK_Status]]="Done",
DMRB5[[#This Row],[HK_Status]]="Scheduled"),
WORKDAY(DMRB5[[#This Row],[Move_out ]],6),
""))</f>
        <v>46003</v>
      </c>
      <c r="P5" s="1" t="s">
        <v>0</v>
      </c>
      <c r="Q5" s="3">
        <f>IF(DMRB5[[#This Row],[Move_out ]]="","",
IF(OR(DMRB5[[#This Row],[CC_status]]="In Progress",DMRB5[[#This Row],[CC_status]]="Done",
DMRB5[[#This Row],[CC_status]]="Scheduled"),
WORKDAY(DMRB5[[#This Row],[Move_out ]],7),
""))</f>
        <v>46006</v>
      </c>
      <c r="R5" s="1" t="s">
        <v>0</v>
      </c>
      <c r="S5" s="2" t="s">
        <v>2</v>
      </c>
      <c r="T5" s="1" t="s">
        <v>1</v>
      </c>
      <c r="U5" s="1" t="s">
        <v>36</v>
      </c>
      <c r="V5" s="1" t="str">
        <f>IF(TRIM(CLEAN(A5))="","",_xlfn.TEXTBEFORE(_xlfn.TEXTAFTER(A5,"Unit "),"-"))</f>
        <v>5</v>
      </c>
      <c r="W5" s="1" t="str">
        <f>IF(TRIM(CLEAN(A5))="","",_xlfn.TEXTBEFORE(_xlfn.TEXTAFTER(A5,"-"),"-"))</f>
        <v>11</v>
      </c>
      <c r="X5" s="1" t="str">
        <f>IF(TRIM(CLEAN(A5))="","",_xlfn.TEXTAFTER(A5,"-",-1))</f>
        <v>0106</v>
      </c>
    </row>
    <row r="6" spans="1:25" x14ac:dyDescent="0.3">
      <c r="A6" s="4" t="s">
        <v>72</v>
      </c>
      <c r="B6" s="1" t="s">
        <v>41</v>
      </c>
      <c r="C6" s="3">
        <v>46021</v>
      </c>
      <c r="D6" s="3">
        <v>46038</v>
      </c>
      <c r="E6" s="1">
        <f ca="1">IF(DMRB5[[#This Row],[Move_out ]]="","",TODAY()-DMRB5[[#This Row],[Move_out ]])</f>
        <v>76</v>
      </c>
      <c r="F6" s="2">
        <v>46106</v>
      </c>
      <c r="G6" s="1">
        <f ca="1">IF(DMRB5[[#This Row],[Move_in]]="","",TODAY()-DMRB5[[#This Row],[Move_in]])</f>
        <v>-9</v>
      </c>
      <c r="H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6" s="3">
        <f>IF(DMRB5[[#This Row],[Move_out ]]="","",
IF(OR(DMRB5[[#This Row],[Insp_status ]]="In Progress",DMRB5[[#This Row],[Insp_status ]]="Done",
DMRB5[[#This Row],[Insp_status ]]="Scheduled"),
WORKDAY(DMRB5[[#This Row],[Move_out ]],1),
""))</f>
        <v>46022</v>
      </c>
      <c r="J6" s="1" t="s">
        <v>0</v>
      </c>
      <c r="K6" s="3">
        <f>IF(DMRB5[[#This Row],[Move_out ]]="","",
IF(OR(DMRB5[[#This Row],[Paint_status]]="In Progress",DMRB5[[#This Row],[Paint_status]]="Done",
DMRB5[[#This Row],[Paint_status]]="Scheduled"),
WORKDAY(DMRB5[[#This Row],[Move_out ]],2),
""))</f>
        <v>46023</v>
      </c>
      <c r="L6" s="1" t="s">
        <v>0</v>
      </c>
      <c r="M6" s="3">
        <f>IF(DMRB5[[#This Row],[Move_out ]]="","",
IF(OR(DMRB5[[#This Row],[MR_Status]]="In Progress",DMRB5[[#This Row],[MR_Status]]="Done",
DMRB5[[#This Row],[MR_Status]]="Scheduled"),
WORKDAY(DMRB5[[#This Row],[Move_out ]],3),
""))</f>
        <v>46024</v>
      </c>
      <c r="N6" s="1" t="s">
        <v>0</v>
      </c>
      <c r="O6" s="3">
        <f>IF(DMRB5[[#This Row],[Move_out ]]="","",
IF(OR(DMRB5[[#This Row],[HK_Status]]="In Progress",DMRB5[[#This Row],[HK_Status]]="Done",
DMRB5[[#This Row],[HK_Status]]="Scheduled"),
WORKDAY(DMRB5[[#This Row],[Move_out ]],6),
""))</f>
        <v>46029</v>
      </c>
      <c r="P6" s="1" t="s">
        <v>0</v>
      </c>
      <c r="Q6" s="3">
        <f>IF(DMRB5[[#This Row],[Move_out ]]="","",
IF(OR(DMRB5[[#This Row],[CC_status]]="In Progress",DMRB5[[#This Row],[CC_status]]="Done",
DMRB5[[#This Row],[CC_status]]="Scheduled"),
WORKDAY(DMRB5[[#This Row],[Move_out ]],7),
""))</f>
        <v>46030</v>
      </c>
      <c r="R6" s="1" t="s">
        <v>0</v>
      </c>
      <c r="S6" s="2" t="s">
        <v>2</v>
      </c>
      <c r="T6" s="1" t="s">
        <v>100</v>
      </c>
      <c r="U6" s="1" t="s">
        <v>36</v>
      </c>
      <c r="V6" s="1" t="str">
        <f>IF(TRIM(CLEAN(A6))="","",_xlfn.TEXTBEFORE(_xlfn.TEXTAFTER(A6,"Unit "),"-"))</f>
        <v>5</v>
      </c>
      <c r="W6" s="1" t="str">
        <f>IF(TRIM(CLEAN(A6))="","",_xlfn.TEXTBEFORE(_xlfn.TEXTAFTER(A6,"-"),"-"))</f>
        <v>01</v>
      </c>
      <c r="X6" s="1" t="str">
        <f>IF(TRIM(CLEAN(A6))="","",_xlfn.TEXTAFTER(A6,"-",-1))</f>
        <v>0221</v>
      </c>
    </row>
    <row r="7" spans="1:25" x14ac:dyDescent="0.3">
      <c r="A7" s="88" t="s">
        <v>133</v>
      </c>
      <c r="B7" s="1" t="s">
        <v>34</v>
      </c>
      <c r="C7" s="3">
        <v>46093</v>
      </c>
      <c r="D7" s="3">
        <v>46107</v>
      </c>
      <c r="E7" s="1">
        <f ca="1">IF(DMRB5[[#This Row],[Move_out ]]="","",TODAY()-DMRB5[[#This Row],[Move_out ]])</f>
        <v>4</v>
      </c>
      <c r="F7" s="2">
        <v>46107</v>
      </c>
      <c r="G7" s="1">
        <f ca="1">IF(DMRB5[[#This Row],[Move_in]]="","",TODAY()-DMRB5[[#This Row],[Move_in]])</f>
        <v>-10</v>
      </c>
      <c r="H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7" s="1" t="s">
        <v>38</v>
      </c>
      <c r="K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7" s="1" t="s">
        <v>38</v>
      </c>
      <c r="M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7" s="1" t="s">
        <v>38</v>
      </c>
      <c r="O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7" s="1" t="s">
        <v>38</v>
      </c>
      <c r="Q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7" s="1" t="s">
        <v>38</v>
      </c>
      <c r="S7" s="2" t="s">
        <v>42</v>
      </c>
      <c r="U7" s="1" t="s">
        <v>36</v>
      </c>
      <c r="V7" s="1" t="str">
        <f>IF(TRIM(CLEAN(A7))="","",_xlfn.TEXTBEFORE(_xlfn.TEXTAFTER(A7,"Unit "),"-"))</f>
        <v>8</v>
      </c>
      <c r="W7" s="1" t="str">
        <f>IF(TRIM(CLEAN(A7))="","",_xlfn.TEXTBEFORE(_xlfn.TEXTAFTER(A7,"-"),"-"))</f>
        <v>01</v>
      </c>
      <c r="X7" s="1" t="str">
        <f>IF(TRIM(CLEAN(A7))="","",_xlfn.TEXTAFTER(A7,"-",-1))</f>
        <v>2007</v>
      </c>
    </row>
    <row r="8" spans="1:25" x14ac:dyDescent="0.3">
      <c r="A8" s="4" t="s">
        <v>76</v>
      </c>
      <c r="B8" s="1" t="s">
        <v>41</v>
      </c>
      <c r="C8" s="3">
        <v>46030</v>
      </c>
      <c r="D8" s="3">
        <v>46044</v>
      </c>
      <c r="E8" s="1">
        <f ca="1">IF(DMRB5[[#This Row],[Move_out ]]="","",TODAY()-DMRB5[[#This Row],[Move_out ]])</f>
        <v>67</v>
      </c>
      <c r="F8" s="2">
        <v>46108</v>
      </c>
      <c r="G8" s="1">
        <f ca="1">IF(DMRB5[[#This Row],[Move_in]]="","",TODAY()-DMRB5[[#This Row],[Move_in]])</f>
        <v>-11</v>
      </c>
      <c r="H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8" s="3">
        <f>IF(DMRB5[[#This Row],[Move_out ]]="","",
IF(OR(DMRB5[[#This Row],[Insp_status ]]="In Progress",DMRB5[[#This Row],[Insp_status ]]="Done",
DMRB5[[#This Row],[Insp_status ]]="Scheduled"),
WORKDAY(DMRB5[[#This Row],[Move_out ]],1),
""))</f>
        <v>46031</v>
      </c>
      <c r="J8" s="1" t="s">
        <v>0</v>
      </c>
      <c r="K8" s="3">
        <f>IF(DMRB5[[#This Row],[Move_out ]]="","",
IF(OR(DMRB5[[#This Row],[Paint_status]]="In Progress",DMRB5[[#This Row],[Paint_status]]="Done",
DMRB5[[#This Row],[Paint_status]]="Scheduled"),
WORKDAY(DMRB5[[#This Row],[Move_out ]],2),
""))</f>
        <v>46034</v>
      </c>
      <c r="L8" s="1" t="s">
        <v>0</v>
      </c>
      <c r="M8" s="3">
        <f>IF(DMRB5[[#This Row],[Move_out ]]="","",
IF(OR(DMRB5[[#This Row],[MR_Status]]="In Progress",DMRB5[[#This Row],[MR_Status]]="Done",
DMRB5[[#This Row],[MR_Status]]="Scheduled"),
WORKDAY(DMRB5[[#This Row],[Move_out ]],3),
""))</f>
        <v>46035</v>
      </c>
      <c r="N8" s="1" t="s">
        <v>0</v>
      </c>
      <c r="O8" s="3">
        <f>IF(DMRB5[[#This Row],[Move_out ]]="","",
IF(OR(DMRB5[[#This Row],[HK_Status]]="In Progress",DMRB5[[#This Row],[HK_Status]]="Done",
DMRB5[[#This Row],[HK_Status]]="Scheduled"),
WORKDAY(DMRB5[[#This Row],[Move_out ]],6),
""))</f>
        <v>46038</v>
      </c>
      <c r="P8" s="1" t="s">
        <v>0</v>
      </c>
      <c r="Q8" s="3">
        <f>IF(DMRB5[[#This Row],[Move_out ]]="","",
IF(OR(DMRB5[[#This Row],[CC_status]]="In Progress",DMRB5[[#This Row],[CC_status]]="Done",
DMRB5[[#This Row],[CC_status]]="Scheduled"),
WORKDAY(DMRB5[[#This Row],[Move_out ]],7),
""))</f>
        <v>46041</v>
      </c>
      <c r="R8" s="1" t="s">
        <v>0</v>
      </c>
      <c r="S8" s="2" t="s">
        <v>42</v>
      </c>
      <c r="T8" s="1" t="s">
        <v>1</v>
      </c>
      <c r="U8" s="1" t="s">
        <v>36</v>
      </c>
      <c r="V8" s="1" t="str">
        <f>IF(TRIM(CLEAN(A8))="","",_xlfn.TEXTBEFORE(_xlfn.TEXTAFTER(A8,"Unit "),"-"))</f>
        <v>8</v>
      </c>
      <c r="W8" s="1" t="str">
        <f>IF(TRIM(CLEAN(A8))="","",_xlfn.TEXTBEFORE(_xlfn.TEXTAFTER(A8,"-"),"-"))</f>
        <v>01</v>
      </c>
      <c r="X8" s="1" t="str">
        <f>IF(TRIM(CLEAN(A8))="","",_xlfn.TEXTAFTER(A8,"-",-1))</f>
        <v>3096</v>
      </c>
    </row>
    <row r="9" spans="1:25" x14ac:dyDescent="0.3">
      <c r="A9" s="4" t="s">
        <v>86</v>
      </c>
      <c r="B9" s="1" t="s">
        <v>41</v>
      </c>
      <c r="C9" s="3">
        <v>46051</v>
      </c>
      <c r="D9" s="3">
        <v>46062</v>
      </c>
      <c r="E9" s="1">
        <f ca="1">IF(DMRB5[[#This Row],[Move_out ]]="","",TODAY()-DMRB5[[#This Row],[Move_out ]])</f>
        <v>46</v>
      </c>
      <c r="F9" s="2">
        <v>46108</v>
      </c>
      <c r="G9" s="1">
        <f ca="1">IF(DMRB5[[#This Row],[Move_in]]="","",TODAY()-DMRB5[[#This Row],[Move_in]])</f>
        <v>-11</v>
      </c>
      <c r="H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9" s="3">
        <f>IF(DMRB5[[#This Row],[Move_out ]]="","",
IF(OR(DMRB5[[#This Row],[Insp_status ]]="In Progress",DMRB5[[#This Row],[Insp_status ]]="Done",
DMRB5[[#This Row],[Insp_status ]]="Scheduled"),
WORKDAY(DMRB5[[#This Row],[Move_out ]],1),
""))</f>
        <v>46052</v>
      </c>
      <c r="J9" s="1" t="s">
        <v>0</v>
      </c>
      <c r="K9" s="3">
        <f>IF(DMRB5[[#This Row],[Move_out ]]="","",
IF(OR(DMRB5[[#This Row],[Paint_status]]="In Progress",DMRB5[[#This Row],[Paint_status]]="Done",
DMRB5[[#This Row],[Paint_status]]="Scheduled"),
WORKDAY(DMRB5[[#This Row],[Move_out ]],2),
""))</f>
        <v>46055</v>
      </c>
      <c r="L9" s="1" t="s">
        <v>0</v>
      </c>
      <c r="M9" s="3">
        <f>IF(DMRB5[[#This Row],[Move_out ]]="","",
IF(OR(DMRB5[[#This Row],[MR_Status]]="In Progress",DMRB5[[#This Row],[MR_Status]]="Done",
DMRB5[[#This Row],[MR_Status]]="Scheduled"),
WORKDAY(DMRB5[[#This Row],[Move_out ]],3),
""))</f>
        <v>46056</v>
      </c>
      <c r="N9" s="1" t="s">
        <v>0</v>
      </c>
      <c r="O9" s="3">
        <f>IF(DMRB5[[#This Row],[Move_out ]]="","",
IF(OR(DMRB5[[#This Row],[HK_Status]]="In Progress",DMRB5[[#This Row],[HK_Status]]="Done",
DMRB5[[#This Row],[HK_Status]]="Scheduled"),
WORKDAY(DMRB5[[#This Row],[Move_out ]],6),
""))</f>
        <v>46059</v>
      </c>
      <c r="P9" s="1" t="s">
        <v>0</v>
      </c>
      <c r="Q9" s="3">
        <f>IF(DMRB5[[#This Row],[Move_out ]]="","",
IF(OR(DMRB5[[#This Row],[CC_status]]="In Progress",DMRB5[[#This Row],[CC_status]]="Done",
DMRB5[[#This Row],[CC_status]]="Scheduled"),
WORKDAY(DMRB5[[#This Row],[Move_out ]],7),
""))</f>
        <v>46062</v>
      </c>
      <c r="R9" s="1" t="s">
        <v>0</v>
      </c>
      <c r="S9" s="2" t="s">
        <v>42</v>
      </c>
      <c r="T9" s="1" t="s">
        <v>43</v>
      </c>
      <c r="U9" s="1" t="s">
        <v>36</v>
      </c>
      <c r="V9" s="1" t="str">
        <f>IF(TRIM(CLEAN(A9))="","",_xlfn.TEXTBEFORE(_xlfn.TEXTAFTER(A9,"Unit "),"-"))</f>
        <v>8</v>
      </c>
      <c r="W9" s="1" t="str">
        <f>IF(TRIM(CLEAN(A9))="","",_xlfn.TEXTBEFORE(_xlfn.TEXTAFTER(A9,"-"),"-"))</f>
        <v>01</v>
      </c>
      <c r="X9" s="1" t="str">
        <f>IF(TRIM(CLEAN(A9))="","",_xlfn.TEXTAFTER(A9,"-",-1))</f>
        <v>1048</v>
      </c>
    </row>
    <row r="10" spans="1:25" x14ac:dyDescent="0.3">
      <c r="A10" s="95" t="s">
        <v>192</v>
      </c>
      <c r="B10" s="1" t="s">
        <v>34</v>
      </c>
      <c r="C10" s="3">
        <v>46097</v>
      </c>
      <c r="D10" s="3">
        <v>46109</v>
      </c>
      <c r="E10" s="1">
        <f ca="1">IF(DMRB5[[#This Row],[Move_out ]]="","",TODAY()-DMRB5[[#This Row],[Move_out ]])</f>
        <v>0</v>
      </c>
      <c r="F10" s="90">
        <v>46109</v>
      </c>
      <c r="G10" s="1">
        <f ca="1">IF(DMRB5[[#This Row],[Move_in]]="","",TODAY()-DMRB5[[#This Row],[Move_in]])</f>
        <v>-12</v>
      </c>
      <c r="H1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1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" s="1" t="s">
        <v>38</v>
      </c>
      <c r="K1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" s="1" t="s">
        <v>38</v>
      </c>
      <c r="M1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" s="1" t="s">
        <v>38</v>
      </c>
      <c r="O1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" s="1" t="s">
        <v>38</v>
      </c>
      <c r="Q1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" s="1" t="s">
        <v>38</v>
      </c>
      <c r="S10" s="2" t="s">
        <v>2</v>
      </c>
      <c r="U10" s="1" t="s">
        <v>36</v>
      </c>
      <c r="V10" s="1" t="str">
        <f>IF(TRIM(CLEAN(A10))="","",_xlfn.TEXTBEFORE(_xlfn.TEXTAFTER(A10,"Unit "),"-"))</f>
        <v>5</v>
      </c>
      <c r="W10" s="1" t="str">
        <f>IF(TRIM(CLEAN(A10))="","",_xlfn.TEXTBEFORE(_xlfn.TEXTAFTER(A10,"-"),"-"))</f>
        <v>18</v>
      </c>
      <c r="X10" s="1" t="str">
        <f>IF(TRIM(CLEAN(A10))="","",_xlfn.TEXTAFTER(A10,"-",-1))</f>
        <v>0145</v>
      </c>
    </row>
    <row r="11" spans="1:25" x14ac:dyDescent="0.3">
      <c r="A11" s="88" t="s">
        <v>125</v>
      </c>
      <c r="B11" s="1" t="s">
        <v>5</v>
      </c>
      <c r="C11" s="3">
        <v>46076</v>
      </c>
      <c r="D11" s="3">
        <v>46088</v>
      </c>
      <c r="E11" s="1">
        <f ca="1">IF(DMRB5[[#This Row],[Move_out ]]="","",TODAY()-DMRB5[[#This Row],[Move_out ]])</f>
        <v>21</v>
      </c>
      <c r="F11" s="2">
        <v>46113</v>
      </c>
      <c r="G11" s="1">
        <f ca="1">IF(DMRB5[[#This Row],[Move_in]]="","",TODAY()-DMRB5[[#This Row],[Move_in]])</f>
        <v>-16</v>
      </c>
      <c r="H1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11" s="3">
        <f>IF(DMRB5[[#This Row],[Move_out ]]="","",
IF(OR(DMRB5[[#This Row],[Insp_status ]]="In Progress",DMRB5[[#This Row],[Insp_status ]]="Done",
DMRB5[[#This Row],[Insp_status ]]="Scheduled"),
WORKDAY(DMRB5[[#This Row],[Move_out ]],1),
""))</f>
        <v>46077</v>
      </c>
      <c r="J11" s="1" t="s">
        <v>3</v>
      </c>
      <c r="K11" s="3">
        <f>IF(DMRB5[[#This Row],[Move_out ]]="","",
IF(OR(DMRB5[[#This Row],[Paint_status]]="In Progress",DMRB5[[#This Row],[Paint_status]]="Done",
DMRB5[[#This Row],[Paint_status]]="Scheduled"),
WORKDAY(DMRB5[[#This Row],[Move_out ]],2),
""))</f>
        <v>46078</v>
      </c>
      <c r="L11" s="1" t="s">
        <v>3</v>
      </c>
      <c r="M11" s="3">
        <f>IF(DMRB5[[#This Row],[Move_out ]]="","",
IF(OR(DMRB5[[#This Row],[MR_Status]]="In Progress",DMRB5[[#This Row],[MR_Status]]="Done",
DMRB5[[#This Row],[MR_Status]]="Scheduled"),
WORKDAY(DMRB5[[#This Row],[Move_out ]],3),
""))</f>
        <v>46079</v>
      </c>
      <c r="N11" s="1" t="s">
        <v>3</v>
      </c>
      <c r="O11" s="3">
        <f>IF(DMRB5[[#This Row],[Move_out ]]="","",
IF(OR(DMRB5[[#This Row],[HK_Status]]="In Progress",DMRB5[[#This Row],[HK_Status]]="Done",
DMRB5[[#This Row],[HK_Status]]="Scheduled"),
WORKDAY(DMRB5[[#This Row],[Move_out ]],6),
""))</f>
        <v>46084</v>
      </c>
      <c r="P11" s="3" t="s">
        <v>3</v>
      </c>
      <c r="Q11" s="3">
        <f>IF(DMRB5[[#This Row],[Move_out ]]="","",
IF(OR(DMRB5[[#This Row],[CC_status]]="In Progress",DMRB5[[#This Row],[CC_status]]="Done",
DMRB5[[#This Row],[CC_status]]="Scheduled"),
WORKDAY(DMRB5[[#This Row],[Move_out ]],7),
""))</f>
        <v>46085</v>
      </c>
      <c r="R11" s="1" t="s">
        <v>3</v>
      </c>
      <c r="S11" s="2" t="s">
        <v>2</v>
      </c>
      <c r="T11" s="3" t="s">
        <v>43</v>
      </c>
      <c r="U11" s="1" t="s">
        <v>36</v>
      </c>
      <c r="V11" s="1" t="str">
        <f>IF(TRIM(CLEAN(A11))="","",_xlfn.TEXTBEFORE(_xlfn.TEXTAFTER(A11,"Unit "),"-"))</f>
        <v>5</v>
      </c>
      <c r="W11" s="1" t="str">
        <f>IF(TRIM(CLEAN(A11))="","",_xlfn.TEXTBEFORE(_xlfn.TEXTAFTER(A11,"-"),"-"))</f>
        <v>17</v>
      </c>
      <c r="X11" s="1" t="str">
        <f>IF(TRIM(CLEAN(A11))="","",_xlfn.TEXTAFTER(A11,"-",-1))</f>
        <v>0204</v>
      </c>
    </row>
    <row r="12" spans="1:25" x14ac:dyDescent="0.3">
      <c r="A12" s="4" t="s">
        <v>66</v>
      </c>
      <c r="B12" s="1" t="s">
        <v>5</v>
      </c>
      <c r="C12" s="3">
        <v>45985</v>
      </c>
      <c r="D12" s="3">
        <v>46081</v>
      </c>
      <c r="E12" s="1">
        <f ca="1">IF(DMRB5[[#This Row],[Move_out ]]="","",TODAY()-DMRB5[[#This Row],[Move_out ]])</f>
        <v>112</v>
      </c>
      <c r="F12" s="2">
        <v>46113</v>
      </c>
      <c r="G12" s="1">
        <f ca="1">IF(DMRB5[[#This Row],[Move_in]]="","",TODAY()-DMRB5[[#This Row],[Move_in]])</f>
        <v>-16</v>
      </c>
      <c r="H1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12" s="3">
        <f>IF(DMRB5[[#This Row],[Move_out ]]="","",
IF(OR(DMRB5[[#This Row],[Insp_status ]]="In Progress",DMRB5[[#This Row],[Insp_status ]]="Done",
DMRB5[[#This Row],[Insp_status ]]="Scheduled"),
WORKDAY(DMRB5[[#This Row],[Move_out ]],1),
""))</f>
        <v>45986</v>
      </c>
      <c r="J12" s="1" t="s">
        <v>0</v>
      </c>
      <c r="K12" s="3">
        <f>IF(DMRB5[[#This Row],[Move_out ]]="","",
IF(OR(DMRB5[[#This Row],[Paint_status]]="In Progress",DMRB5[[#This Row],[Paint_status]]="Done",
DMRB5[[#This Row],[Paint_status]]="Scheduled"),
WORKDAY(DMRB5[[#This Row],[Move_out ]],2),
""))</f>
        <v>45987</v>
      </c>
      <c r="L12" s="1" t="s">
        <v>0</v>
      </c>
      <c r="M12" s="3">
        <f>IF(DMRB5[[#This Row],[Move_out ]]="","",
IF(OR(DMRB5[[#This Row],[MR_Status]]="In Progress",DMRB5[[#This Row],[MR_Status]]="Done",
DMRB5[[#This Row],[MR_Status]]="Scheduled"),
WORKDAY(DMRB5[[#This Row],[Move_out ]],3),
""))</f>
        <v>45988</v>
      </c>
      <c r="N12" s="1" t="s">
        <v>0</v>
      </c>
      <c r="O12" s="3">
        <f>IF(DMRB5[[#This Row],[Move_out ]]="","",
IF(OR(DMRB5[[#This Row],[HK_Status]]="In Progress",DMRB5[[#This Row],[HK_Status]]="Done",
DMRB5[[#This Row],[HK_Status]]="Scheduled"),
WORKDAY(DMRB5[[#This Row],[Move_out ]],6),
""))</f>
        <v>45993</v>
      </c>
      <c r="P12" s="1" t="s">
        <v>0</v>
      </c>
      <c r="Q12" s="3">
        <f>IF(DMRB5[[#This Row],[Move_out ]]="","",
IF(OR(DMRB5[[#This Row],[CC_status]]="In Progress",DMRB5[[#This Row],[CC_status]]="Done",
DMRB5[[#This Row],[CC_status]]="Scheduled"),
WORKDAY(DMRB5[[#This Row],[Move_out ]],7),
""))</f>
        <v>45994</v>
      </c>
      <c r="R12" s="1" t="s">
        <v>0</v>
      </c>
      <c r="S12" s="2" t="s">
        <v>2</v>
      </c>
      <c r="T12" s="1" t="s">
        <v>100</v>
      </c>
      <c r="U12" s="1" t="s">
        <v>36</v>
      </c>
      <c r="V12" s="1" t="str">
        <f>IF(TRIM(CLEAN(A12))="","",_xlfn.TEXTBEFORE(_xlfn.TEXTAFTER(A12,"Unit "),"-"))</f>
        <v>5</v>
      </c>
      <c r="W12" s="1" t="str">
        <f>IF(TRIM(CLEAN(A12))="","",_xlfn.TEXTBEFORE(_xlfn.TEXTAFTER(A12,"-"),"-"))</f>
        <v>18</v>
      </c>
      <c r="X12" s="1" t="str">
        <f>IF(TRIM(CLEAN(A12))="","",_xlfn.TEXTAFTER(A12,"-",-1))</f>
        <v>0117</v>
      </c>
      <c r="Y12" s="52" t="s">
        <v>101</v>
      </c>
    </row>
    <row r="13" spans="1:25" x14ac:dyDescent="0.3">
      <c r="A13" s="4" t="s">
        <v>92</v>
      </c>
      <c r="B13" s="1" t="s">
        <v>5</v>
      </c>
      <c r="C13" s="3">
        <v>46071</v>
      </c>
      <c r="D13" s="3">
        <v>46081</v>
      </c>
      <c r="E13" s="1">
        <f ca="1">IF(DMRB5[[#This Row],[Move_out ]]="","",TODAY()-DMRB5[[#This Row],[Move_out ]])</f>
        <v>26</v>
      </c>
      <c r="F13" s="2">
        <v>46113</v>
      </c>
      <c r="G13" s="1">
        <f ca="1">IF(DMRB5[[#This Row],[Move_in]]="","",TODAY()-DMRB5[[#This Row],[Move_in]])</f>
        <v>-16</v>
      </c>
      <c r="H1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13" s="3">
        <f>IF(DMRB5[[#This Row],[Move_out ]]="","",
IF(OR(DMRB5[[#This Row],[Insp_status ]]="In Progress",DMRB5[[#This Row],[Insp_status ]]="Done",
DMRB5[[#This Row],[Insp_status ]]="Scheduled"),
WORKDAY(DMRB5[[#This Row],[Move_out ]],1),
""))</f>
        <v>46072</v>
      </c>
      <c r="J13" s="1" t="s">
        <v>0</v>
      </c>
      <c r="K13" s="3">
        <f>IF(DMRB5[[#This Row],[Move_out ]]="","",
IF(OR(DMRB5[[#This Row],[Paint_status]]="In Progress",DMRB5[[#This Row],[Paint_status]]="Done",
DMRB5[[#This Row],[Paint_status]]="Scheduled"),
WORKDAY(DMRB5[[#This Row],[Move_out ]],2),
""))</f>
        <v>46073</v>
      </c>
      <c r="L13" s="1" t="s">
        <v>3</v>
      </c>
      <c r="M13" s="3">
        <f>IF(DMRB5[[#This Row],[Move_out ]]="","",
IF(OR(DMRB5[[#This Row],[MR_Status]]="In Progress",DMRB5[[#This Row],[MR_Status]]="Done",
DMRB5[[#This Row],[MR_Status]]="Scheduled"),
WORKDAY(DMRB5[[#This Row],[Move_out ]],3),
""))</f>
        <v>46076</v>
      </c>
      <c r="N13" s="3" t="s">
        <v>3</v>
      </c>
      <c r="O13" s="3">
        <f>IF(DMRB5[[#This Row],[Move_out ]]="","",
IF(OR(DMRB5[[#This Row],[HK_Status]]="In Progress",DMRB5[[#This Row],[HK_Status]]="Done",
DMRB5[[#This Row],[HK_Status]]="Scheduled"),
WORKDAY(DMRB5[[#This Row],[Move_out ]],6),
""))</f>
        <v>46079</v>
      </c>
      <c r="P13" s="1" t="s">
        <v>3</v>
      </c>
      <c r="Q13" s="3">
        <f>IF(DMRB5[[#This Row],[Move_out ]]="","",
IF(OR(DMRB5[[#This Row],[CC_status]]="In Progress",DMRB5[[#This Row],[CC_status]]="Done",
DMRB5[[#This Row],[CC_status]]="Scheduled"),
WORKDAY(DMRB5[[#This Row],[Move_out ]],7),
""))</f>
        <v>46080</v>
      </c>
      <c r="R13" s="3" t="s">
        <v>3</v>
      </c>
      <c r="S13" s="2" t="s">
        <v>2</v>
      </c>
      <c r="T13" s="1" t="s">
        <v>43</v>
      </c>
      <c r="U13" s="1" t="s">
        <v>36</v>
      </c>
      <c r="V13" s="1" t="str">
        <f>IF(TRIM(CLEAN(A13))="","",_xlfn.TEXTBEFORE(_xlfn.TEXTAFTER(A13,"Unit "),"-"))</f>
        <v>5</v>
      </c>
      <c r="W13" s="1" t="str">
        <f>IF(TRIM(CLEAN(A13))="","",_xlfn.TEXTBEFORE(_xlfn.TEXTAFTER(A13,"-"),"-"))</f>
        <v>03</v>
      </c>
      <c r="X13" s="1" t="str">
        <f>IF(TRIM(CLEAN(A13))="","",_xlfn.TEXTAFTER(A13,"-",-1))</f>
        <v>0227</v>
      </c>
      <c r="Y13" s="52" t="s">
        <v>101</v>
      </c>
    </row>
    <row r="14" spans="1:25" x14ac:dyDescent="0.3">
      <c r="A14" s="88" t="s">
        <v>163</v>
      </c>
      <c r="B14" s="1" t="s">
        <v>34</v>
      </c>
      <c r="C14" s="3">
        <v>46103</v>
      </c>
      <c r="D14" s="3">
        <v>46114</v>
      </c>
      <c r="E14" s="1">
        <f ca="1">IF(DMRB5[[#This Row],[Move_out ]]="","",TODAY()-DMRB5[[#This Row],[Move_out ]])</f>
        <v>-6</v>
      </c>
      <c r="F14" s="2">
        <v>46115</v>
      </c>
      <c r="G14" s="1">
        <f ca="1">IF(DMRB5[[#This Row],[Move_in]]="","",TODAY()-DMRB5[[#This Row],[Move_in]])</f>
        <v>-18</v>
      </c>
      <c r="H1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1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4" s="1" t="s">
        <v>38</v>
      </c>
      <c r="K1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4" s="1" t="s">
        <v>38</v>
      </c>
      <c r="M1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4" s="1" t="s">
        <v>38</v>
      </c>
      <c r="O1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4" s="1" t="s">
        <v>38</v>
      </c>
      <c r="Q1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4" s="1" t="s">
        <v>38</v>
      </c>
      <c r="S14" s="2" t="s">
        <v>39</v>
      </c>
      <c r="U14" s="1" t="s">
        <v>36</v>
      </c>
      <c r="V14" s="1" t="str">
        <f>IF(TRIM(CLEAN(A14))="","",_xlfn.TEXTBEFORE(_xlfn.TEXTAFTER(A14,"Unit "),"-"))</f>
        <v>7</v>
      </c>
      <c r="W14" s="1" t="str">
        <f>IF(TRIM(CLEAN(A14))="","",_xlfn.TEXTBEFORE(_xlfn.TEXTAFTER(A14,"-"),"-"))</f>
        <v>03</v>
      </c>
      <c r="X14" s="1" t="str">
        <f>IF(TRIM(CLEAN(A14))="","",_xlfn.TEXTAFTER(A14,"-",-1))</f>
        <v>0218</v>
      </c>
    </row>
    <row r="15" spans="1:25" x14ac:dyDescent="0.3">
      <c r="A15" s="88" t="s">
        <v>165</v>
      </c>
      <c r="B15" s="1" t="s">
        <v>34</v>
      </c>
      <c r="C15" s="3">
        <v>46103</v>
      </c>
      <c r="D15" s="3">
        <v>46114</v>
      </c>
      <c r="E15" s="1">
        <f ca="1">IF(DMRB5[[#This Row],[Move_out ]]="","",TODAY()-DMRB5[[#This Row],[Move_out ]])</f>
        <v>-6</v>
      </c>
      <c r="F15" s="2">
        <v>46116</v>
      </c>
      <c r="G15" s="1">
        <f ca="1">IF(DMRB5[[#This Row],[Move_in]]="","",TODAY()-DMRB5[[#This Row],[Move_in]])</f>
        <v>-19</v>
      </c>
      <c r="H1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1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5" s="1" t="s">
        <v>38</v>
      </c>
      <c r="K1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5" s="1" t="s">
        <v>38</v>
      </c>
      <c r="M1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5" s="1" t="s">
        <v>38</v>
      </c>
      <c r="O1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5" s="1" t="s">
        <v>38</v>
      </c>
      <c r="Q1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5" s="1" t="s">
        <v>38</v>
      </c>
      <c r="S15" s="2" t="s">
        <v>42</v>
      </c>
      <c r="U15" s="1" t="s">
        <v>36</v>
      </c>
      <c r="V15" s="1" t="str">
        <f>IF(TRIM(CLEAN(A15))="","",_xlfn.TEXTBEFORE(_xlfn.TEXTAFTER(A15,"Unit "),"-"))</f>
        <v>8</v>
      </c>
      <c r="W15" s="1" t="str">
        <f>IF(TRIM(CLEAN(A15))="","",_xlfn.TEXTBEFORE(_xlfn.TEXTAFTER(A15,"-"),"-"))</f>
        <v>01</v>
      </c>
      <c r="X15" s="1" t="str">
        <f>IF(TRIM(CLEAN(A15))="","",_xlfn.TEXTAFTER(A15,"-",-1))</f>
        <v>2074</v>
      </c>
    </row>
    <row r="16" spans="1:25" x14ac:dyDescent="0.3">
      <c r="A16" s="88" t="s">
        <v>164</v>
      </c>
      <c r="B16" s="1" t="s">
        <v>34</v>
      </c>
      <c r="C16" s="3">
        <v>46103</v>
      </c>
      <c r="D16" s="3">
        <v>46114</v>
      </c>
      <c r="E16" s="1">
        <f ca="1">IF(DMRB5[[#This Row],[Move_out ]]="","",TODAY()-DMRB5[[#This Row],[Move_out ]])</f>
        <v>-6</v>
      </c>
      <c r="F16" s="2">
        <v>46116</v>
      </c>
      <c r="G16" s="1">
        <f ca="1">IF(DMRB5[[#This Row],[Move_in]]="","",TODAY()-DMRB5[[#This Row],[Move_in]])</f>
        <v>-19</v>
      </c>
      <c r="H1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1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6" s="1" t="s">
        <v>38</v>
      </c>
      <c r="K1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6" s="1" t="s">
        <v>38</v>
      </c>
      <c r="M1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6" s="1" t="s">
        <v>38</v>
      </c>
      <c r="O1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6" s="1" t="s">
        <v>38</v>
      </c>
      <c r="Q1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6" s="1" t="s">
        <v>38</v>
      </c>
      <c r="S16" s="2" t="s">
        <v>39</v>
      </c>
      <c r="U16" s="1" t="s">
        <v>36</v>
      </c>
      <c r="V16" s="1" t="str">
        <f>IF(TRIM(CLEAN(A16))="","",_xlfn.TEXTBEFORE(_xlfn.TEXTAFTER(A16,"Unit "),"-"))</f>
        <v>7</v>
      </c>
      <c r="W16" s="1" t="str">
        <f>IF(TRIM(CLEAN(A16))="","",_xlfn.TEXTBEFORE(_xlfn.TEXTAFTER(A16,"-"),"-"))</f>
        <v>07</v>
      </c>
      <c r="X16" s="1" t="str">
        <f>IF(TRIM(CLEAN(A16))="","",_xlfn.TEXTAFTER(A16,"-",-1))</f>
        <v>0208</v>
      </c>
    </row>
    <row r="17" spans="1:24" x14ac:dyDescent="0.3">
      <c r="A17" s="88" t="s">
        <v>166</v>
      </c>
      <c r="B17" s="1" t="s">
        <v>34</v>
      </c>
      <c r="C17" s="3">
        <v>46103</v>
      </c>
      <c r="D17" s="3">
        <v>46114</v>
      </c>
      <c r="E17" s="1">
        <f ca="1">IF(DMRB5[[#This Row],[Move_out ]]="","",TODAY()-DMRB5[[#This Row],[Move_out ]])</f>
        <v>-6</v>
      </c>
      <c r="F17" s="2">
        <v>46121</v>
      </c>
      <c r="G17" s="1">
        <f ca="1">IF(DMRB5[[#This Row],[Move_in]]="","",TODAY()-DMRB5[[#This Row],[Move_in]])</f>
        <v>-24</v>
      </c>
      <c r="H1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1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7" s="1" t="s">
        <v>38</v>
      </c>
      <c r="K1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7" s="1" t="s">
        <v>38</v>
      </c>
      <c r="M1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7" s="1" t="s">
        <v>38</v>
      </c>
      <c r="O1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7" s="1" t="s">
        <v>38</v>
      </c>
      <c r="Q1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7" s="1" t="s">
        <v>38</v>
      </c>
      <c r="S17" s="2" t="s">
        <v>2</v>
      </c>
      <c r="U17" s="1" t="s">
        <v>36</v>
      </c>
      <c r="V17" s="1" t="str">
        <f>IF(TRIM(CLEAN(A17))="","",_xlfn.TEXTBEFORE(_xlfn.TEXTAFTER(A17,"Unit "),"-"))</f>
        <v>5</v>
      </c>
      <c r="W17" s="1" t="str">
        <f>IF(TRIM(CLEAN(A17))="","",_xlfn.TEXTBEFORE(_xlfn.TEXTAFTER(A17,"-"),"-"))</f>
        <v>13</v>
      </c>
      <c r="X17" s="1" t="str">
        <f>IF(TRIM(CLEAN(A17))="","",_xlfn.TEXTAFTER(A17,"-",-1))</f>
        <v>0306</v>
      </c>
    </row>
    <row r="18" spans="1:24" x14ac:dyDescent="0.3">
      <c r="A18" s="74" t="s">
        <v>119</v>
      </c>
      <c r="B18" s="1" t="s">
        <v>34</v>
      </c>
      <c r="C18" s="3">
        <v>46107</v>
      </c>
      <c r="D18" s="75">
        <v>46118</v>
      </c>
      <c r="E18" s="1">
        <f ca="1">IF(DMRB5[[#This Row],[Move_out ]]="","",TODAY()-DMRB5[[#This Row],[Move_out ]])</f>
        <v>-10</v>
      </c>
      <c r="F18" s="2">
        <v>46122</v>
      </c>
      <c r="G18" s="1">
        <f ca="1">IF(DMRB5[[#This Row],[Move_in]]="","",TODAY()-DMRB5[[#This Row],[Move_in]])</f>
        <v>-25</v>
      </c>
      <c r="H1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1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8" s="1" t="s">
        <v>38</v>
      </c>
      <c r="K1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8" s="1" t="s">
        <v>38</v>
      </c>
      <c r="M1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8" s="1" t="s">
        <v>38</v>
      </c>
      <c r="O1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8" s="1" t="s">
        <v>38</v>
      </c>
      <c r="Q1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8" s="1" t="s">
        <v>38</v>
      </c>
      <c r="S18" s="2" t="s">
        <v>2</v>
      </c>
      <c r="U18" s="1" t="s">
        <v>36</v>
      </c>
      <c r="V18" s="1" t="str">
        <f>IF(TRIM(CLEAN(A18))="","",_xlfn.TEXTBEFORE(_xlfn.TEXTAFTER(A18,"Unit "),"-"))</f>
        <v>5</v>
      </c>
      <c r="W18" s="1" t="str">
        <f>IF(TRIM(CLEAN(A18))="","",_xlfn.TEXTBEFORE(_xlfn.TEXTAFTER(A18,"-"),"-"))</f>
        <v>03</v>
      </c>
      <c r="X18" s="1" t="str">
        <f>IF(TRIM(CLEAN(A18))="","",_xlfn.TEXTAFTER(A18,"-",-1))</f>
        <v>0427</v>
      </c>
    </row>
    <row r="19" spans="1:24" x14ac:dyDescent="0.3">
      <c r="A19" s="88" t="s">
        <v>141</v>
      </c>
      <c r="B19" s="1" t="s">
        <v>34</v>
      </c>
      <c r="C19" s="3">
        <v>46108</v>
      </c>
      <c r="D19" s="3">
        <v>46122</v>
      </c>
      <c r="E19" s="1">
        <f ca="1">IF(DMRB5[[#This Row],[Move_out ]]="","",TODAY()-DMRB5[[#This Row],[Move_out ]])</f>
        <v>-11</v>
      </c>
      <c r="F19" s="2">
        <v>46122</v>
      </c>
      <c r="G19" s="1">
        <f ca="1">IF(DMRB5[[#This Row],[Move_in]]="","",TODAY()-DMRB5[[#This Row],[Move_in]])</f>
        <v>-25</v>
      </c>
      <c r="H1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1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9" s="1" t="s">
        <v>38</v>
      </c>
      <c r="K1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9" s="1" t="s">
        <v>38</v>
      </c>
      <c r="M1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9" s="1" t="s">
        <v>38</v>
      </c>
      <c r="O1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9" s="1" t="s">
        <v>38</v>
      </c>
      <c r="Q1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9" s="1" t="s">
        <v>38</v>
      </c>
      <c r="S19" s="2" t="s">
        <v>2</v>
      </c>
      <c r="U19" s="1" t="s">
        <v>36</v>
      </c>
      <c r="V19" s="1" t="str">
        <f>IF(TRIM(CLEAN(A19))="","",_xlfn.TEXTBEFORE(_xlfn.TEXTAFTER(A19,"Unit "),"-"))</f>
        <v>5</v>
      </c>
      <c r="W19" s="1" t="str">
        <f>IF(TRIM(CLEAN(A19))="","",_xlfn.TEXTBEFORE(_xlfn.TEXTAFTER(A19,"-"),"-"))</f>
        <v>18</v>
      </c>
      <c r="X19" s="1" t="str">
        <f>IF(TRIM(CLEAN(A19))="","",_xlfn.TEXTAFTER(A19,"-",-1))</f>
        <v>0234</v>
      </c>
    </row>
    <row r="20" spans="1:24" x14ac:dyDescent="0.3">
      <c r="A20" s="88" t="s">
        <v>167</v>
      </c>
      <c r="B20" s="1" t="s">
        <v>34</v>
      </c>
      <c r="C20" s="3">
        <v>46103</v>
      </c>
      <c r="D20" s="3">
        <v>46114</v>
      </c>
      <c r="E20" s="1">
        <f ca="1">IF(DMRB5[[#This Row],[Move_out ]]="","",TODAY()-DMRB5[[#This Row],[Move_out ]])</f>
        <v>-6</v>
      </c>
      <c r="F20" s="2">
        <v>46123</v>
      </c>
      <c r="G20" s="1">
        <f ca="1">IF(DMRB5[[#This Row],[Move_in]]="","",TODAY()-DMRB5[[#This Row],[Move_in]])</f>
        <v>-26</v>
      </c>
      <c r="H2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0" s="1" t="s">
        <v>38</v>
      </c>
      <c r="K2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0" s="1" t="s">
        <v>38</v>
      </c>
      <c r="M2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0" s="1" t="s">
        <v>38</v>
      </c>
      <c r="O2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0" s="1" t="s">
        <v>38</v>
      </c>
      <c r="Q2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0" s="1" t="s">
        <v>38</v>
      </c>
      <c r="S20" s="2" t="s">
        <v>39</v>
      </c>
      <c r="U20" s="1" t="s">
        <v>36</v>
      </c>
      <c r="V20" s="1" t="str">
        <f>IF(TRIM(CLEAN(A20))="","",_xlfn.TEXTBEFORE(_xlfn.TEXTAFTER(A20,"Unit "),"-"))</f>
        <v>7</v>
      </c>
      <c r="W20" s="1" t="str">
        <f>IF(TRIM(CLEAN(A20))="","",_xlfn.TEXTBEFORE(_xlfn.TEXTAFTER(A20,"-"),"-"))</f>
        <v>11</v>
      </c>
      <c r="X20" s="1" t="str">
        <f>IF(TRIM(CLEAN(A20))="","",_xlfn.TEXTAFTER(A20,"-",-1))</f>
        <v>0411</v>
      </c>
    </row>
    <row r="21" spans="1:24" x14ac:dyDescent="0.3">
      <c r="A21" s="74" t="s">
        <v>120</v>
      </c>
      <c r="B21" s="1" t="s">
        <v>34</v>
      </c>
      <c r="C21" s="3">
        <v>46110</v>
      </c>
      <c r="D21" s="75">
        <v>46121</v>
      </c>
      <c r="E21" s="1">
        <f ca="1">IF(DMRB5[[#This Row],[Move_out ]]="","",TODAY()-DMRB5[[#This Row],[Move_out ]])</f>
        <v>-13</v>
      </c>
      <c r="F21" s="2">
        <v>46123</v>
      </c>
      <c r="G21" s="1">
        <f ca="1">IF(DMRB5[[#This Row],[Move_in]]="","",TODAY()-DMRB5[[#This Row],[Move_in]])</f>
        <v>-26</v>
      </c>
      <c r="H2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1" s="1" t="s">
        <v>38</v>
      </c>
      <c r="K2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1" s="1" t="s">
        <v>38</v>
      </c>
      <c r="M2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1" s="1" t="s">
        <v>38</v>
      </c>
      <c r="O2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1" s="1" t="s">
        <v>38</v>
      </c>
      <c r="Q2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1" s="1" t="s">
        <v>38</v>
      </c>
      <c r="S21" s="2" t="s">
        <v>2</v>
      </c>
      <c r="U21" s="1" t="s">
        <v>36</v>
      </c>
      <c r="V21" s="1" t="str">
        <f>IF(TRIM(CLEAN(A21))="","",_xlfn.TEXTBEFORE(_xlfn.TEXTAFTER(A21,"Unit "),"-"))</f>
        <v>5</v>
      </c>
      <c r="W21" s="1" t="str">
        <f>IF(TRIM(CLEAN(A21))="","",_xlfn.TEXTBEFORE(_xlfn.TEXTAFTER(A21,"-"),"-"))</f>
        <v>02</v>
      </c>
      <c r="X21" s="1" t="str">
        <f>IF(TRIM(CLEAN(A21))="","",_xlfn.TEXTAFTER(A21,"-",-1))</f>
        <v>0305</v>
      </c>
    </row>
    <row r="22" spans="1:24" x14ac:dyDescent="0.3">
      <c r="A22" s="94" t="s">
        <v>185</v>
      </c>
      <c r="B22" s="1" t="s">
        <v>34</v>
      </c>
      <c r="C22" s="3">
        <v>46111</v>
      </c>
      <c r="D22" s="3">
        <v>46123</v>
      </c>
      <c r="E22" s="1">
        <f ca="1">IF(DMRB5[[#This Row],[Move_out ]]="","",TODAY()-DMRB5[[#This Row],[Move_out ]])</f>
        <v>-14</v>
      </c>
      <c r="F22" s="90">
        <v>46123</v>
      </c>
      <c r="G22" s="1">
        <f ca="1">IF(DMRB5[[#This Row],[Move_in]]="","",TODAY()-DMRB5[[#This Row],[Move_in]])</f>
        <v>-26</v>
      </c>
      <c r="H2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2" s="1" t="s">
        <v>38</v>
      </c>
      <c r="K2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2" s="1" t="s">
        <v>38</v>
      </c>
      <c r="M2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2" s="1" t="s">
        <v>38</v>
      </c>
      <c r="O2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2" s="1" t="s">
        <v>38</v>
      </c>
      <c r="Q2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2" s="1" t="s">
        <v>38</v>
      </c>
      <c r="S22" s="2" t="s">
        <v>2</v>
      </c>
      <c r="U22" s="1" t="s">
        <v>36</v>
      </c>
      <c r="V22" s="1" t="str">
        <f>IF(TRIM(CLEAN(A22))="","",_xlfn.TEXTBEFORE(_xlfn.TEXTAFTER(A22,"Unit "),"-"))</f>
        <v>5</v>
      </c>
      <c r="W22" s="1" t="str">
        <f>IF(TRIM(CLEAN(A22))="","",_xlfn.TEXTBEFORE(_xlfn.TEXTAFTER(A22,"-"),"-"))</f>
        <v>14</v>
      </c>
      <c r="X22" s="1" t="str">
        <f>IF(TRIM(CLEAN(A22))="","",_xlfn.TEXTAFTER(A22,"-",-1))</f>
        <v>0206</v>
      </c>
    </row>
    <row r="23" spans="1:24" x14ac:dyDescent="0.3">
      <c r="A23" s="88" t="s">
        <v>140</v>
      </c>
      <c r="B23" s="1" t="s">
        <v>34</v>
      </c>
      <c r="C23" s="3">
        <v>46107</v>
      </c>
      <c r="D23" s="3">
        <v>46121</v>
      </c>
      <c r="E23" s="1">
        <f ca="1">IF(DMRB5[[#This Row],[Move_out ]]="","",TODAY()-DMRB5[[#This Row],[Move_out ]])</f>
        <v>-10</v>
      </c>
      <c r="F23" s="2">
        <v>46129</v>
      </c>
      <c r="G23" s="1">
        <f ca="1">IF(DMRB5[[#This Row],[Move_in]]="","",TODAY()-DMRB5[[#This Row],[Move_in]])</f>
        <v>-32</v>
      </c>
      <c r="H2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3" s="1" t="s">
        <v>38</v>
      </c>
      <c r="K2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3" s="1" t="s">
        <v>38</v>
      </c>
      <c r="M2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3" s="1" t="s">
        <v>38</v>
      </c>
      <c r="O2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3" s="1" t="s">
        <v>38</v>
      </c>
      <c r="Q2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3" s="1" t="s">
        <v>38</v>
      </c>
      <c r="S23" s="2" t="s">
        <v>2</v>
      </c>
      <c r="U23" s="1" t="s">
        <v>36</v>
      </c>
      <c r="V23" s="1" t="str">
        <f>IF(TRIM(CLEAN(A23))="","",_xlfn.TEXTBEFORE(_xlfn.TEXTAFTER(A23,"Unit "),"-"))</f>
        <v>5</v>
      </c>
      <c r="W23" s="1" t="str">
        <f>IF(TRIM(CLEAN(A23))="","",_xlfn.TEXTBEFORE(_xlfn.TEXTAFTER(A23,"-"),"-"))</f>
        <v>13</v>
      </c>
      <c r="X23" s="1" t="str">
        <f>IF(TRIM(CLEAN(A23))="","",_xlfn.TEXTAFTER(A23,"-",-1))</f>
        <v>0207</v>
      </c>
    </row>
    <row r="24" spans="1:24" x14ac:dyDescent="0.3">
      <c r="A24" s="88" t="s">
        <v>168</v>
      </c>
      <c r="B24" s="1" t="s">
        <v>34</v>
      </c>
      <c r="C24" s="3">
        <v>46103</v>
      </c>
      <c r="D24" s="3">
        <v>46114</v>
      </c>
      <c r="E24" s="1">
        <f ca="1">IF(DMRB5[[#This Row],[Move_out ]]="","",TODAY()-DMRB5[[#This Row],[Move_out ]])</f>
        <v>-6</v>
      </c>
      <c r="F24" s="2">
        <v>46130</v>
      </c>
      <c r="G24" s="1">
        <f ca="1">IF(DMRB5[[#This Row],[Move_in]]="","",TODAY()-DMRB5[[#This Row],[Move_in]])</f>
        <v>-33</v>
      </c>
      <c r="H2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4" s="1" t="s">
        <v>38</v>
      </c>
      <c r="K2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4" s="1" t="s">
        <v>38</v>
      </c>
      <c r="M2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4" s="1" t="s">
        <v>38</v>
      </c>
      <c r="O2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4" s="1" t="s">
        <v>38</v>
      </c>
      <c r="Q2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4" s="1" t="s">
        <v>38</v>
      </c>
      <c r="S24" s="2" t="s">
        <v>39</v>
      </c>
      <c r="U24" s="1" t="s">
        <v>36</v>
      </c>
      <c r="V24" s="1" t="str">
        <f>IF(TRIM(CLEAN(A24))="","",_xlfn.TEXTBEFORE(_xlfn.TEXTAFTER(A24,"Unit "),"-"))</f>
        <v>7</v>
      </c>
      <c r="W24" s="1" t="str">
        <f>IF(TRIM(CLEAN(A24))="","",_xlfn.TEXTBEFORE(_xlfn.TEXTAFTER(A24,"-"),"-"))</f>
        <v>07</v>
      </c>
      <c r="X24" s="1" t="str">
        <f>IF(TRIM(CLEAN(A24))="","",_xlfn.TEXTAFTER(A24,"-",-1))</f>
        <v>0109</v>
      </c>
    </row>
    <row r="25" spans="1:24" x14ac:dyDescent="0.3">
      <c r="A25" s="88" t="s">
        <v>150</v>
      </c>
      <c r="B25" s="1" t="s">
        <v>34</v>
      </c>
      <c r="C25" s="3">
        <v>46122</v>
      </c>
      <c r="D25" s="3">
        <v>46136</v>
      </c>
      <c r="E25" s="1">
        <f ca="1">IF(DMRB5[[#This Row],[Move_out ]]="","",TODAY()-DMRB5[[#This Row],[Move_out ]])</f>
        <v>-25</v>
      </c>
      <c r="F25" s="2">
        <v>46136</v>
      </c>
      <c r="G25" s="1">
        <f ca="1">IF(DMRB5[[#This Row],[Move_in]]="","",TODAY()-DMRB5[[#This Row],[Move_in]])</f>
        <v>-39</v>
      </c>
      <c r="H2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5" s="1" t="s">
        <v>38</v>
      </c>
      <c r="K2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5" s="1" t="s">
        <v>38</v>
      </c>
      <c r="M2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5" s="1" t="s">
        <v>38</v>
      </c>
      <c r="O2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5" s="1" t="s">
        <v>38</v>
      </c>
      <c r="Q2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5" s="1" t="s">
        <v>38</v>
      </c>
      <c r="S25" s="2" t="s">
        <v>2</v>
      </c>
      <c r="U25" s="1" t="s">
        <v>36</v>
      </c>
      <c r="V25" s="1" t="str">
        <f>IF(TRIM(CLEAN(A25))="","",_xlfn.TEXTBEFORE(_xlfn.TEXTAFTER(A25,"Unit "),"-"))</f>
        <v>5</v>
      </c>
      <c r="W25" s="1" t="str">
        <f>IF(TRIM(CLEAN(A25))="","",_xlfn.TEXTBEFORE(_xlfn.TEXTAFTER(A25,"-"),"-"))</f>
        <v>18</v>
      </c>
      <c r="X25" s="1" t="str">
        <f>IF(TRIM(CLEAN(A25))="","",_xlfn.TEXTAFTER(A25,"-",-1))</f>
        <v>0413</v>
      </c>
    </row>
    <row r="26" spans="1:24" x14ac:dyDescent="0.3">
      <c r="A26" s="96" t="s">
        <v>204</v>
      </c>
      <c r="B26" s="1" t="s">
        <v>34</v>
      </c>
      <c r="C26" s="3">
        <v>46122</v>
      </c>
      <c r="D26" s="3">
        <v>46136</v>
      </c>
      <c r="E26" s="1">
        <f ca="1">IF(DMRB5[[#This Row],[Move_out ]]="","",TODAY()-DMRB5[[#This Row],[Move_out ]])</f>
        <v>-25</v>
      </c>
      <c r="F26" s="90">
        <v>46136</v>
      </c>
      <c r="G26" s="1">
        <f ca="1">IF(DMRB5[[#This Row],[Move_in]]="","",TODAY()-DMRB5[[#This Row],[Move_in]])</f>
        <v>-39</v>
      </c>
      <c r="H2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6" s="1" t="s">
        <v>38</v>
      </c>
      <c r="K2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6" s="1" t="s">
        <v>38</v>
      </c>
      <c r="M2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6" s="1" t="s">
        <v>38</v>
      </c>
      <c r="O2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6" s="1" t="s">
        <v>38</v>
      </c>
      <c r="Q2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6" s="1" t="s">
        <v>38</v>
      </c>
      <c r="S26" s="90"/>
      <c r="U26" s="1" t="s">
        <v>36</v>
      </c>
      <c r="V26" s="1" t="str">
        <f>IF(TRIM(CLEAN(A26))="","",_xlfn.TEXTBEFORE(_xlfn.TEXTAFTER(A26,"Unit "),"-"))</f>
        <v>7</v>
      </c>
      <c r="W26" s="1" t="str">
        <f>IF(TRIM(CLEAN(A26))="","",_xlfn.TEXTBEFORE(_xlfn.TEXTAFTER(A26,"-"),"-"))</f>
        <v>11</v>
      </c>
      <c r="X26" s="1" t="str">
        <f>IF(TRIM(CLEAN(A26))="","",_xlfn.TEXTAFTER(A26,"-",-1))</f>
        <v>0213</v>
      </c>
    </row>
    <row r="27" spans="1:24" x14ac:dyDescent="0.3">
      <c r="A27" s="88" t="s">
        <v>169</v>
      </c>
      <c r="B27" s="1" t="s">
        <v>34</v>
      </c>
      <c r="C27" s="3">
        <v>46103</v>
      </c>
      <c r="D27" s="3">
        <v>46114</v>
      </c>
      <c r="E27" s="1">
        <f ca="1">IF(DMRB5[[#This Row],[Move_out ]]="","",TODAY()-DMRB5[[#This Row],[Move_out ]])</f>
        <v>-6</v>
      </c>
      <c r="F27" s="2">
        <v>46137</v>
      </c>
      <c r="G27" s="1">
        <f ca="1">IF(DMRB5[[#This Row],[Move_in]]="","",TODAY()-DMRB5[[#This Row],[Move_in]])</f>
        <v>-40</v>
      </c>
      <c r="H2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7" s="1" t="s">
        <v>38</v>
      </c>
      <c r="K2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7" s="1" t="s">
        <v>38</v>
      </c>
      <c r="M2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7" s="1" t="s">
        <v>38</v>
      </c>
      <c r="O2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7" s="1" t="s">
        <v>38</v>
      </c>
      <c r="Q2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7" s="1" t="s">
        <v>38</v>
      </c>
      <c r="S27" s="2" t="s">
        <v>2</v>
      </c>
      <c r="U27" s="1" t="s">
        <v>36</v>
      </c>
      <c r="V27" s="1" t="str">
        <f>IF(TRIM(CLEAN(A27))="","",_xlfn.TEXTBEFORE(_xlfn.TEXTAFTER(A27,"Unit "),"-"))</f>
        <v>5</v>
      </c>
      <c r="W27" s="1" t="str">
        <f>IF(TRIM(CLEAN(A27))="","",_xlfn.TEXTBEFORE(_xlfn.TEXTAFTER(A27,"-"),"-"))</f>
        <v>15</v>
      </c>
      <c r="X27" s="1" t="str">
        <f>IF(TRIM(CLEAN(A27))="","",_xlfn.TEXTAFTER(A27,"-",-1))</f>
        <v>0204</v>
      </c>
    </row>
    <row r="28" spans="1:24" x14ac:dyDescent="0.3">
      <c r="A28" s="93" t="s">
        <v>181</v>
      </c>
      <c r="B28" s="1" t="s">
        <v>34</v>
      </c>
      <c r="C28" s="3">
        <v>46125</v>
      </c>
      <c r="D28" s="3">
        <v>46137</v>
      </c>
      <c r="E28" s="1">
        <f ca="1">IF(DMRB5[[#This Row],[Move_out ]]="","",TODAY()-DMRB5[[#This Row],[Move_out ]])</f>
        <v>-28</v>
      </c>
      <c r="F28" s="90">
        <v>46137</v>
      </c>
      <c r="G28" s="1">
        <f ca="1">IF(DMRB5[[#This Row],[Move_in]]="","",TODAY()-DMRB5[[#This Row],[Move_in]])</f>
        <v>-40</v>
      </c>
      <c r="H2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8" s="1" t="s">
        <v>38</v>
      </c>
      <c r="K2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8" s="1" t="s">
        <v>38</v>
      </c>
      <c r="M2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8" s="1" t="s">
        <v>38</v>
      </c>
      <c r="O2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8" s="1" t="s">
        <v>38</v>
      </c>
      <c r="Q2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8" s="1" t="s">
        <v>38</v>
      </c>
      <c r="S28" s="90"/>
      <c r="U28" s="1" t="s">
        <v>36</v>
      </c>
      <c r="V28" s="1" t="str">
        <f>IF(TRIM(CLEAN(A28))="","",_xlfn.TEXTBEFORE(_xlfn.TEXTAFTER(A28,"Unit "),"-"))</f>
        <v>7</v>
      </c>
      <c r="W28" s="1" t="str">
        <f>IF(TRIM(CLEAN(A28))="","",_xlfn.TEXTBEFORE(_xlfn.TEXTAFTER(A28,"-"),"-"))</f>
        <v>07</v>
      </c>
      <c r="X28" s="1" t="str">
        <f>IF(TRIM(CLEAN(A28))="","",_xlfn.TEXTAFTER(A28,"-",-1))</f>
        <v>0203</v>
      </c>
    </row>
    <row r="29" spans="1:24" x14ac:dyDescent="0.3">
      <c r="A29" s="88" t="s">
        <v>152</v>
      </c>
      <c r="B29" s="1" t="s">
        <v>34</v>
      </c>
      <c r="C29" s="3">
        <v>46123</v>
      </c>
      <c r="D29" s="3">
        <v>46137</v>
      </c>
      <c r="E29" s="1">
        <f ca="1">IF(DMRB5[[#This Row],[Move_out ]]="","",TODAY()-DMRB5[[#This Row],[Move_out ]])</f>
        <v>-26</v>
      </c>
      <c r="F29" s="2">
        <v>46137</v>
      </c>
      <c r="G29" s="1">
        <f ca="1">IF(DMRB5[[#This Row],[Move_in]]="","",TODAY()-DMRB5[[#This Row],[Move_in]])</f>
        <v>-40</v>
      </c>
      <c r="H2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9" s="1" t="s">
        <v>38</v>
      </c>
      <c r="K2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9" s="1" t="s">
        <v>38</v>
      </c>
      <c r="M2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9" s="1" t="s">
        <v>38</v>
      </c>
      <c r="O2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9" s="1" t="s">
        <v>38</v>
      </c>
      <c r="Q2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9" s="1" t="s">
        <v>38</v>
      </c>
      <c r="S29" s="2" t="s">
        <v>42</v>
      </c>
      <c r="U29" s="1" t="s">
        <v>36</v>
      </c>
      <c r="V29" s="1" t="str">
        <f>IF(TRIM(CLEAN(A29))="","",_xlfn.TEXTBEFORE(_xlfn.TEXTAFTER(A29,"Unit "),"-"))</f>
        <v>8</v>
      </c>
      <c r="W29" s="1" t="str">
        <f>IF(TRIM(CLEAN(A29))="","",_xlfn.TEXTBEFORE(_xlfn.TEXTAFTER(A29,"-"),"-"))</f>
        <v>01</v>
      </c>
      <c r="X29" s="1" t="str">
        <f>IF(TRIM(CLEAN(A29))="","",_xlfn.TEXTAFTER(A29,"-",-1))</f>
        <v>1119</v>
      </c>
    </row>
    <row r="30" spans="1:24" x14ac:dyDescent="0.3">
      <c r="A30" s="93" t="s">
        <v>179</v>
      </c>
      <c r="B30" s="1" t="s">
        <v>34</v>
      </c>
      <c r="C30" s="3">
        <v>46128</v>
      </c>
      <c r="D30" s="3">
        <v>46135</v>
      </c>
      <c r="E30" s="1">
        <f ca="1">IF(DMRB5[[#This Row],[Move_out ]]="","",TODAY()-DMRB5[[#This Row],[Move_out ]])</f>
        <v>-31</v>
      </c>
      <c r="F30" s="90">
        <v>46142</v>
      </c>
      <c r="G30" s="1">
        <f ca="1">IF(DMRB5[[#This Row],[Move_in]]="","",TODAY()-DMRB5[[#This Row],[Move_in]])</f>
        <v>-45</v>
      </c>
      <c r="H3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3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30" s="1" t="s">
        <v>38</v>
      </c>
      <c r="K3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30" s="1" t="s">
        <v>38</v>
      </c>
      <c r="M3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30" s="1" t="s">
        <v>38</v>
      </c>
      <c r="O3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30" s="1" t="s">
        <v>38</v>
      </c>
      <c r="Q3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30" s="1" t="s">
        <v>38</v>
      </c>
      <c r="S30" s="2" t="s">
        <v>2</v>
      </c>
      <c r="U30" s="1" t="s">
        <v>36</v>
      </c>
      <c r="V30" s="1" t="str">
        <f>IF(TRIM(CLEAN(A30))="","",_xlfn.TEXTBEFORE(_xlfn.TEXTAFTER(A30,"Unit "),"-"))</f>
        <v>5</v>
      </c>
      <c r="W30" s="1" t="str">
        <f>IF(TRIM(CLEAN(A30))="","",_xlfn.TEXTBEFORE(_xlfn.TEXTAFTER(A30,"-"),"-"))</f>
        <v>11</v>
      </c>
      <c r="X30" s="1" t="str">
        <f>IF(TRIM(CLEAN(A30))="","",_xlfn.TEXTAFTER(A30,"-",-1))</f>
        <v>0102</v>
      </c>
    </row>
    <row r="31" spans="1:24" x14ac:dyDescent="0.3">
      <c r="A31" s="99" t="s">
        <v>224</v>
      </c>
      <c r="B31" s="1" t="s">
        <v>34</v>
      </c>
      <c r="C31" s="3"/>
      <c r="D31" s="3"/>
      <c r="E31" s="1" t="str">
        <f ca="1">IF(DMRB5[[#This Row],[Move_out ]]="","",TODAY()-DMRB5[[#This Row],[Move_out ]])</f>
        <v/>
      </c>
      <c r="F31" s="90">
        <v>46143</v>
      </c>
      <c r="G31" s="1">
        <f ca="1">IF(DMRB5[[#This Row],[Move_in]]="","",TODAY()-DMRB5[[#This Row],[Move_in]])</f>
        <v>-46</v>
      </c>
      <c r="H3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/>
      </c>
      <c r="I3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3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3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3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3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31" s="90"/>
      <c r="V31" s="1" t="str">
        <f>IF(TRIM(CLEAN(A31))="","",_xlfn.TEXTBEFORE(_xlfn.TEXTAFTER(A31,"Unit "),"-"))</f>
        <v>8</v>
      </c>
      <c r="W31" s="1" t="str">
        <f>IF(TRIM(CLEAN(A31))="","",_xlfn.TEXTBEFORE(_xlfn.TEXTAFTER(A31,"-"),"-"))</f>
        <v>01</v>
      </c>
      <c r="X31" s="1" t="str">
        <f>IF(TRIM(CLEAN(A31))="","",_xlfn.TEXTAFTER(A31,"-",-1))</f>
        <v>1044</v>
      </c>
    </row>
    <row r="32" spans="1:24" x14ac:dyDescent="0.3">
      <c r="A32" s="88" t="s">
        <v>170</v>
      </c>
      <c r="B32" s="1" t="s">
        <v>34</v>
      </c>
      <c r="C32" s="3">
        <v>46103</v>
      </c>
      <c r="D32" s="3">
        <v>46114</v>
      </c>
      <c r="E32" s="1">
        <f ca="1">IF(DMRB5[[#This Row],[Move_out ]]="","",TODAY()-DMRB5[[#This Row],[Move_out ]])</f>
        <v>-6</v>
      </c>
      <c r="F32" s="2">
        <v>46144</v>
      </c>
      <c r="G32" s="1">
        <f ca="1">IF(DMRB5[[#This Row],[Move_in]]="","",TODAY()-DMRB5[[#This Row],[Move_in]])</f>
        <v>-47</v>
      </c>
      <c r="H3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3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32" s="1" t="s">
        <v>38</v>
      </c>
      <c r="K3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32" s="1" t="s">
        <v>38</v>
      </c>
      <c r="M3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32" s="1" t="s">
        <v>38</v>
      </c>
      <c r="O3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32" s="1" t="s">
        <v>38</v>
      </c>
      <c r="Q3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32" s="1" t="s">
        <v>38</v>
      </c>
      <c r="S32" s="2" t="s">
        <v>42</v>
      </c>
      <c r="U32" s="1" t="s">
        <v>36</v>
      </c>
      <c r="V32" s="1" t="str">
        <f>IF(TRIM(CLEAN(A32))="","",_xlfn.TEXTBEFORE(_xlfn.TEXTAFTER(A32,"Unit "),"-"))</f>
        <v>8</v>
      </c>
      <c r="W32" s="1" t="str">
        <f>IF(TRIM(CLEAN(A32))="","",_xlfn.TEXTBEFORE(_xlfn.TEXTAFTER(A32,"-"),"-"))</f>
        <v>01</v>
      </c>
      <c r="X32" s="1" t="str">
        <f>IF(TRIM(CLEAN(A32))="","",_xlfn.TEXTAFTER(A32,"-",-1))</f>
        <v>3082</v>
      </c>
    </row>
    <row r="33" spans="1:25" x14ac:dyDescent="0.3">
      <c r="A33" s="93" t="s">
        <v>180</v>
      </c>
      <c r="B33" s="1" t="s">
        <v>34</v>
      </c>
      <c r="C33" s="3">
        <v>46131</v>
      </c>
      <c r="D33" s="3">
        <v>46144</v>
      </c>
      <c r="E33" s="1">
        <f ca="1">IF(DMRB5[[#This Row],[Move_out ]]="","",TODAY()-DMRB5[[#This Row],[Move_out ]])</f>
        <v>-34</v>
      </c>
      <c r="F33" s="90">
        <v>46144</v>
      </c>
      <c r="G33" s="1">
        <f ca="1">IF(DMRB5[[#This Row],[Move_in]]="","",TODAY()-DMRB5[[#This Row],[Move_in]])</f>
        <v>-47</v>
      </c>
      <c r="H3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3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33" s="1" t="s">
        <v>38</v>
      </c>
      <c r="K3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33" s="1" t="s">
        <v>38</v>
      </c>
      <c r="M3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33" s="1" t="s">
        <v>38</v>
      </c>
      <c r="O3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33" s="1" t="s">
        <v>38</v>
      </c>
      <c r="Q3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33" s="1" t="s">
        <v>38</v>
      </c>
      <c r="S33" s="2" t="s">
        <v>2</v>
      </c>
      <c r="U33" s="1" t="s">
        <v>36</v>
      </c>
      <c r="V33" s="1" t="str">
        <f>IF(TRIM(CLEAN(A33))="","",_xlfn.TEXTBEFORE(_xlfn.TEXTAFTER(A33,"Unit "),"-"))</f>
        <v>5</v>
      </c>
      <c r="W33" s="1" t="str">
        <f>IF(TRIM(CLEAN(A33))="","",_xlfn.TEXTBEFORE(_xlfn.TEXTAFTER(A33,"-"),"-"))</f>
        <v>18</v>
      </c>
      <c r="X33" s="1" t="str">
        <f>IF(TRIM(CLEAN(A33))="","",_xlfn.TEXTAFTER(A33,"-",-1))</f>
        <v>0421</v>
      </c>
    </row>
    <row r="34" spans="1:25" x14ac:dyDescent="0.3">
      <c r="A34" s="93" t="s">
        <v>182</v>
      </c>
      <c r="B34" s="1" t="s">
        <v>34</v>
      </c>
      <c r="C34" s="3">
        <v>46132</v>
      </c>
      <c r="D34" s="3">
        <v>46144</v>
      </c>
      <c r="E34" s="1">
        <f ca="1">IF(DMRB5[[#This Row],[Move_out ]]="","",TODAY()-DMRB5[[#This Row],[Move_out ]])</f>
        <v>-35</v>
      </c>
      <c r="F34" s="90">
        <v>46144</v>
      </c>
      <c r="G34" s="1">
        <f ca="1">IF(DMRB5[[#This Row],[Move_in]]="","",TODAY()-DMRB5[[#This Row],[Move_in]])</f>
        <v>-47</v>
      </c>
      <c r="H3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3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34" s="1" t="s">
        <v>38</v>
      </c>
      <c r="K3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34" s="1" t="s">
        <v>38</v>
      </c>
      <c r="M3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34" s="1" t="s">
        <v>38</v>
      </c>
      <c r="O3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34" s="1" t="s">
        <v>38</v>
      </c>
      <c r="Q3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34" s="1" t="s">
        <v>38</v>
      </c>
      <c r="S34" s="90"/>
      <c r="U34" s="1" t="s">
        <v>36</v>
      </c>
      <c r="V34" s="1" t="str">
        <f>IF(TRIM(CLEAN(A34))="","",_xlfn.TEXTBEFORE(_xlfn.TEXTAFTER(A34,"Unit "),"-"))</f>
        <v>7</v>
      </c>
      <c r="W34" s="1" t="str">
        <f>IF(TRIM(CLEAN(A34))="","",_xlfn.TEXTBEFORE(_xlfn.TEXTAFTER(A34,"-"),"-"))</f>
        <v>08</v>
      </c>
      <c r="X34" s="1" t="str">
        <f>IF(TRIM(CLEAN(A34))="","",_xlfn.TEXTAFTER(A34,"-",-1))</f>
        <v>0208</v>
      </c>
    </row>
    <row r="35" spans="1:25" x14ac:dyDescent="0.3">
      <c r="A35" s="95" t="s">
        <v>197</v>
      </c>
      <c r="B35" s="1" t="s">
        <v>34</v>
      </c>
      <c r="C35" s="3">
        <v>46139</v>
      </c>
      <c r="D35" s="3">
        <v>46151</v>
      </c>
      <c r="E35" s="1">
        <f ca="1">IF(DMRB5[[#This Row],[Move_out ]]="","",TODAY()-DMRB5[[#This Row],[Move_out ]])</f>
        <v>-42</v>
      </c>
      <c r="F35" s="90">
        <v>46151</v>
      </c>
      <c r="G35" s="1">
        <f ca="1">IF(DMRB5[[#This Row],[Move_in]]="","",TODAY()-DMRB5[[#This Row],[Move_in]])</f>
        <v>-54</v>
      </c>
      <c r="H3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3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35" s="1" t="s">
        <v>38</v>
      </c>
      <c r="K3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35" s="1" t="s">
        <v>38</v>
      </c>
      <c r="M3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35" s="1" t="s">
        <v>38</v>
      </c>
      <c r="O3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35" s="1" t="s">
        <v>38</v>
      </c>
      <c r="Q3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35" s="1" t="s">
        <v>38</v>
      </c>
      <c r="S35" s="2" t="s">
        <v>2</v>
      </c>
      <c r="U35" s="1" t="s">
        <v>36</v>
      </c>
      <c r="V35" s="1" t="str">
        <f>IF(TRIM(CLEAN(A35))="","",_xlfn.TEXTBEFORE(_xlfn.TEXTAFTER(A35,"Unit "),"-"))</f>
        <v>5</v>
      </c>
      <c r="W35" s="1" t="str">
        <f>IF(TRIM(CLEAN(A35))="","",_xlfn.TEXTBEFORE(_xlfn.TEXTAFTER(A35,"-"),"-"))</f>
        <v>16</v>
      </c>
      <c r="X35" s="1" t="str">
        <f>IF(TRIM(CLEAN(A35))="","",_xlfn.TEXTAFTER(A35,"-",-1))</f>
        <v>0201</v>
      </c>
    </row>
    <row r="36" spans="1:25" x14ac:dyDescent="0.3">
      <c r="A36" s="88" t="s">
        <v>171</v>
      </c>
      <c r="B36" s="1" t="s">
        <v>34</v>
      </c>
      <c r="C36" s="3">
        <v>46103</v>
      </c>
      <c r="D36" s="3">
        <v>46114</v>
      </c>
      <c r="E36" s="1">
        <f ca="1">IF(DMRB5[[#This Row],[Move_out ]]="","",TODAY()-DMRB5[[#This Row],[Move_out ]])</f>
        <v>-6</v>
      </c>
      <c r="F36" s="2">
        <v>46158</v>
      </c>
      <c r="G36" s="1">
        <f ca="1">IF(DMRB5[[#This Row],[Move_in]]="","",TODAY()-DMRB5[[#This Row],[Move_in]])</f>
        <v>-61</v>
      </c>
      <c r="H3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3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36" s="1" t="s">
        <v>38</v>
      </c>
      <c r="K3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36" s="1" t="s">
        <v>38</v>
      </c>
      <c r="M3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36" s="1" t="s">
        <v>38</v>
      </c>
      <c r="O3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36" s="1" t="s">
        <v>38</v>
      </c>
      <c r="Q3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36" s="1" t="s">
        <v>38</v>
      </c>
      <c r="S36" s="2" t="s">
        <v>42</v>
      </c>
      <c r="U36" s="1" t="s">
        <v>36</v>
      </c>
      <c r="V36" s="1" t="str">
        <f>IF(TRIM(CLEAN(A36))="","",_xlfn.TEXTBEFORE(_xlfn.TEXTAFTER(A36,"Unit "),"-"))</f>
        <v>8</v>
      </c>
      <c r="W36" s="1" t="str">
        <f>IF(TRIM(CLEAN(A36))="","",_xlfn.TEXTBEFORE(_xlfn.TEXTAFTER(A36,"-"),"-"))</f>
        <v>01</v>
      </c>
      <c r="X36" s="1" t="str">
        <f>IF(TRIM(CLEAN(A36))="","",_xlfn.TEXTAFTER(A36,"-",-1))</f>
        <v>4008</v>
      </c>
    </row>
    <row r="37" spans="1:25" x14ac:dyDescent="0.3">
      <c r="A37" s="99" t="s">
        <v>225</v>
      </c>
      <c r="B37" s="1"/>
      <c r="C37" s="3"/>
      <c r="D37" s="3"/>
      <c r="E37" s="1" t="str">
        <f ca="1">IF(DMRB5[[#This Row],[Move_out ]]="","",TODAY()-DMRB5[[#This Row],[Move_out ]])</f>
        <v/>
      </c>
      <c r="F37" s="90">
        <v>46158</v>
      </c>
      <c r="G37" s="1">
        <f ca="1">IF(DMRB5[[#This Row],[Move_in]]="","",TODAY()-DMRB5[[#This Row],[Move_in]])</f>
        <v>-61</v>
      </c>
      <c r="H3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/>
      </c>
      <c r="I3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3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3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3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3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37" s="90"/>
      <c r="V37" s="1" t="str">
        <f>IF(TRIM(CLEAN(A37))="","",_xlfn.TEXTBEFORE(_xlfn.TEXTAFTER(A37,"Unit "),"-"))</f>
        <v>5</v>
      </c>
      <c r="W37" s="1" t="str">
        <f>IF(TRIM(CLEAN(A37))="","",_xlfn.TEXTBEFORE(_xlfn.TEXTAFTER(A37,"-"),"-"))</f>
        <v>12</v>
      </c>
      <c r="X37" s="1" t="str">
        <f>IF(TRIM(CLEAN(A37))="","",_xlfn.TEXTAFTER(A37,"-",-1))</f>
        <v>0102</v>
      </c>
    </row>
    <row r="38" spans="1:25" x14ac:dyDescent="0.3">
      <c r="A38" s="88" t="s">
        <v>155</v>
      </c>
      <c r="B38" s="1" t="s">
        <v>34</v>
      </c>
      <c r="C38" s="3">
        <v>46126</v>
      </c>
      <c r="D38" s="3">
        <v>46140</v>
      </c>
      <c r="E38" s="1">
        <f ca="1">IF(DMRB5[[#This Row],[Move_out ]]="","",TODAY()-DMRB5[[#This Row],[Move_out ]])</f>
        <v>-29</v>
      </c>
      <c r="F38" s="2">
        <v>46165</v>
      </c>
      <c r="G38" s="1">
        <f ca="1">IF(DMRB5[[#This Row],[Move_in]]="","",TODAY()-DMRB5[[#This Row],[Move_in]])</f>
        <v>-68</v>
      </c>
      <c r="H3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3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38" s="1" t="s">
        <v>38</v>
      </c>
      <c r="K3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38" s="1" t="s">
        <v>38</v>
      </c>
      <c r="M3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38" s="1" t="s">
        <v>38</v>
      </c>
      <c r="O3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38" s="1" t="s">
        <v>38</v>
      </c>
      <c r="Q3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38" s="1" t="s">
        <v>38</v>
      </c>
      <c r="S38" s="2" t="s">
        <v>42</v>
      </c>
      <c r="U38" s="1" t="s">
        <v>36</v>
      </c>
      <c r="V38" s="1" t="str">
        <f>IF(TRIM(CLEAN(A38))="","",_xlfn.TEXTBEFORE(_xlfn.TEXTAFTER(A38,"Unit "),"-"))</f>
        <v>8</v>
      </c>
      <c r="W38" s="1" t="str">
        <f>IF(TRIM(CLEAN(A38))="","",_xlfn.TEXTBEFORE(_xlfn.TEXTAFTER(A38,"-"),"-"))</f>
        <v>01</v>
      </c>
      <c r="X38" s="1" t="str">
        <f>IF(TRIM(CLEAN(A38))="","",_xlfn.TEXTAFTER(A38,"-",-1))</f>
        <v>4110</v>
      </c>
    </row>
    <row r="39" spans="1:25" x14ac:dyDescent="0.3">
      <c r="A39" s="94" t="s">
        <v>189</v>
      </c>
      <c r="B39" s="1" t="s">
        <v>34</v>
      </c>
      <c r="C39" s="3">
        <v>46151</v>
      </c>
      <c r="D39" s="3">
        <v>46165</v>
      </c>
      <c r="E39" s="1">
        <f ca="1">IF(DMRB5[[#This Row],[Move_out ]]="","",TODAY()-DMRB5[[#This Row],[Move_out ]])</f>
        <v>-54</v>
      </c>
      <c r="F39" s="90">
        <v>46165</v>
      </c>
      <c r="G39" s="1">
        <f ca="1">IF(DMRB5[[#This Row],[Move_in]]="","",TODAY()-DMRB5[[#This Row],[Move_in]])</f>
        <v>-68</v>
      </c>
      <c r="H3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3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39" s="1" t="s">
        <v>38</v>
      </c>
      <c r="K3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39" s="1" t="s">
        <v>38</v>
      </c>
      <c r="M3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39" s="1" t="s">
        <v>38</v>
      </c>
      <c r="O3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39" s="1" t="s">
        <v>38</v>
      </c>
      <c r="Q3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39" s="1" t="s">
        <v>38</v>
      </c>
      <c r="S39" s="90"/>
      <c r="U39" s="1" t="s">
        <v>36</v>
      </c>
      <c r="V39" s="1" t="str">
        <f>IF(TRIM(CLEAN(A39))="","",_xlfn.TEXTBEFORE(_xlfn.TEXTAFTER(A39,"Unit "),"-"))</f>
        <v>8</v>
      </c>
      <c r="W39" s="1" t="str">
        <f>IF(TRIM(CLEAN(A39))="","",_xlfn.TEXTBEFORE(_xlfn.TEXTAFTER(A39,"-"),"-"))</f>
        <v>01</v>
      </c>
      <c r="X39" s="1" t="str">
        <f>IF(TRIM(CLEAN(A39))="","",_xlfn.TEXTAFTER(A39,"-",-1))</f>
        <v>4091</v>
      </c>
    </row>
    <row r="40" spans="1:25" x14ac:dyDescent="0.3">
      <c r="A40" s="99" t="s">
        <v>226</v>
      </c>
      <c r="B40" s="1"/>
      <c r="C40" s="3"/>
      <c r="D40" s="3"/>
      <c r="E40" s="1" t="str">
        <f ca="1">IF(DMRB5[[#This Row],[Move_out ]]="","",TODAY()-DMRB5[[#This Row],[Move_out ]])</f>
        <v/>
      </c>
      <c r="F40" s="90">
        <v>46170</v>
      </c>
      <c r="G40" s="1">
        <f ca="1">IF(DMRB5[[#This Row],[Move_in]]="","",TODAY()-DMRB5[[#This Row],[Move_in]])</f>
        <v>-73</v>
      </c>
      <c r="H4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/>
      </c>
      <c r="I4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4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4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4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4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40" s="90"/>
      <c r="V40" s="1" t="str">
        <f>IF(TRIM(CLEAN(A40))="","",_xlfn.TEXTBEFORE(_xlfn.TEXTAFTER(A40,"Unit "),"-"))</f>
        <v>7</v>
      </c>
      <c r="W40" s="1" t="str">
        <f>IF(TRIM(CLEAN(A40))="","",_xlfn.TEXTBEFORE(_xlfn.TEXTAFTER(A40,"-"),"-"))</f>
        <v>02</v>
      </c>
      <c r="X40" s="1" t="str">
        <f>IF(TRIM(CLEAN(A40))="","",_xlfn.TEXTAFTER(A40,"-",-1))</f>
        <v>0305</v>
      </c>
    </row>
    <row r="41" spans="1:25" x14ac:dyDescent="0.3">
      <c r="A41" s="96" t="s">
        <v>207</v>
      </c>
      <c r="B41" s="1" t="s">
        <v>34</v>
      </c>
      <c r="C41" s="3">
        <v>46167</v>
      </c>
      <c r="D41" s="3">
        <v>46179</v>
      </c>
      <c r="E41" s="1">
        <f ca="1">IF(DMRB5[[#This Row],[Move_out ]]="","",TODAY()-DMRB5[[#This Row],[Move_out ]])</f>
        <v>-70</v>
      </c>
      <c r="F41" s="90">
        <v>46179</v>
      </c>
      <c r="G41" s="1">
        <f ca="1">IF(DMRB5[[#This Row],[Move_in]]="","",TODAY()-DMRB5[[#This Row],[Move_in]])</f>
        <v>-82</v>
      </c>
      <c r="H4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4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41" s="1" t="s">
        <v>38</v>
      </c>
      <c r="K4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41" s="1" t="s">
        <v>38</v>
      </c>
      <c r="M4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41" s="1" t="s">
        <v>38</v>
      </c>
      <c r="O4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41" s="1" t="s">
        <v>38</v>
      </c>
      <c r="Q4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41" s="1" t="s">
        <v>38</v>
      </c>
      <c r="S41" s="2" t="s">
        <v>2</v>
      </c>
      <c r="U41" s="1" t="s">
        <v>36</v>
      </c>
      <c r="V41" s="1" t="str">
        <f>IF(TRIM(CLEAN(A41))="","",_xlfn.TEXTBEFORE(_xlfn.TEXTAFTER(A41,"Unit "),"-"))</f>
        <v>5</v>
      </c>
      <c r="W41" s="1" t="str">
        <f>IF(TRIM(CLEAN(A41))="","",_xlfn.TEXTBEFORE(_xlfn.TEXTAFTER(A41,"-"),"-"))</f>
        <v>02</v>
      </c>
      <c r="X41" s="1" t="str">
        <f>IF(TRIM(CLEAN(A41))="","",_xlfn.TEXTAFTER(A41,"-",-1))</f>
        <v>0107</v>
      </c>
    </row>
    <row r="42" spans="1:25" x14ac:dyDescent="0.3">
      <c r="A42" s="88" t="s">
        <v>161</v>
      </c>
      <c r="B42" s="1" t="s">
        <v>34</v>
      </c>
      <c r="C42" s="3">
        <v>46174</v>
      </c>
      <c r="D42" s="3">
        <v>46186</v>
      </c>
      <c r="E42" s="1">
        <f ca="1">IF(DMRB5[[#This Row],[Move_out ]]="","",TODAY()-DMRB5[[#This Row],[Move_out ]])</f>
        <v>-77</v>
      </c>
      <c r="F42" s="2">
        <v>46186</v>
      </c>
      <c r="G42" s="1">
        <f ca="1">IF(DMRB5[[#This Row],[Move_in]]="","",TODAY()-DMRB5[[#This Row],[Move_in]])</f>
        <v>-89</v>
      </c>
      <c r="H4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4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42" s="1" t="s">
        <v>38</v>
      </c>
      <c r="K4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42" s="1" t="s">
        <v>38</v>
      </c>
      <c r="M4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42" s="1" t="s">
        <v>38</v>
      </c>
      <c r="O4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42" s="1" t="s">
        <v>38</v>
      </c>
      <c r="Q4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42" s="1" t="s">
        <v>38</v>
      </c>
      <c r="S42" s="2" t="s">
        <v>2</v>
      </c>
      <c r="U42" s="1" t="s">
        <v>36</v>
      </c>
      <c r="V42" s="1" t="str">
        <f>IF(TRIM(CLEAN(A42))="","",_xlfn.TEXTBEFORE(_xlfn.TEXTAFTER(A42,"Unit "),"-"))</f>
        <v>5</v>
      </c>
      <c r="W42" s="1" t="str">
        <f>IF(TRIM(CLEAN(A42))="","",_xlfn.TEXTBEFORE(_xlfn.TEXTAFTER(A42,"-"),"-"))</f>
        <v>13</v>
      </c>
      <c r="X42" s="1" t="str">
        <f>IF(TRIM(CLEAN(A42))="","",_xlfn.TEXTAFTER(A42,"-",-1))</f>
        <v>0203</v>
      </c>
    </row>
    <row r="43" spans="1:25" x14ac:dyDescent="0.3">
      <c r="A43" s="4" t="s">
        <v>56</v>
      </c>
      <c r="B43" s="1" t="s">
        <v>41</v>
      </c>
      <c r="C43" s="3">
        <v>45748</v>
      </c>
      <c r="D43" s="3">
        <v>45744</v>
      </c>
      <c r="E43" s="1">
        <f ca="1">IF(DMRB5[[#This Row],[Move_out ]]="","",TODAY()-DMRB5[[#This Row],[Move_out ]])</f>
        <v>349</v>
      </c>
      <c r="F43" s="2"/>
      <c r="G43" s="1" t="str">
        <f ca="1">IF(DMRB5[[#This Row],[Move_in]]="","",TODAY()-DMRB5[[#This Row],[Move_in]])</f>
        <v/>
      </c>
      <c r="H4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3" s="3">
        <f>IF(DMRB5[[#This Row],[Move_out ]]="","",
IF(OR(DMRB5[[#This Row],[Insp_status ]]="In Progress",DMRB5[[#This Row],[Insp_status ]]="Done",
DMRB5[[#This Row],[Insp_status ]]="Scheduled"),
WORKDAY(DMRB5[[#This Row],[Move_out ]],1),
""))</f>
        <v>45749</v>
      </c>
      <c r="J43" s="1" t="s">
        <v>0</v>
      </c>
      <c r="K43" s="3">
        <f>IF(DMRB5[[#This Row],[Move_out ]]="","",
IF(OR(DMRB5[[#This Row],[Paint_status]]="In Progress",DMRB5[[#This Row],[Paint_status]]="Done",
DMRB5[[#This Row],[Paint_status]]="Scheduled"),
WORKDAY(DMRB5[[#This Row],[Move_out ]],2),
""))</f>
        <v>45750</v>
      </c>
      <c r="L43" s="1" t="s">
        <v>0</v>
      </c>
      <c r="M43" s="3">
        <f>IF(DMRB5[[#This Row],[Move_out ]]="","",
IF(OR(DMRB5[[#This Row],[MR_Status]]="In Progress",DMRB5[[#This Row],[MR_Status]]="Done",
DMRB5[[#This Row],[MR_Status]]="Scheduled"),
WORKDAY(DMRB5[[#This Row],[Move_out ]],3),
""))</f>
        <v>45751</v>
      </c>
      <c r="N43" s="1" t="s">
        <v>0</v>
      </c>
      <c r="O43" s="3">
        <f>IF(DMRB5[[#This Row],[Move_out ]]="","",
IF(OR(DMRB5[[#This Row],[HK_Status]]="In Progress",DMRB5[[#This Row],[HK_Status]]="Done",
DMRB5[[#This Row],[HK_Status]]="Scheduled"),
WORKDAY(DMRB5[[#This Row],[Move_out ]],6),
""))</f>
        <v>45756</v>
      </c>
      <c r="P43" s="1" t="s">
        <v>0</v>
      </c>
      <c r="Q43" s="3">
        <f>IF(DMRB5[[#This Row],[Move_out ]]="","",
IF(OR(DMRB5[[#This Row],[CC_status]]="In Progress",DMRB5[[#This Row],[CC_status]]="Done",
DMRB5[[#This Row],[CC_status]]="Scheduled"),
WORKDAY(DMRB5[[#This Row],[Move_out ]],7),
""))</f>
        <v>45757</v>
      </c>
      <c r="R43" s="1" t="s">
        <v>0</v>
      </c>
      <c r="S43" s="2" t="s">
        <v>2</v>
      </c>
      <c r="T43" s="1" t="s">
        <v>100</v>
      </c>
      <c r="U43" s="1" t="s">
        <v>36</v>
      </c>
      <c r="V43" s="1" t="str">
        <f>IF(TRIM(CLEAN(A43))="","",_xlfn.TEXTBEFORE(_xlfn.TEXTAFTER(A43,"Unit "),"-"))</f>
        <v>5</v>
      </c>
      <c r="W43" s="1" t="str">
        <f>IF(TRIM(CLEAN(A43))="","",_xlfn.TEXTBEFORE(_xlfn.TEXTAFTER(A43,"-"),"-"))</f>
        <v>12</v>
      </c>
      <c r="X43" s="1" t="str">
        <f>IF(TRIM(CLEAN(A43))="","",_xlfn.TEXTAFTER(A43,"-",-1))</f>
        <v>0307</v>
      </c>
    </row>
    <row r="44" spans="1:25" x14ac:dyDescent="0.3">
      <c r="A44" s="4" t="s">
        <v>57</v>
      </c>
      <c r="B44" s="1" t="s">
        <v>5</v>
      </c>
      <c r="C44" s="3">
        <v>45748</v>
      </c>
      <c r="D44" s="3">
        <v>46081</v>
      </c>
      <c r="E44" s="1">
        <f ca="1">IF(DMRB5[[#This Row],[Move_out ]]="","",TODAY()-DMRB5[[#This Row],[Move_out ]])</f>
        <v>349</v>
      </c>
      <c r="F44" s="2"/>
      <c r="G44" s="1" t="str">
        <f ca="1">IF(DMRB5[[#This Row],[Move_in]]="","",TODAY()-DMRB5[[#This Row],[Move_in]])</f>
        <v/>
      </c>
      <c r="H4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4" s="3">
        <f>IF(DMRB5[[#This Row],[Move_out ]]="","",
IF(OR(DMRB5[[#This Row],[Insp_status ]]="In Progress",DMRB5[[#This Row],[Insp_status ]]="Done",
DMRB5[[#This Row],[Insp_status ]]="Scheduled"),
WORKDAY(DMRB5[[#This Row],[Move_out ]],1),
""))</f>
        <v>45749</v>
      </c>
      <c r="J44" s="1" t="s">
        <v>0</v>
      </c>
      <c r="K44" s="3">
        <f>IF(DMRB5[[#This Row],[Move_out ]]="","",
IF(OR(DMRB5[[#This Row],[Paint_status]]="In Progress",DMRB5[[#This Row],[Paint_status]]="Done",
DMRB5[[#This Row],[Paint_status]]="Scheduled"),
WORKDAY(DMRB5[[#This Row],[Move_out ]],2),
""))</f>
        <v>45750</v>
      </c>
      <c r="L44" s="1" t="s">
        <v>0</v>
      </c>
      <c r="M44" s="3">
        <f>IF(DMRB5[[#This Row],[Move_out ]]="","",
IF(OR(DMRB5[[#This Row],[MR_Status]]="In Progress",DMRB5[[#This Row],[MR_Status]]="Done",
DMRB5[[#This Row],[MR_Status]]="Scheduled"),
WORKDAY(DMRB5[[#This Row],[Move_out ]],3),
""))</f>
        <v>45751</v>
      </c>
      <c r="N44" s="1" t="s">
        <v>0</v>
      </c>
      <c r="O44" s="3">
        <f>IF(DMRB5[[#This Row],[Move_out ]]="","",
IF(OR(DMRB5[[#This Row],[HK_Status]]="In Progress",DMRB5[[#This Row],[HK_Status]]="Done",
DMRB5[[#This Row],[HK_Status]]="Scheduled"),
WORKDAY(DMRB5[[#This Row],[Move_out ]],6),
""))</f>
        <v>45756</v>
      </c>
      <c r="P44" s="1" t="s">
        <v>0</v>
      </c>
      <c r="Q44" s="3">
        <f>IF(DMRB5[[#This Row],[Move_out ]]="","",
IF(OR(DMRB5[[#This Row],[CC_status]]="In Progress",DMRB5[[#This Row],[CC_status]]="Done",
DMRB5[[#This Row],[CC_status]]="Scheduled"),
WORKDAY(DMRB5[[#This Row],[Move_out ]],7),
""))</f>
        <v>45757</v>
      </c>
      <c r="R44" s="1" t="s">
        <v>0</v>
      </c>
      <c r="S44" s="2" t="s">
        <v>2</v>
      </c>
      <c r="T44" s="1" t="s">
        <v>100</v>
      </c>
      <c r="U44" s="1" t="s">
        <v>36</v>
      </c>
      <c r="V44" s="1" t="str">
        <f>IF(TRIM(CLEAN(A44))="","",_xlfn.TEXTBEFORE(_xlfn.TEXTAFTER(A44,"Unit "),"-"))</f>
        <v>5</v>
      </c>
      <c r="W44" s="1" t="str">
        <f>IF(TRIM(CLEAN(A44))="","",_xlfn.TEXTBEFORE(_xlfn.TEXTAFTER(A44,"-"),"-"))</f>
        <v>18</v>
      </c>
      <c r="X44" s="1" t="str">
        <f>IF(TRIM(CLEAN(A44))="","",_xlfn.TEXTAFTER(A44,"-",-1))</f>
        <v>0116</v>
      </c>
      <c r="Y44" s="52" t="s">
        <v>101</v>
      </c>
    </row>
    <row r="45" spans="1:25" x14ac:dyDescent="0.3">
      <c r="A45" s="4" t="s">
        <v>58</v>
      </c>
      <c r="B45" s="1" t="s">
        <v>41</v>
      </c>
      <c r="C45" s="3">
        <v>45817</v>
      </c>
      <c r="D45" s="3">
        <v>45826</v>
      </c>
      <c r="E45" s="1">
        <f ca="1">IF(DMRB5[[#This Row],[Move_out ]]="","",TODAY()-DMRB5[[#This Row],[Move_out ]])</f>
        <v>280</v>
      </c>
      <c r="F45" s="2"/>
      <c r="G45" s="1" t="str">
        <f ca="1">IF(DMRB5[[#This Row],[Move_in]]="","",TODAY()-DMRB5[[#This Row],[Move_in]])</f>
        <v/>
      </c>
      <c r="H4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5" s="3">
        <f>IF(DMRB5[[#This Row],[Move_out ]]="","",
IF(OR(DMRB5[[#This Row],[Insp_status ]]="In Progress",DMRB5[[#This Row],[Insp_status ]]="Done",
DMRB5[[#This Row],[Insp_status ]]="Scheduled"),
WORKDAY(DMRB5[[#This Row],[Move_out ]],1),
""))</f>
        <v>45818</v>
      </c>
      <c r="J45" s="1" t="s">
        <v>0</v>
      </c>
      <c r="K45" s="3">
        <f>IF(DMRB5[[#This Row],[Move_out ]]="","",
IF(OR(DMRB5[[#This Row],[Paint_status]]="In Progress",DMRB5[[#This Row],[Paint_status]]="Done",
DMRB5[[#This Row],[Paint_status]]="Scheduled"),
WORKDAY(DMRB5[[#This Row],[Move_out ]],2),
""))</f>
        <v>45819</v>
      </c>
      <c r="L45" s="1" t="s">
        <v>0</v>
      </c>
      <c r="M45" s="3">
        <f>IF(DMRB5[[#This Row],[Move_out ]]="","",
IF(OR(DMRB5[[#This Row],[MR_Status]]="In Progress",DMRB5[[#This Row],[MR_Status]]="Done",
DMRB5[[#This Row],[MR_Status]]="Scheduled"),
WORKDAY(DMRB5[[#This Row],[Move_out ]],3),
""))</f>
        <v>45820</v>
      </c>
      <c r="N45" s="1" t="s">
        <v>0</v>
      </c>
      <c r="O45" s="3">
        <f>IF(DMRB5[[#This Row],[Move_out ]]="","",
IF(OR(DMRB5[[#This Row],[HK_Status]]="In Progress",DMRB5[[#This Row],[HK_Status]]="Done",
DMRB5[[#This Row],[HK_Status]]="Scheduled"),
WORKDAY(DMRB5[[#This Row],[Move_out ]],6),
""))</f>
        <v>45825</v>
      </c>
      <c r="P45" s="1" t="s">
        <v>0</v>
      </c>
      <c r="Q45" s="3">
        <f>IF(DMRB5[[#This Row],[Move_out ]]="","",
IF(OR(DMRB5[[#This Row],[CC_status]]="In Progress",DMRB5[[#This Row],[CC_status]]="Done",
DMRB5[[#This Row],[CC_status]]="Scheduled"),
WORKDAY(DMRB5[[#This Row],[Move_out ]],7),
""))</f>
        <v>45826</v>
      </c>
      <c r="R45" s="1" t="s">
        <v>0</v>
      </c>
      <c r="S45" s="2" t="s">
        <v>2</v>
      </c>
      <c r="T45" s="1" t="s">
        <v>100</v>
      </c>
      <c r="U45" s="1" t="s">
        <v>36</v>
      </c>
      <c r="V45" s="1" t="str">
        <f>IF(TRIM(CLEAN(A45))="","",_xlfn.TEXTBEFORE(_xlfn.TEXTAFTER(A45,"Unit "),"-"))</f>
        <v>5</v>
      </c>
      <c r="W45" s="1" t="str">
        <f>IF(TRIM(CLEAN(A45))="","",_xlfn.TEXTBEFORE(_xlfn.TEXTAFTER(A45,"-"),"-"))</f>
        <v>18</v>
      </c>
      <c r="X45" s="1" t="str">
        <f>IF(TRIM(CLEAN(A45))="","",_xlfn.TEXTAFTER(A45,"-",-1))</f>
        <v>0238</v>
      </c>
    </row>
    <row r="46" spans="1:25" x14ac:dyDescent="0.3">
      <c r="A46" s="4" t="s">
        <v>59</v>
      </c>
      <c r="B46" s="1" t="s">
        <v>41</v>
      </c>
      <c r="C46" s="3">
        <v>45846</v>
      </c>
      <c r="D46" s="3">
        <v>45860</v>
      </c>
      <c r="E46" s="1">
        <f ca="1">IF(DMRB5[[#This Row],[Move_out ]]="","",TODAY()-DMRB5[[#This Row],[Move_out ]])</f>
        <v>251</v>
      </c>
      <c r="F46" s="2"/>
      <c r="G46" s="1" t="str">
        <f ca="1">IF(DMRB5[[#This Row],[Move_in]]="","",TODAY()-DMRB5[[#This Row],[Move_in]])</f>
        <v/>
      </c>
      <c r="H4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6" s="3">
        <f>IF(DMRB5[[#This Row],[Move_out ]]="","",
IF(OR(DMRB5[[#This Row],[Insp_status ]]="In Progress",DMRB5[[#This Row],[Insp_status ]]="Done",
DMRB5[[#This Row],[Insp_status ]]="Scheduled"),
WORKDAY(DMRB5[[#This Row],[Move_out ]],1),
""))</f>
        <v>45847</v>
      </c>
      <c r="J46" s="1" t="s">
        <v>0</v>
      </c>
      <c r="K46" s="3">
        <f>IF(DMRB5[[#This Row],[Move_out ]]="","",
IF(OR(DMRB5[[#This Row],[Paint_status]]="In Progress",DMRB5[[#This Row],[Paint_status]]="Done",
DMRB5[[#This Row],[Paint_status]]="Scheduled"),
WORKDAY(DMRB5[[#This Row],[Move_out ]],2),
""))</f>
        <v>45848</v>
      </c>
      <c r="L46" s="1" t="s">
        <v>0</v>
      </c>
      <c r="M46" s="3">
        <f>IF(DMRB5[[#This Row],[Move_out ]]="","",
IF(OR(DMRB5[[#This Row],[MR_Status]]="In Progress",DMRB5[[#This Row],[MR_Status]]="Done",
DMRB5[[#This Row],[MR_Status]]="Scheduled"),
WORKDAY(DMRB5[[#This Row],[Move_out ]],3),
""))</f>
        <v>45849</v>
      </c>
      <c r="N46" s="1" t="s">
        <v>0</v>
      </c>
      <c r="O46" s="3">
        <f>IF(DMRB5[[#This Row],[Move_out ]]="","",
IF(OR(DMRB5[[#This Row],[HK_Status]]="In Progress",DMRB5[[#This Row],[HK_Status]]="Done",
DMRB5[[#This Row],[HK_Status]]="Scheduled"),
WORKDAY(DMRB5[[#This Row],[Move_out ]],6),
""))</f>
        <v>45854</v>
      </c>
      <c r="P46" s="1" t="s">
        <v>0</v>
      </c>
      <c r="Q46" s="3">
        <f>IF(DMRB5[[#This Row],[Move_out ]]="","",
IF(OR(DMRB5[[#This Row],[CC_status]]="In Progress",DMRB5[[#This Row],[CC_status]]="Done",
DMRB5[[#This Row],[CC_status]]="Scheduled"),
WORKDAY(DMRB5[[#This Row],[Move_out ]],7),
""))</f>
        <v>45855</v>
      </c>
      <c r="R46" s="1" t="s">
        <v>0</v>
      </c>
      <c r="S46" s="2" t="s">
        <v>42</v>
      </c>
      <c r="T46" s="1" t="s">
        <v>100</v>
      </c>
      <c r="U46" s="1" t="s">
        <v>36</v>
      </c>
      <c r="V46" s="1" t="str">
        <f>IF(TRIM(CLEAN(A46))="","",_xlfn.TEXTBEFORE(_xlfn.TEXTAFTER(A46,"Unit "),"-"))</f>
        <v>8</v>
      </c>
      <c r="W46" s="1" t="str">
        <f>IF(TRIM(CLEAN(A46))="","",_xlfn.TEXTBEFORE(_xlfn.TEXTAFTER(A46,"-"),"-"))</f>
        <v>01</v>
      </c>
      <c r="X46" s="1" t="str">
        <f>IF(TRIM(CLEAN(A46))="","",_xlfn.TEXTAFTER(A46,"-",-1))</f>
        <v>3001</v>
      </c>
    </row>
    <row r="47" spans="1:25" x14ac:dyDescent="0.3">
      <c r="A47" s="4" t="s">
        <v>60</v>
      </c>
      <c r="B47" s="1" t="s">
        <v>41</v>
      </c>
      <c r="C47" s="3">
        <v>45869</v>
      </c>
      <c r="D47" s="3">
        <v>45985</v>
      </c>
      <c r="E47" s="1">
        <f ca="1">IF(DMRB5[[#This Row],[Move_out ]]="","",TODAY()-DMRB5[[#This Row],[Move_out ]])</f>
        <v>228</v>
      </c>
      <c r="F47" s="2"/>
      <c r="G47" s="1" t="str">
        <f ca="1">IF(DMRB5[[#This Row],[Move_in]]="","",TODAY()-DMRB5[[#This Row],[Move_in]])</f>
        <v/>
      </c>
      <c r="H4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7" s="3">
        <f>IF(DMRB5[[#This Row],[Move_out ]]="","",
IF(OR(DMRB5[[#This Row],[Insp_status ]]="In Progress",DMRB5[[#This Row],[Insp_status ]]="Done",
DMRB5[[#This Row],[Insp_status ]]="Scheduled"),
WORKDAY(DMRB5[[#This Row],[Move_out ]],1),
""))</f>
        <v>45870</v>
      </c>
      <c r="J47" s="1" t="s">
        <v>0</v>
      </c>
      <c r="K47" s="3">
        <f>IF(DMRB5[[#This Row],[Move_out ]]="","",
IF(OR(DMRB5[[#This Row],[Paint_status]]="In Progress",DMRB5[[#This Row],[Paint_status]]="Done",
DMRB5[[#This Row],[Paint_status]]="Scheduled"),
WORKDAY(DMRB5[[#This Row],[Move_out ]],2),
""))</f>
        <v>45873</v>
      </c>
      <c r="L47" s="1" t="s">
        <v>0</v>
      </c>
      <c r="M47" s="3">
        <f>IF(DMRB5[[#This Row],[Move_out ]]="","",
IF(OR(DMRB5[[#This Row],[MR_Status]]="In Progress",DMRB5[[#This Row],[MR_Status]]="Done",
DMRB5[[#This Row],[MR_Status]]="Scheduled"),
WORKDAY(DMRB5[[#This Row],[Move_out ]],3),
""))</f>
        <v>45874</v>
      </c>
      <c r="N47" s="1" t="s">
        <v>0</v>
      </c>
      <c r="O47" s="3">
        <f>IF(DMRB5[[#This Row],[Move_out ]]="","",
IF(OR(DMRB5[[#This Row],[HK_Status]]="In Progress",DMRB5[[#This Row],[HK_Status]]="Done",
DMRB5[[#This Row],[HK_Status]]="Scheduled"),
WORKDAY(DMRB5[[#This Row],[Move_out ]],6),
""))</f>
        <v>45877</v>
      </c>
      <c r="P47" s="1" t="s">
        <v>0</v>
      </c>
      <c r="Q47" s="3">
        <f>IF(DMRB5[[#This Row],[Move_out ]]="","",
IF(OR(DMRB5[[#This Row],[CC_status]]="In Progress",DMRB5[[#This Row],[CC_status]]="Done",
DMRB5[[#This Row],[CC_status]]="Scheduled"),
WORKDAY(DMRB5[[#This Row],[Move_out ]],7),
""))</f>
        <v>45880</v>
      </c>
      <c r="R47" s="1" t="s">
        <v>0</v>
      </c>
      <c r="S47" s="2" t="s">
        <v>2</v>
      </c>
      <c r="T47" s="1" t="s">
        <v>100</v>
      </c>
      <c r="U47" s="1" t="s">
        <v>36</v>
      </c>
      <c r="V47" s="1" t="str">
        <f>IF(TRIM(CLEAN(A47))="","",_xlfn.TEXTBEFORE(_xlfn.TEXTAFTER(A47,"Unit "),"-"))</f>
        <v>5</v>
      </c>
      <c r="W47" s="1" t="str">
        <f>IF(TRIM(CLEAN(A47))="","",_xlfn.TEXTBEFORE(_xlfn.TEXTAFTER(A47,"-"),"-"))</f>
        <v>18</v>
      </c>
      <c r="X47" s="1" t="str">
        <f>IF(TRIM(CLEAN(A47))="","",_xlfn.TEXTAFTER(A47,"-",-1))</f>
        <v>0422</v>
      </c>
    </row>
    <row r="48" spans="1:25" x14ac:dyDescent="0.3">
      <c r="A48" s="4" t="s">
        <v>61</v>
      </c>
      <c r="B48" s="1" t="s">
        <v>41</v>
      </c>
      <c r="C48" s="3">
        <v>45914</v>
      </c>
      <c r="D48" s="3">
        <v>45925</v>
      </c>
      <c r="E48" s="1">
        <f ca="1">IF(DMRB5[[#This Row],[Move_out ]]="","",TODAY()-DMRB5[[#This Row],[Move_out ]])</f>
        <v>183</v>
      </c>
      <c r="F48" s="2"/>
      <c r="G48" s="1" t="str">
        <f ca="1">IF(DMRB5[[#This Row],[Move_in]]="","",TODAY()-DMRB5[[#This Row],[Move_in]])</f>
        <v/>
      </c>
      <c r="H4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8" s="3">
        <f>IF(DMRB5[[#This Row],[Move_out ]]="","",
IF(OR(DMRB5[[#This Row],[Insp_status ]]="In Progress",DMRB5[[#This Row],[Insp_status ]]="Done",
DMRB5[[#This Row],[Insp_status ]]="Scheduled"),
WORKDAY(DMRB5[[#This Row],[Move_out ]],1),
""))</f>
        <v>45915</v>
      </c>
      <c r="J48" s="1" t="s">
        <v>0</v>
      </c>
      <c r="K48" s="3">
        <f>IF(DMRB5[[#This Row],[Move_out ]]="","",
IF(OR(DMRB5[[#This Row],[Paint_status]]="In Progress",DMRB5[[#This Row],[Paint_status]]="Done",
DMRB5[[#This Row],[Paint_status]]="Scheduled"),
WORKDAY(DMRB5[[#This Row],[Move_out ]],2),
""))</f>
        <v>45916</v>
      </c>
      <c r="L48" s="1" t="s">
        <v>0</v>
      </c>
      <c r="M48" s="3">
        <f>IF(DMRB5[[#This Row],[Move_out ]]="","",
IF(OR(DMRB5[[#This Row],[MR_Status]]="In Progress",DMRB5[[#This Row],[MR_Status]]="Done",
DMRB5[[#This Row],[MR_Status]]="Scheduled"),
WORKDAY(DMRB5[[#This Row],[Move_out ]],3),
""))</f>
        <v>45917</v>
      </c>
      <c r="N48" s="1" t="s">
        <v>0</v>
      </c>
      <c r="O48" s="3">
        <f>IF(DMRB5[[#This Row],[Move_out ]]="","",
IF(OR(DMRB5[[#This Row],[HK_Status]]="In Progress",DMRB5[[#This Row],[HK_Status]]="Done",
DMRB5[[#This Row],[HK_Status]]="Scheduled"),
WORKDAY(DMRB5[[#This Row],[Move_out ]],6),
""))</f>
        <v>45922</v>
      </c>
      <c r="P48" s="1" t="s">
        <v>0</v>
      </c>
      <c r="Q48" s="3">
        <f>IF(DMRB5[[#This Row],[Move_out ]]="","",
IF(OR(DMRB5[[#This Row],[CC_status]]="In Progress",DMRB5[[#This Row],[CC_status]]="Done",
DMRB5[[#This Row],[CC_status]]="Scheduled"),
WORKDAY(DMRB5[[#This Row],[Move_out ]],7),
""))</f>
        <v>45923</v>
      </c>
      <c r="R48" s="1" t="s">
        <v>0</v>
      </c>
      <c r="S48" s="2" t="s">
        <v>42</v>
      </c>
      <c r="T48" s="1" t="s">
        <v>100</v>
      </c>
      <c r="U48" s="1" t="s">
        <v>36</v>
      </c>
      <c r="V48" s="1" t="str">
        <f>IF(TRIM(CLEAN(A48))="","",_xlfn.TEXTBEFORE(_xlfn.TEXTAFTER(A48,"Unit "),"-"))</f>
        <v>8</v>
      </c>
      <c r="W48" s="1" t="str">
        <f>IF(TRIM(CLEAN(A48))="","",_xlfn.TEXTBEFORE(_xlfn.TEXTAFTER(A48,"-"),"-"))</f>
        <v>01</v>
      </c>
      <c r="X48" s="1" t="str">
        <f>IF(TRIM(CLEAN(A48))="","",_xlfn.TEXTAFTER(A48,"-",-1))</f>
        <v>2001</v>
      </c>
    </row>
    <row r="49" spans="1:24" x14ac:dyDescent="0.3">
      <c r="A49" s="4" t="s">
        <v>62</v>
      </c>
      <c r="B49" s="1" t="s">
        <v>41</v>
      </c>
      <c r="C49" s="3">
        <v>45939</v>
      </c>
      <c r="D49" s="3">
        <v>46002</v>
      </c>
      <c r="E49" s="1">
        <f ca="1">IF(DMRB5[[#This Row],[Move_out ]]="","",TODAY()-DMRB5[[#This Row],[Move_out ]])</f>
        <v>158</v>
      </c>
      <c r="F49" s="2"/>
      <c r="G49" s="1" t="str">
        <f ca="1">IF(DMRB5[[#This Row],[Move_in]]="","",TODAY()-DMRB5[[#This Row],[Move_in]])</f>
        <v/>
      </c>
      <c r="H4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9" s="3">
        <f>IF(DMRB5[[#This Row],[Move_out ]]="","",
IF(OR(DMRB5[[#This Row],[Insp_status ]]="In Progress",DMRB5[[#This Row],[Insp_status ]]="Done",
DMRB5[[#This Row],[Insp_status ]]="Scheduled"),
WORKDAY(DMRB5[[#This Row],[Move_out ]],1),
""))</f>
        <v>45940</v>
      </c>
      <c r="J49" s="1" t="s">
        <v>0</v>
      </c>
      <c r="K49" s="3">
        <f>IF(DMRB5[[#This Row],[Move_out ]]="","",
IF(OR(DMRB5[[#This Row],[Paint_status]]="In Progress",DMRB5[[#This Row],[Paint_status]]="Done",
DMRB5[[#This Row],[Paint_status]]="Scheduled"),
WORKDAY(DMRB5[[#This Row],[Move_out ]],2),
""))</f>
        <v>45943</v>
      </c>
      <c r="L49" s="1" t="s">
        <v>0</v>
      </c>
      <c r="M49" s="3">
        <f>IF(DMRB5[[#This Row],[Move_out ]]="","",
IF(OR(DMRB5[[#This Row],[MR_Status]]="In Progress",DMRB5[[#This Row],[MR_Status]]="Done",
DMRB5[[#This Row],[MR_Status]]="Scheduled"),
WORKDAY(DMRB5[[#This Row],[Move_out ]],3),
""))</f>
        <v>45944</v>
      </c>
      <c r="N49" s="1" t="s">
        <v>0</v>
      </c>
      <c r="O49" s="3">
        <f>IF(DMRB5[[#This Row],[Move_out ]]="","",
IF(OR(DMRB5[[#This Row],[HK_Status]]="In Progress",DMRB5[[#This Row],[HK_Status]]="Done",
DMRB5[[#This Row],[HK_Status]]="Scheduled"),
WORKDAY(DMRB5[[#This Row],[Move_out ]],6),
""))</f>
        <v>45947</v>
      </c>
      <c r="P49" s="1" t="s">
        <v>0</v>
      </c>
      <c r="Q49" s="3">
        <f>IF(DMRB5[[#This Row],[Move_out ]]="","",
IF(OR(DMRB5[[#This Row],[CC_status]]="In Progress",DMRB5[[#This Row],[CC_status]]="Done",
DMRB5[[#This Row],[CC_status]]="Scheduled"),
WORKDAY(DMRB5[[#This Row],[Move_out ]],7),
""))</f>
        <v>45950</v>
      </c>
      <c r="R49" s="1" t="s">
        <v>0</v>
      </c>
      <c r="S49" s="2" t="s">
        <v>2</v>
      </c>
      <c r="T49" s="1" t="s">
        <v>100</v>
      </c>
      <c r="U49" s="1" t="s">
        <v>36</v>
      </c>
      <c r="V49" s="1" t="str">
        <f>IF(TRIM(CLEAN(A49))="","",_xlfn.TEXTBEFORE(_xlfn.TEXTAFTER(A49,"Unit "),"-"))</f>
        <v>5</v>
      </c>
      <c r="W49" s="1" t="str">
        <f>IF(TRIM(CLEAN(A49))="","",_xlfn.TEXTBEFORE(_xlfn.TEXTAFTER(A49,"-"),"-"))</f>
        <v>15</v>
      </c>
      <c r="X49" s="1" t="str">
        <f>IF(TRIM(CLEAN(A49))="","",_xlfn.TEXTAFTER(A49,"-",-1))</f>
        <v>0305</v>
      </c>
    </row>
    <row r="50" spans="1:24" x14ac:dyDescent="0.3">
      <c r="A50" s="4" t="s">
        <v>63</v>
      </c>
      <c r="B50" s="1" t="s">
        <v>41</v>
      </c>
      <c r="C50" s="3">
        <v>45971</v>
      </c>
      <c r="D50" s="3">
        <v>46003</v>
      </c>
      <c r="E50" s="1">
        <f ca="1">IF(DMRB5[[#This Row],[Move_out ]]="","",TODAY()-DMRB5[[#This Row],[Move_out ]])</f>
        <v>126</v>
      </c>
      <c r="F50" s="2"/>
      <c r="G50" s="1" t="str">
        <f ca="1">IF(DMRB5[[#This Row],[Move_in]]="","",TODAY()-DMRB5[[#This Row],[Move_in]])</f>
        <v/>
      </c>
      <c r="H5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0" s="3">
        <f>IF(DMRB5[[#This Row],[Move_out ]]="","",
IF(OR(DMRB5[[#This Row],[Insp_status ]]="In Progress",DMRB5[[#This Row],[Insp_status ]]="Done",
DMRB5[[#This Row],[Insp_status ]]="Scheduled"),
WORKDAY(DMRB5[[#This Row],[Move_out ]],1),
""))</f>
        <v>45972</v>
      </c>
      <c r="J50" s="1" t="s">
        <v>0</v>
      </c>
      <c r="K50" s="3">
        <f>IF(DMRB5[[#This Row],[Move_out ]]="","",
IF(OR(DMRB5[[#This Row],[Paint_status]]="In Progress",DMRB5[[#This Row],[Paint_status]]="Done",
DMRB5[[#This Row],[Paint_status]]="Scheduled"),
WORKDAY(DMRB5[[#This Row],[Move_out ]],2),
""))</f>
        <v>45973</v>
      </c>
      <c r="L50" s="1" t="s">
        <v>0</v>
      </c>
      <c r="M50" s="3">
        <f>IF(DMRB5[[#This Row],[Move_out ]]="","",
IF(OR(DMRB5[[#This Row],[MR_Status]]="In Progress",DMRB5[[#This Row],[MR_Status]]="Done",
DMRB5[[#This Row],[MR_Status]]="Scheduled"),
WORKDAY(DMRB5[[#This Row],[Move_out ]],3),
""))</f>
        <v>45974</v>
      </c>
      <c r="N50" s="1" t="s">
        <v>0</v>
      </c>
      <c r="O50" s="3">
        <f>IF(DMRB5[[#This Row],[Move_out ]]="","",
IF(OR(DMRB5[[#This Row],[HK_Status]]="In Progress",DMRB5[[#This Row],[HK_Status]]="Done",
DMRB5[[#This Row],[HK_Status]]="Scheduled"),
WORKDAY(DMRB5[[#This Row],[Move_out ]],6),
""))</f>
        <v>45979</v>
      </c>
      <c r="P50" s="1" t="s">
        <v>0</v>
      </c>
      <c r="Q50" s="3">
        <f>IF(DMRB5[[#This Row],[Move_out ]]="","",
IF(OR(DMRB5[[#This Row],[CC_status]]="In Progress",DMRB5[[#This Row],[CC_status]]="Done",
DMRB5[[#This Row],[CC_status]]="Scheduled"),
WORKDAY(DMRB5[[#This Row],[Move_out ]],7),
""))</f>
        <v>45980</v>
      </c>
      <c r="R50" s="1" t="s">
        <v>0</v>
      </c>
      <c r="S50" s="2" t="s">
        <v>2</v>
      </c>
      <c r="T50" s="1" t="s">
        <v>100</v>
      </c>
      <c r="U50" s="1" t="s">
        <v>36</v>
      </c>
      <c r="V50" s="1" t="str">
        <f>IF(TRIM(CLEAN(A50))="","",_xlfn.TEXTBEFORE(_xlfn.TEXTAFTER(A50,"Unit "),"-"))</f>
        <v>5</v>
      </c>
      <c r="W50" s="1" t="str">
        <f>IF(TRIM(CLEAN(A50))="","",_xlfn.TEXTBEFORE(_xlfn.TEXTAFTER(A50,"-"),"-"))</f>
        <v>18</v>
      </c>
      <c r="X50" s="1" t="str">
        <f>IF(TRIM(CLEAN(A50))="","",_xlfn.TEXTAFTER(A50,"-",-1))</f>
        <v>0202</v>
      </c>
    </row>
    <row r="51" spans="1:24" x14ac:dyDescent="0.3">
      <c r="A51" s="4" t="s">
        <v>64</v>
      </c>
      <c r="B51" s="1" t="s">
        <v>41</v>
      </c>
      <c r="C51" s="3">
        <v>45972</v>
      </c>
      <c r="D51" s="3">
        <v>46017</v>
      </c>
      <c r="E51" s="1">
        <f ca="1">IF(DMRB5[[#This Row],[Move_out ]]="","",TODAY()-DMRB5[[#This Row],[Move_out ]])</f>
        <v>125</v>
      </c>
      <c r="F51" s="2"/>
      <c r="G51" s="1" t="str">
        <f ca="1">IF(DMRB5[[#This Row],[Move_in]]="","",TODAY()-DMRB5[[#This Row],[Move_in]])</f>
        <v/>
      </c>
      <c r="H5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1" s="3">
        <f>IF(DMRB5[[#This Row],[Move_out ]]="","",
IF(OR(DMRB5[[#This Row],[Insp_status ]]="In Progress",DMRB5[[#This Row],[Insp_status ]]="Done",
DMRB5[[#This Row],[Insp_status ]]="Scheduled"),
WORKDAY(DMRB5[[#This Row],[Move_out ]],1),
""))</f>
        <v>45973</v>
      </c>
      <c r="J51" s="1" t="s">
        <v>0</v>
      </c>
      <c r="K51" s="3">
        <f>IF(DMRB5[[#This Row],[Move_out ]]="","",
IF(OR(DMRB5[[#This Row],[Paint_status]]="In Progress",DMRB5[[#This Row],[Paint_status]]="Done",
DMRB5[[#This Row],[Paint_status]]="Scheduled"),
WORKDAY(DMRB5[[#This Row],[Move_out ]],2),
""))</f>
        <v>45974</v>
      </c>
      <c r="L51" s="1" t="s">
        <v>0</v>
      </c>
      <c r="M51" s="3">
        <f>IF(DMRB5[[#This Row],[Move_out ]]="","",
IF(OR(DMRB5[[#This Row],[MR_Status]]="In Progress",DMRB5[[#This Row],[MR_Status]]="Done",
DMRB5[[#This Row],[MR_Status]]="Scheduled"),
WORKDAY(DMRB5[[#This Row],[Move_out ]],3),
""))</f>
        <v>45975</v>
      </c>
      <c r="N51" s="1" t="s">
        <v>0</v>
      </c>
      <c r="O51" s="3">
        <f>IF(DMRB5[[#This Row],[Move_out ]]="","",
IF(OR(DMRB5[[#This Row],[HK_Status]]="In Progress",DMRB5[[#This Row],[HK_Status]]="Done",
DMRB5[[#This Row],[HK_Status]]="Scheduled"),
WORKDAY(DMRB5[[#This Row],[Move_out ]],6),
""))</f>
        <v>45980</v>
      </c>
      <c r="P51" s="1" t="s">
        <v>0</v>
      </c>
      <c r="Q51" s="3">
        <f>IF(DMRB5[[#This Row],[Move_out ]]="","",
IF(OR(DMRB5[[#This Row],[CC_status]]="In Progress",DMRB5[[#This Row],[CC_status]]="Done",
DMRB5[[#This Row],[CC_status]]="Scheduled"),
WORKDAY(DMRB5[[#This Row],[Move_out ]],7),
""))</f>
        <v>45981</v>
      </c>
      <c r="R51" s="1" t="s">
        <v>0</v>
      </c>
      <c r="S51" s="2" t="s">
        <v>39</v>
      </c>
      <c r="T51" s="1" t="s">
        <v>100</v>
      </c>
      <c r="U51" s="1" t="s">
        <v>36</v>
      </c>
      <c r="V51" s="1" t="str">
        <f>IF(TRIM(CLEAN(A51))="","",_xlfn.TEXTBEFORE(_xlfn.TEXTAFTER(A51,"Unit "),"-"))</f>
        <v>7</v>
      </c>
      <c r="W51" s="1" t="str">
        <f>IF(TRIM(CLEAN(A51))="","",_xlfn.TEXTBEFORE(_xlfn.TEXTAFTER(A51,"-"),"-"))</f>
        <v>10</v>
      </c>
      <c r="X51" s="1" t="str">
        <f>IF(TRIM(CLEAN(A51))="","",_xlfn.TEXTAFTER(A51,"-",-1))</f>
        <v>0303</v>
      </c>
    </row>
    <row r="52" spans="1:24" x14ac:dyDescent="0.3">
      <c r="A52" s="4" t="s">
        <v>65</v>
      </c>
      <c r="B52" s="1" t="s">
        <v>41</v>
      </c>
      <c r="C52" s="3">
        <v>45973</v>
      </c>
      <c r="D52" s="3">
        <v>46001</v>
      </c>
      <c r="E52" s="1">
        <f ca="1">IF(DMRB5[[#This Row],[Move_out ]]="","",TODAY()-DMRB5[[#This Row],[Move_out ]])</f>
        <v>124</v>
      </c>
      <c r="F52" s="2"/>
      <c r="G52" s="1" t="str">
        <f ca="1">IF(DMRB5[[#This Row],[Move_in]]="","",TODAY()-DMRB5[[#This Row],[Move_in]])</f>
        <v/>
      </c>
      <c r="H5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2" s="3">
        <f>IF(DMRB5[[#This Row],[Move_out ]]="","",
IF(OR(DMRB5[[#This Row],[Insp_status ]]="In Progress",DMRB5[[#This Row],[Insp_status ]]="Done",
DMRB5[[#This Row],[Insp_status ]]="Scheduled"),
WORKDAY(DMRB5[[#This Row],[Move_out ]],1),
""))</f>
        <v>45974</v>
      </c>
      <c r="J52" s="1" t="s">
        <v>0</v>
      </c>
      <c r="K52" s="3">
        <f>IF(DMRB5[[#This Row],[Move_out ]]="","",
IF(OR(DMRB5[[#This Row],[Paint_status]]="In Progress",DMRB5[[#This Row],[Paint_status]]="Done",
DMRB5[[#This Row],[Paint_status]]="Scheduled"),
WORKDAY(DMRB5[[#This Row],[Move_out ]],2),
""))</f>
        <v>45975</v>
      </c>
      <c r="L52" s="1" t="s">
        <v>0</v>
      </c>
      <c r="M52" s="3">
        <f>IF(DMRB5[[#This Row],[Move_out ]]="","",
IF(OR(DMRB5[[#This Row],[MR_Status]]="In Progress",DMRB5[[#This Row],[MR_Status]]="Done",
DMRB5[[#This Row],[MR_Status]]="Scheduled"),
WORKDAY(DMRB5[[#This Row],[Move_out ]],3),
""))</f>
        <v>45978</v>
      </c>
      <c r="N52" s="1" t="s">
        <v>0</v>
      </c>
      <c r="O52" s="3">
        <f>IF(DMRB5[[#This Row],[Move_out ]]="","",
IF(OR(DMRB5[[#This Row],[HK_Status]]="In Progress",DMRB5[[#This Row],[HK_Status]]="Done",
DMRB5[[#This Row],[HK_Status]]="Scheduled"),
WORKDAY(DMRB5[[#This Row],[Move_out ]],6),
""))</f>
        <v>45981</v>
      </c>
      <c r="P52" s="1" t="s">
        <v>0</v>
      </c>
      <c r="Q52" s="3">
        <f>IF(DMRB5[[#This Row],[Move_out ]]="","",
IF(OR(DMRB5[[#This Row],[CC_status]]="In Progress",DMRB5[[#This Row],[CC_status]]="Done",
DMRB5[[#This Row],[CC_status]]="Scheduled"),
WORKDAY(DMRB5[[#This Row],[Move_out ]],7),
""))</f>
        <v>45982</v>
      </c>
      <c r="R52" s="1" t="s">
        <v>0</v>
      </c>
      <c r="S52" s="2" t="s">
        <v>42</v>
      </c>
      <c r="T52" s="1" t="s">
        <v>100</v>
      </c>
      <c r="U52" s="1" t="s">
        <v>36</v>
      </c>
      <c r="V52" s="1" t="str">
        <f>IF(TRIM(CLEAN(A52))="","",_xlfn.TEXTBEFORE(_xlfn.TEXTAFTER(A52,"Unit "),"-"))</f>
        <v>8</v>
      </c>
      <c r="W52" s="1" t="str">
        <f>IF(TRIM(CLEAN(A52))="","",_xlfn.TEXTBEFORE(_xlfn.TEXTAFTER(A52,"-"),"-"))</f>
        <v>01</v>
      </c>
      <c r="X52" s="1" t="str">
        <f>IF(TRIM(CLEAN(A52))="","",_xlfn.TEXTAFTER(A52,"-",-1))</f>
        <v>3013</v>
      </c>
    </row>
    <row r="53" spans="1:24" x14ac:dyDescent="0.3">
      <c r="A53" s="4" t="s">
        <v>68</v>
      </c>
      <c r="B53" s="1" t="s">
        <v>41</v>
      </c>
      <c r="C53" s="3">
        <v>45996</v>
      </c>
      <c r="D53" s="3">
        <v>46017</v>
      </c>
      <c r="E53" s="1">
        <f ca="1">IF(DMRB5[[#This Row],[Move_out ]]="","",TODAY()-DMRB5[[#This Row],[Move_out ]])</f>
        <v>101</v>
      </c>
      <c r="F53" s="2"/>
      <c r="G53" s="1" t="str">
        <f ca="1">IF(DMRB5[[#This Row],[Move_in]]="","",TODAY()-DMRB5[[#This Row],[Move_in]])</f>
        <v/>
      </c>
      <c r="H5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3" s="3">
        <f>IF(DMRB5[[#This Row],[Move_out ]]="","",
IF(OR(DMRB5[[#This Row],[Insp_status ]]="In Progress",DMRB5[[#This Row],[Insp_status ]]="Done",
DMRB5[[#This Row],[Insp_status ]]="Scheduled"),
WORKDAY(DMRB5[[#This Row],[Move_out ]],1),
""))</f>
        <v>45999</v>
      </c>
      <c r="J53" s="1" t="s">
        <v>0</v>
      </c>
      <c r="K53" s="3">
        <f>IF(DMRB5[[#This Row],[Move_out ]]="","",
IF(OR(DMRB5[[#This Row],[Paint_status]]="In Progress",DMRB5[[#This Row],[Paint_status]]="Done",
DMRB5[[#This Row],[Paint_status]]="Scheduled"),
WORKDAY(DMRB5[[#This Row],[Move_out ]],2),
""))</f>
        <v>46000</v>
      </c>
      <c r="L53" s="1" t="s">
        <v>0</v>
      </c>
      <c r="M53" s="3">
        <f>IF(DMRB5[[#This Row],[Move_out ]]="","",
IF(OR(DMRB5[[#This Row],[MR_Status]]="In Progress",DMRB5[[#This Row],[MR_Status]]="Done",
DMRB5[[#This Row],[MR_Status]]="Scheduled"),
WORKDAY(DMRB5[[#This Row],[Move_out ]],3),
""))</f>
        <v>46001</v>
      </c>
      <c r="N53" s="1" t="s">
        <v>0</v>
      </c>
      <c r="O53" s="3">
        <f>IF(DMRB5[[#This Row],[Move_out ]]="","",
IF(OR(DMRB5[[#This Row],[HK_Status]]="In Progress",DMRB5[[#This Row],[HK_Status]]="Done",
DMRB5[[#This Row],[HK_Status]]="Scheduled"),
WORKDAY(DMRB5[[#This Row],[Move_out ]],6),
""))</f>
        <v>46006</v>
      </c>
      <c r="P53" s="1" t="s">
        <v>0</v>
      </c>
      <c r="Q53" s="3">
        <f>IF(DMRB5[[#This Row],[Move_out ]]="","",
IF(OR(DMRB5[[#This Row],[CC_status]]="In Progress",DMRB5[[#This Row],[CC_status]]="Done",
DMRB5[[#This Row],[CC_status]]="Scheduled"),
WORKDAY(DMRB5[[#This Row],[Move_out ]],7),
""))</f>
        <v>46007</v>
      </c>
      <c r="R53" s="1" t="s">
        <v>0</v>
      </c>
      <c r="S53" s="2" t="s">
        <v>2</v>
      </c>
      <c r="T53" s="1" t="s">
        <v>100</v>
      </c>
      <c r="U53" s="1" t="s">
        <v>36</v>
      </c>
      <c r="V53" s="1" t="str">
        <f>IF(TRIM(CLEAN(A53))="","",_xlfn.TEXTBEFORE(_xlfn.TEXTAFTER(A53,"Unit "),"-"))</f>
        <v>5</v>
      </c>
      <c r="W53" s="1" t="str">
        <f>IF(TRIM(CLEAN(A53))="","",_xlfn.TEXTBEFORE(_xlfn.TEXTAFTER(A53,"-"),"-"))</f>
        <v>17</v>
      </c>
      <c r="X53" s="1" t="str">
        <f>IF(TRIM(CLEAN(A53))="","",_xlfn.TEXTAFTER(A53,"-",-1))</f>
        <v>0119</v>
      </c>
    </row>
    <row r="54" spans="1:24" x14ac:dyDescent="0.3">
      <c r="A54" s="4" t="s">
        <v>69</v>
      </c>
      <c r="B54" s="1" t="s">
        <v>41</v>
      </c>
      <c r="C54" s="3">
        <v>46002</v>
      </c>
      <c r="D54" s="3">
        <v>46029</v>
      </c>
      <c r="E54" s="1">
        <f ca="1">IF(DMRB5[[#This Row],[Move_out ]]="","",TODAY()-DMRB5[[#This Row],[Move_out ]])</f>
        <v>95</v>
      </c>
      <c r="F54" s="2"/>
      <c r="G54" s="1" t="str">
        <f ca="1">IF(DMRB5[[#This Row],[Move_in]]="","",TODAY()-DMRB5[[#This Row],[Move_in]])</f>
        <v/>
      </c>
      <c r="H5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4" s="3">
        <f>IF(DMRB5[[#This Row],[Move_out ]]="","",
IF(OR(DMRB5[[#This Row],[Insp_status ]]="In Progress",DMRB5[[#This Row],[Insp_status ]]="Done",
DMRB5[[#This Row],[Insp_status ]]="Scheduled"),
WORKDAY(DMRB5[[#This Row],[Move_out ]],1),
""))</f>
        <v>46003</v>
      </c>
      <c r="J54" s="1" t="s">
        <v>0</v>
      </c>
      <c r="K54" s="3">
        <f>IF(DMRB5[[#This Row],[Move_out ]]="","",
IF(OR(DMRB5[[#This Row],[Paint_status]]="In Progress",DMRB5[[#This Row],[Paint_status]]="Done",
DMRB5[[#This Row],[Paint_status]]="Scheduled"),
WORKDAY(DMRB5[[#This Row],[Move_out ]],2),
""))</f>
        <v>46006</v>
      </c>
      <c r="L54" s="1" t="s">
        <v>0</v>
      </c>
      <c r="M54" s="3">
        <f>IF(DMRB5[[#This Row],[Move_out ]]="","",
IF(OR(DMRB5[[#This Row],[MR_Status]]="In Progress",DMRB5[[#This Row],[MR_Status]]="Done",
DMRB5[[#This Row],[MR_Status]]="Scheduled"),
WORKDAY(DMRB5[[#This Row],[Move_out ]],3),
""))</f>
        <v>46007</v>
      </c>
      <c r="N54" s="1" t="s">
        <v>0</v>
      </c>
      <c r="O54" s="3">
        <f>IF(DMRB5[[#This Row],[Move_out ]]="","",
IF(OR(DMRB5[[#This Row],[HK_Status]]="In Progress",DMRB5[[#This Row],[HK_Status]]="Done",
DMRB5[[#This Row],[HK_Status]]="Scheduled"),
WORKDAY(DMRB5[[#This Row],[Move_out ]],6),
""))</f>
        <v>46010</v>
      </c>
      <c r="P54" s="1" t="s">
        <v>0</v>
      </c>
      <c r="Q54" s="3">
        <f>IF(DMRB5[[#This Row],[Move_out ]]="","",
IF(OR(DMRB5[[#This Row],[CC_status]]="In Progress",DMRB5[[#This Row],[CC_status]]="Done",
DMRB5[[#This Row],[CC_status]]="Scheduled"),
WORKDAY(DMRB5[[#This Row],[Move_out ]],7),
""))</f>
        <v>46013</v>
      </c>
      <c r="R54" s="1" t="s">
        <v>0</v>
      </c>
      <c r="S54" s="2" t="s">
        <v>39</v>
      </c>
      <c r="T54" s="1" t="s">
        <v>100</v>
      </c>
      <c r="U54" s="1" t="s">
        <v>36</v>
      </c>
      <c r="V54" s="1" t="str">
        <f>IF(TRIM(CLEAN(A54))="","",_xlfn.TEXTBEFORE(_xlfn.TEXTAFTER(A54,"Unit "),"-"))</f>
        <v>7</v>
      </c>
      <c r="W54" s="1" t="str">
        <f>IF(TRIM(CLEAN(A54))="","",_xlfn.TEXTBEFORE(_xlfn.TEXTAFTER(A54,"-"),"-"))</f>
        <v>11</v>
      </c>
      <c r="X54" s="1" t="str">
        <f>IF(TRIM(CLEAN(A54))="","",_xlfn.TEXTAFTER(A54,"-",-1))</f>
        <v>0315</v>
      </c>
    </row>
    <row r="55" spans="1:24" x14ac:dyDescent="0.3">
      <c r="A55" s="4" t="s">
        <v>70</v>
      </c>
      <c r="B55" s="1" t="s">
        <v>41</v>
      </c>
      <c r="C55" s="3">
        <v>46016</v>
      </c>
      <c r="D55" s="3">
        <v>46038</v>
      </c>
      <c r="E55" s="1">
        <f ca="1">IF(DMRB5[[#This Row],[Move_out ]]="","",TODAY()-DMRB5[[#This Row],[Move_out ]])</f>
        <v>81</v>
      </c>
      <c r="F55" s="2"/>
      <c r="G55" s="1" t="str">
        <f ca="1">IF(DMRB5[[#This Row],[Move_in]]="","",TODAY()-DMRB5[[#This Row],[Move_in]])</f>
        <v/>
      </c>
      <c r="H5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5" s="3">
        <f>IF(DMRB5[[#This Row],[Move_out ]]="","",
IF(OR(DMRB5[[#This Row],[Insp_status ]]="In Progress",DMRB5[[#This Row],[Insp_status ]]="Done",
DMRB5[[#This Row],[Insp_status ]]="Scheduled"),
WORKDAY(DMRB5[[#This Row],[Move_out ]],1),
""))</f>
        <v>46017</v>
      </c>
      <c r="J55" s="1" t="s">
        <v>0</v>
      </c>
      <c r="K55" s="3">
        <f>IF(DMRB5[[#This Row],[Move_out ]]="","",
IF(OR(DMRB5[[#This Row],[Paint_status]]="In Progress",DMRB5[[#This Row],[Paint_status]]="Done",
DMRB5[[#This Row],[Paint_status]]="Scheduled"),
WORKDAY(DMRB5[[#This Row],[Move_out ]],2),
""))</f>
        <v>46020</v>
      </c>
      <c r="L55" s="1" t="s">
        <v>0</v>
      </c>
      <c r="M55" s="3">
        <f>IF(DMRB5[[#This Row],[Move_out ]]="","",
IF(OR(DMRB5[[#This Row],[MR_Status]]="In Progress",DMRB5[[#This Row],[MR_Status]]="Done",
DMRB5[[#This Row],[MR_Status]]="Scheduled"),
WORKDAY(DMRB5[[#This Row],[Move_out ]],3),
""))</f>
        <v>46021</v>
      </c>
      <c r="N55" s="1" t="s">
        <v>0</v>
      </c>
      <c r="O55" s="3">
        <f>IF(DMRB5[[#This Row],[Move_out ]]="","",
IF(OR(DMRB5[[#This Row],[HK_Status]]="In Progress",DMRB5[[#This Row],[HK_Status]]="Done",
DMRB5[[#This Row],[HK_Status]]="Scheduled"),
WORKDAY(DMRB5[[#This Row],[Move_out ]],6),
""))</f>
        <v>46024</v>
      </c>
      <c r="P55" s="1" t="s">
        <v>0</v>
      </c>
      <c r="Q55" s="3">
        <f>IF(DMRB5[[#This Row],[Move_out ]]="","",
IF(OR(DMRB5[[#This Row],[CC_status]]="In Progress",DMRB5[[#This Row],[CC_status]]="Done",
DMRB5[[#This Row],[CC_status]]="Scheduled"),
WORKDAY(DMRB5[[#This Row],[Move_out ]],7),
""))</f>
        <v>46027</v>
      </c>
      <c r="R55" s="1" t="s">
        <v>0</v>
      </c>
      <c r="S55" s="2" t="s">
        <v>2</v>
      </c>
      <c r="T55" s="1" t="s">
        <v>100</v>
      </c>
      <c r="U55" s="1" t="s">
        <v>36</v>
      </c>
      <c r="V55" s="1" t="str">
        <f>IF(TRIM(CLEAN(A55))="","",_xlfn.TEXTBEFORE(_xlfn.TEXTAFTER(A55,"Unit "),"-"))</f>
        <v>5</v>
      </c>
      <c r="W55" s="1" t="str">
        <f>IF(TRIM(CLEAN(A55))="","",_xlfn.TEXTBEFORE(_xlfn.TEXTAFTER(A55,"-"),"-"))</f>
        <v>02</v>
      </c>
      <c r="X55" s="1" t="str">
        <f>IF(TRIM(CLEAN(A55))="","",_xlfn.TEXTAFTER(A55,"-",-1))</f>
        <v>0109</v>
      </c>
    </row>
    <row r="56" spans="1:24" x14ac:dyDescent="0.3">
      <c r="A56" s="4" t="s">
        <v>71</v>
      </c>
      <c r="B56" s="1" t="s">
        <v>41</v>
      </c>
      <c r="C56" s="3">
        <v>46021</v>
      </c>
      <c r="D56" s="3">
        <v>46038</v>
      </c>
      <c r="E56" s="1">
        <f ca="1">IF(DMRB5[[#This Row],[Move_out ]]="","",TODAY()-DMRB5[[#This Row],[Move_out ]])</f>
        <v>76</v>
      </c>
      <c r="F56" s="2"/>
      <c r="G56" s="1" t="str">
        <f ca="1">IF(DMRB5[[#This Row],[Move_in]]="","",TODAY()-DMRB5[[#This Row],[Move_in]])</f>
        <v/>
      </c>
      <c r="H5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6" s="3">
        <f>IF(DMRB5[[#This Row],[Move_out ]]="","",
IF(OR(DMRB5[[#This Row],[Insp_status ]]="In Progress",DMRB5[[#This Row],[Insp_status ]]="Done",
DMRB5[[#This Row],[Insp_status ]]="Scheduled"),
WORKDAY(DMRB5[[#This Row],[Move_out ]],1),
""))</f>
        <v>46022</v>
      </c>
      <c r="J56" s="1" t="s">
        <v>0</v>
      </c>
      <c r="K56" s="3">
        <f>IF(DMRB5[[#This Row],[Move_out ]]="","",
IF(OR(DMRB5[[#This Row],[Paint_status]]="In Progress",DMRB5[[#This Row],[Paint_status]]="Done",
DMRB5[[#This Row],[Paint_status]]="Scheduled"),
WORKDAY(DMRB5[[#This Row],[Move_out ]],2),
""))</f>
        <v>46023</v>
      </c>
      <c r="L56" s="1" t="s">
        <v>0</v>
      </c>
      <c r="M56" s="3">
        <f>IF(DMRB5[[#This Row],[Move_out ]]="","",
IF(OR(DMRB5[[#This Row],[MR_Status]]="In Progress",DMRB5[[#This Row],[MR_Status]]="Done",
DMRB5[[#This Row],[MR_Status]]="Scheduled"),
WORKDAY(DMRB5[[#This Row],[Move_out ]],3),
""))</f>
        <v>46024</v>
      </c>
      <c r="N56" s="1" t="s">
        <v>0</v>
      </c>
      <c r="O56" s="3">
        <f>IF(DMRB5[[#This Row],[Move_out ]]="","",
IF(OR(DMRB5[[#This Row],[HK_Status]]="In Progress",DMRB5[[#This Row],[HK_Status]]="Done",
DMRB5[[#This Row],[HK_Status]]="Scheduled"),
WORKDAY(DMRB5[[#This Row],[Move_out ]],6),
""))</f>
        <v>46029</v>
      </c>
      <c r="P56" s="1" t="s">
        <v>0</v>
      </c>
      <c r="Q56" s="3">
        <f>IF(DMRB5[[#This Row],[Move_out ]]="","",
IF(OR(DMRB5[[#This Row],[CC_status]]="In Progress",DMRB5[[#This Row],[CC_status]]="Done",
DMRB5[[#This Row],[CC_status]]="Scheduled"),
WORKDAY(DMRB5[[#This Row],[Move_out ]],7),
""))</f>
        <v>46030</v>
      </c>
      <c r="R56" s="1" t="s">
        <v>0</v>
      </c>
      <c r="S56" s="2" t="s">
        <v>39</v>
      </c>
      <c r="T56" s="1" t="s">
        <v>100</v>
      </c>
      <c r="U56" s="1" t="s">
        <v>36</v>
      </c>
      <c r="V56" s="1" t="str">
        <f>IF(TRIM(CLEAN(A56))="","",_xlfn.TEXTBEFORE(_xlfn.TEXTAFTER(A56,"Unit "),"-"))</f>
        <v>7</v>
      </c>
      <c r="W56" s="1" t="str">
        <f>IF(TRIM(CLEAN(A56))="","",_xlfn.TEXTBEFORE(_xlfn.TEXTAFTER(A56,"-"),"-"))</f>
        <v>04</v>
      </c>
      <c r="X56" s="1" t="str">
        <f>IF(TRIM(CLEAN(A56))="","",_xlfn.TEXTAFTER(A56,"-",-1))</f>
        <v>0303</v>
      </c>
    </row>
    <row r="57" spans="1:24" x14ac:dyDescent="0.3">
      <c r="A57" s="4" t="s">
        <v>73</v>
      </c>
      <c r="B57" s="1" t="s">
        <v>41</v>
      </c>
      <c r="C57" s="3">
        <v>46024</v>
      </c>
      <c r="D57" s="3">
        <v>46038</v>
      </c>
      <c r="E57" s="1">
        <f ca="1">IF(DMRB5[[#This Row],[Move_out ]]="","",TODAY()-DMRB5[[#This Row],[Move_out ]])</f>
        <v>73</v>
      </c>
      <c r="F57" s="2"/>
      <c r="G57" s="1" t="str">
        <f ca="1">IF(DMRB5[[#This Row],[Move_in]]="","",TODAY()-DMRB5[[#This Row],[Move_in]])</f>
        <v/>
      </c>
      <c r="H5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7" s="3">
        <f>IF(DMRB5[[#This Row],[Move_out ]]="","",
IF(OR(DMRB5[[#This Row],[Insp_status ]]="In Progress",DMRB5[[#This Row],[Insp_status ]]="Done",
DMRB5[[#This Row],[Insp_status ]]="Scheduled"),
WORKDAY(DMRB5[[#This Row],[Move_out ]],1),
""))</f>
        <v>46027</v>
      </c>
      <c r="J57" s="1" t="s">
        <v>0</v>
      </c>
      <c r="K57" s="3">
        <f>IF(DMRB5[[#This Row],[Move_out ]]="","",
IF(OR(DMRB5[[#This Row],[Paint_status]]="In Progress",DMRB5[[#This Row],[Paint_status]]="Done",
DMRB5[[#This Row],[Paint_status]]="Scheduled"),
WORKDAY(DMRB5[[#This Row],[Move_out ]],2),
""))</f>
        <v>46028</v>
      </c>
      <c r="L57" s="1" t="s">
        <v>0</v>
      </c>
      <c r="M57" s="3">
        <f>IF(DMRB5[[#This Row],[Move_out ]]="","",
IF(OR(DMRB5[[#This Row],[MR_Status]]="In Progress",DMRB5[[#This Row],[MR_Status]]="Done",
DMRB5[[#This Row],[MR_Status]]="Scheduled"),
WORKDAY(DMRB5[[#This Row],[Move_out ]],3),
""))</f>
        <v>46029</v>
      </c>
      <c r="N57" s="1" t="s">
        <v>0</v>
      </c>
      <c r="O57" s="3">
        <f>IF(DMRB5[[#This Row],[Move_out ]]="","",
IF(OR(DMRB5[[#This Row],[HK_Status]]="In Progress",DMRB5[[#This Row],[HK_Status]]="Done",
DMRB5[[#This Row],[HK_Status]]="Scheduled"),
WORKDAY(DMRB5[[#This Row],[Move_out ]],6),
""))</f>
        <v>46034</v>
      </c>
      <c r="P57" s="1" t="s">
        <v>0</v>
      </c>
      <c r="Q57" s="3">
        <f>IF(DMRB5[[#This Row],[Move_out ]]="","",
IF(OR(DMRB5[[#This Row],[CC_status]]="In Progress",DMRB5[[#This Row],[CC_status]]="Done",
DMRB5[[#This Row],[CC_status]]="Scheduled"),
WORKDAY(DMRB5[[#This Row],[Move_out ]],7),
""))</f>
        <v>46035</v>
      </c>
      <c r="R57" s="1" t="s">
        <v>0</v>
      </c>
      <c r="S57" s="2" t="s">
        <v>102</v>
      </c>
      <c r="T57" s="1" t="s">
        <v>100</v>
      </c>
      <c r="U57" s="1" t="s">
        <v>36</v>
      </c>
      <c r="V57" s="1" t="str">
        <f>IF(TRIM(CLEAN(A57))="","",_xlfn.TEXTBEFORE(_xlfn.TEXTAFTER(A57,"Unit "),"-"))</f>
        <v>7</v>
      </c>
      <c r="W57" s="1" t="str">
        <f>IF(TRIM(CLEAN(A57))="","",_xlfn.TEXTBEFORE(_xlfn.TEXTAFTER(A57,"-"),"-"))</f>
        <v>02</v>
      </c>
      <c r="X57" s="1" t="str">
        <f>IF(TRIM(CLEAN(A57))="","",_xlfn.TEXTAFTER(A57,"-",-1))</f>
        <v>0302</v>
      </c>
    </row>
    <row r="58" spans="1:24" x14ac:dyDescent="0.3">
      <c r="A58" s="74" t="s">
        <v>121</v>
      </c>
      <c r="B58" s="1" t="s">
        <v>41</v>
      </c>
      <c r="C58" s="3">
        <v>46027</v>
      </c>
      <c r="D58" s="75">
        <v>46041</v>
      </c>
      <c r="E58" s="1">
        <f ca="1">IF(DMRB5[[#This Row],[Move_out ]]="","",TODAY()-DMRB5[[#This Row],[Move_out ]])</f>
        <v>70</v>
      </c>
      <c r="F58" s="2"/>
      <c r="G58" s="1" t="str">
        <f ca="1">IF(DMRB5[[#This Row],[Move_in]]="","",TODAY()-DMRB5[[#This Row],[Move_in]])</f>
        <v/>
      </c>
      <c r="H5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8" s="3">
        <f>IF(DMRB5[[#This Row],[Move_out ]]="","",
IF(OR(DMRB5[[#This Row],[Insp_status ]]="In Progress",DMRB5[[#This Row],[Insp_status ]]="Done",
DMRB5[[#This Row],[Insp_status ]]="Scheduled"),
WORKDAY(DMRB5[[#This Row],[Move_out ]],1),
""))</f>
        <v>46028</v>
      </c>
      <c r="J58" s="1" t="s">
        <v>0</v>
      </c>
      <c r="K58" s="3">
        <f>IF(DMRB5[[#This Row],[Move_out ]]="","",
IF(OR(DMRB5[[#This Row],[Paint_status]]="In Progress",DMRB5[[#This Row],[Paint_status]]="Done",
DMRB5[[#This Row],[Paint_status]]="Scheduled"),
WORKDAY(DMRB5[[#This Row],[Move_out ]],2),
""))</f>
        <v>46029</v>
      </c>
      <c r="L58" s="1" t="s">
        <v>0</v>
      </c>
      <c r="M58" s="3">
        <f>IF(DMRB5[[#This Row],[Move_out ]]="","",
IF(OR(DMRB5[[#This Row],[MR_Status]]="In Progress",DMRB5[[#This Row],[MR_Status]]="Done",
DMRB5[[#This Row],[MR_Status]]="Scheduled"),
WORKDAY(DMRB5[[#This Row],[Move_out ]],3),
""))</f>
        <v>46030</v>
      </c>
      <c r="N58" s="1" t="s">
        <v>0</v>
      </c>
      <c r="O58" s="3">
        <f>IF(DMRB5[[#This Row],[Move_out ]]="","",
IF(OR(DMRB5[[#This Row],[HK_Status]]="In Progress",DMRB5[[#This Row],[HK_Status]]="Done",
DMRB5[[#This Row],[HK_Status]]="Scheduled"),
WORKDAY(DMRB5[[#This Row],[Move_out ]],6),
""))</f>
        <v>46035</v>
      </c>
      <c r="P58" s="1" t="s">
        <v>0</v>
      </c>
      <c r="Q58" s="3">
        <f>IF(DMRB5[[#This Row],[Move_out ]]="","",
IF(OR(DMRB5[[#This Row],[CC_status]]="In Progress",DMRB5[[#This Row],[CC_status]]="Done",
DMRB5[[#This Row],[CC_status]]="Scheduled"),
WORKDAY(DMRB5[[#This Row],[Move_out ]],7),
""))</f>
        <v>46036</v>
      </c>
      <c r="R58" s="1" t="s">
        <v>0</v>
      </c>
      <c r="S58" s="2" t="s">
        <v>39</v>
      </c>
      <c r="T58" s="3" t="s">
        <v>43</v>
      </c>
      <c r="U58" s="1" t="s">
        <v>36</v>
      </c>
      <c r="V58" s="1" t="str">
        <f>IF(TRIM(CLEAN(A58))="","",_xlfn.TEXTBEFORE(_xlfn.TEXTAFTER(A58,"Unit "),"-"))</f>
        <v>7</v>
      </c>
      <c r="W58" s="1" t="str">
        <f>IF(TRIM(CLEAN(A58))="","",_xlfn.TEXTBEFORE(_xlfn.TEXTAFTER(A58,"-"),"-"))</f>
        <v>06</v>
      </c>
      <c r="X58" s="1" t="str">
        <f>IF(TRIM(CLEAN(A58))="","",_xlfn.TEXTAFTER(A58,"-",-1))</f>
        <v>0106</v>
      </c>
    </row>
    <row r="59" spans="1:24" x14ac:dyDescent="0.3">
      <c r="A59" s="4" t="s">
        <v>75</v>
      </c>
      <c r="B59" s="1" t="s">
        <v>41</v>
      </c>
      <c r="C59" s="3">
        <v>46029</v>
      </c>
      <c r="D59" s="3">
        <v>46048</v>
      </c>
      <c r="E59" s="1">
        <f ca="1">IF(DMRB5[[#This Row],[Move_out ]]="","",TODAY()-DMRB5[[#This Row],[Move_out ]])</f>
        <v>68</v>
      </c>
      <c r="F59" s="2"/>
      <c r="G59" s="1" t="str">
        <f ca="1">IF(DMRB5[[#This Row],[Move_in]]="","",TODAY()-DMRB5[[#This Row],[Move_in]])</f>
        <v/>
      </c>
      <c r="H5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9" s="3">
        <f>IF(DMRB5[[#This Row],[Move_out ]]="","",
IF(OR(DMRB5[[#This Row],[Insp_status ]]="In Progress",DMRB5[[#This Row],[Insp_status ]]="Done",
DMRB5[[#This Row],[Insp_status ]]="Scheduled"),
WORKDAY(DMRB5[[#This Row],[Move_out ]],1),
""))</f>
        <v>46030</v>
      </c>
      <c r="J59" s="1" t="s">
        <v>0</v>
      </c>
      <c r="K59" s="3">
        <f>IF(DMRB5[[#This Row],[Move_out ]]="","",
IF(OR(DMRB5[[#This Row],[Paint_status]]="In Progress",DMRB5[[#This Row],[Paint_status]]="Done",
DMRB5[[#This Row],[Paint_status]]="Scheduled"),
WORKDAY(DMRB5[[#This Row],[Move_out ]],2),
""))</f>
        <v>46031</v>
      </c>
      <c r="L59" s="1" t="s">
        <v>0</v>
      </c>
      <c r="M59" s="3">
        <f>IF(DMRB5[[#This Row],[Move_out ]]="","",
IF(OR(DMRB5[[#This Row],[MR_Status]]="In Progress",DMRB5[[#This Row],[MR_Status]]="Done",
DMRB5[[#This Row],[MR_Status]]="Scheduled"),
WORKDAY(DMRB5[[#This Row],[Move_out ]],3),
""))</f>
        <v>46034</v>
      </c>
      <c r="N59" s="1" t="s">
        <v>0</v>
      </c>
      <c r="O59" s="3">
        <f>IF(DMRB5[[#This Row],[Move_out ]]="","",
IF(OR(DMRB5[[#This Row],[HK_Status]]="In Progress",DMRB5[[#This Row],[HK_Status]]="Done",
DMRB5[[#This Row],[HK_Status]]="Scheduled"),
WORKDAY(DMRB5[[#This Row],[Move_out ]],6),
""))</f>
        <v>46037</v>
      </c>
      <c r="P59" s="1" t="s">
        <v>0</v>
      </c>
      <c r="Q59" s="3">
        <f>IF(DMRB5[[#This Row],[Move_out ]]="","",
IF(OR(DMRB5[[#This Row],[CC_status]]="In Progress",DMRB5[[#This Row],[CC_status]]="Done",
DMRB5[[#This Row],[CC_status]]="Scheduled"),
WORKDAY(DMRB5[[#This Row],[Move_out ]],7),
""))</f>
        <v>46038</v>
      </c>
      <c r="R59" s="1" t="s">
        <v>0</v>
      </c>
      <c r="S59" s="2" t="s">
        <v>39</v>
      </c>
      <c r="T59" s="1" t="s">
        <v>1</v>
      </c>
      <c r="U59" s="1" t="s">
        <v>36</v>
      </c>
      <c r="V59" s="1" t="str">
        <f>IF(TRIM(CLEAN(A59))="","",_xlfn.TEXTBEFORE(_xlfn.TEXTAFTER(A59,"Unit "),"-"))</f>
        <v>7</v>
      </c>
      <c r="W59" s="1" t="str">
        <f>IF(TRIM(CLEAN(A59))="","",_xlfn.TEXTBEFORE(_xlfn.TEXTAFTER(A59,"-"),"-"))</f>
        <v>11</v>
      </c>
      <c r="X59" s="1" t="str">
        <f>IF(TRIM(CLEAN(A59))="","",_xlfn.TEXTAFTER(A59,"-",-1))</f>
        <v>0318</v>
      </c>
    </row>
    <row r="60" spans="1:24" x14ac:dyDescent="0.3">
      <c r="A60" s="4" t="s">
        <v>77</v>
      </c>
      <c r="B60" s="1" t="s">
        <v>41</v>
      </c>
      <c r="C60" s="3">
        <v>46037</v>
      </c>
      <c r="D60" s="3">
        <v>46059</v>
      </c>
      <c r="E60" s="1">
        <f ca="1">IF(DMRB5[[#This Row],[Move_out ]]="","",TODAY()-DMRB5[[#This Row],[Move_out ]])</f>
        <v>60</v>
      </c>
      <c r="F60" s="2"/>
      <c r="G60" s="1" t="str">
        <f ca="1">IF(DMRB5[[#This Row],[Move_in]]="","",TODAY()-DMRB5[[#This Row],[Move_in]])</f>
        <v/>
      </c>
      <c r="H6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0" s="3">
        <f>IF(DMRB5[[#This Row],[Move_out ]]="","",
IF(OR(DMRB5[[#This Row],[Insp_status ]]="In Progress",DMRB5[[#This Row],[Insp_status ]]="Done",
DMRB5[[#This Row],[Insp_status ]]="Scheduled"),
WORKDAY(DMRB5[[#This Row],[Move_out ]],1),
""))</f>
        <v>46038</v>
      </c>
      <c r="J60" s="1" t="s">
        <v>0</v>
      </c>
      <c r="K60" s="3">
        <f>IF(DMRB5[[#This Row],[Move_out ]]="","",
IF(OR(DMRB5[[#This Row],[Paint_status]]="In Progress",DMRB5[[#This Row],[Paint_status]]="Done",
DMRB5[[#This Row],[Paint_status]]="Scheduled"),
WORKDAY(DMRB5[[#This Row],[Move_out ]],2),
""))</f>
        <v>46041</v>
      </c>
      <c r="L60" s="1" t="s">
        <v>0</v>
      </c>
      <c r="M60" s="3">
        <f>IF(DMRB5[[#This Row],[Move_out ]]="","",
IF(OR(DMRB5[[#This Row],[MR_Status]]="In Progress",DMRB5[[#This Row],[MR_Status]]="Done",
DMRB5[[#This Row],[MR_Status]]="Scheduled"),
WORKDAY(DMRB5[[#This Row],[Move_out ]],3),
""))</f>
        <v>46042</v>
      </c>
      <c r="N60" s="1" t="s">
        <v>0</v>
      </c>
      <c r="O60" s="3">
        <f>IF(DMRB5[[#This Row],[Move_out ]]="","",
IF(OR(DMRB5[[#This Row],[HK_Status]]="In Progress",DMRB5[[#This Row],[HK_Status]]="Done",
DMRB5[[#This Row],[HK_Status]]="Scheduled"),
WORKDAY(DMRB5[[#This Row],[Move_out ]],6),
""))</f>
        <v>46045</v>
      </c>
      <c r="P60" s="1" t="s">
        <v>0</v>
      </c>
      <c r="Q60" s="3">
        <f>IF(DMRB5[[#This Row],[Move_out ]]="","",
IF(OR(DMRB5[[#This Row],[CC_status]]="In Progress",DMRB5[[#This Row],[CC_status]]="Done",
DMRB5[[#This Row],[CC_status]]="Scheduled"),
WORKDAY(DMRB5[[#This Row],[Move_out ]],7),
""))</f>
        <v>46048</v>
      </c>
      <c r="R60" s="1" t="s">
        <v>0</v>
      </c>
      <c r="S60" s="2" t="s">
        <v>2</v>
      </c>
      <c r="T60" s="1" t="s">
        <v>1</v>
      </c>
      <c r="U60" s="1" t="s">
        <v>36</v>
      </c>
      <c r="V60" s="1" t="str">
        <f>IF(TRIM(CLEAN(A60))="","",_xlfn.TEXTBEFORE(_xlfn.TEXTAFTER(A60,"Unit "),"-"))</f>
        <v>5</v>
      </c>
      <c r="W60" s="1" t="str">
        <f>IF(TRIM(CLEAN(A60))="","",_xlfn.TEXTBEFORE(_xlfn.TEXTAFTER(A60,"-"),"-"))</f>
        <v>18</v>
      </c>
      <c r="X60" s="1" t="str">
        <f>IF(TRIM(CLEAN(A60))="","",_xlfn.TEXTAFTER(A60,"-",-1))</f>
        <v>0218</v>
      </c>
    </row>
    <row r="61" spans="1:24" x14ac:dyDescent="0.3">
      <c r="A61" s="4" t="s">
        <v>78</v>
      </c>
      <c r="B61" s="1" t="s">
        <v>41</v>
      </c>
      <c r="C61" s="3">
        <v>46038</v>
      </c>
      <c r="D61" s="3">
        <v>46059</v>
      </c>
      <c r="E61" s="1">
        <f ca="1">IF(DMRB5[[#This Row],[Move_out ]]="","",TODAY()-DMRB5[[#This Row],[Move_out ]])</f>
        <v>59</v>
      </c>
      <c r="F61" s="2"/>
      <c r="G61" s="1" t="str">
        <f ca="1">IF(DMRB5[[#This Row],[Move_in]]="","",TODAY()-DMRB5[[#This Row],[Move_in]])</f>
        <v/>
      </c>
      <c r="H6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1" s="3">
        <f>IF(DMRB5[[#This Row],[Move_out ]]="","",
IF(OR(DMRB5[[#This Row],[Insp_status ]]="In Progress",DMRB5[[#This Row],[Insp_status ]]="Done",
DMRB5[[#This Row],[Insp_status ]]="Scheduled"),
WORKDAY(DMRB5[[#This Row],[Move_out ]],1),
""))</f>
        <v>46041</v>
      </c>
      <c r="J61" s="1" t="s">
        <v>0</v>
      </c>
      <c r="K61" s="3">
        <f>IF(DMRB5[[#This Row],[Move_out ]]="","",
IF(OR(DMRB5[[#This Row],[Paint_status]]="In Progress",DMRB5[[#This Row],[Paint_status]]="Done",
DMRB5[[#This Row],[Paint_status]]="Scheduled"),
WORKDAY(DMRB5[[#This Row],[Move_out ]],2),
""))</f>
        <v>46042</v>
      </c>
      <c r="L61" s="1" t="s">
        <v>0</v>
      </c>
      <c r="M61" s="3">
        <f>IF(DMRB5[[#This Row],[Move_out ]]="","",
IF(OR(DMRB5[[#This Row],[MR_Status]]="In Progress",DMRB5[[#This Row],[MR_Status]]="Done",
DMRB5[[#This Row],[MR_Status]]="Scheduled"),
WORKDAY(DMRB5[[#This Row],[Move_out ]],3),
""))</f>
        <v>46043</v>
      </c>
      <c r="N61" s="1" t="s">
        <v>0</v>
      </c>
      <c r="O61" s="3">
        <f>IF(DMRB5[[#This Row],[Move_out ]]="","",
IF(OR(DMRB5[[#This Row],[HK_Status]]="In Progress",DMRB5[[#This Row],[HK_Status]]="Done",
DMRB5[[#This Row],[HK_Status]]="Scheduled"),
WORKDAY(DMRB5[[#This Row],[Move_out ]],6),
""))</f>
        <v>46048</v>
      </c>
      <c r="P61" s="1" t="s">
        <v>0</v>
      </c>
      <c r="Q61" s="3">
        <f>IF(DMRB5[[#This Row],[Move_out ]]="","",
IF(OR(DMRB5[[#This Row],[CC_status]]="In Progress",DMRB5[[#This Row],[CC_status]]="Done",
DMRB5[[#This Row],[CC_status]]="Scheduled"),
WORKDAY(DMRB5[[#This Row],[Move_out ]],7),
""))</f>
        <v>46049</v>
      </c>
      <c r="R61" s="1" t="s">
        <v>0</v>
      </c>
      <c r="S61" s="2" t="s">
        <v>102</v>
      </c>
      <c r="T61" s="1" t="s">
        <v>43</v>
      </c>
      <c r="U61" s="1" t="s">
        <v>36</v>
      </c>
      <c r="V61" s="1" t="str">
        <f>IF(TRIM(CLEAN(A61))="","",_xlfn.TEXTBEFORE(_xlfn.TEXTAFTER(A61,"Unit "),"-"))</f>
        <v>7</v>
      </c>
      <c r="W61" s="1" t="str">
        <f>IF(TRIM(CLEAN(A61))="","",_xlfn.TEXTBEFORE(_xlfn.TEXTAFTER(A61,"-"),"-"))</f>
        <v>10</v>
      </c>
      <c r="X61" s="1" t="str">
        <f>IF(TRIM(CLEAN(A61))="","",_xlfn.TEXTAFTER(A61,"-",-1))</f>
        <v>0302</v>
      </c>
    </row>
    <row r="62" spans="1:24" x14ac:dyDescent="0.3">
      <c r="A62" s="4" t="s">
        <v>79</v>
      </c>
      <c r="B62" s="1" t="s">
        <v>41</v>
      </c>
      <c r="C62" s="3">
        <v>46038</v>
      </c>
      <c r="D62" s="3">
        <v>46066</v>
      </c>
      <c r="E62" s="1">
        <f ca="1">IF(DMRB5[[#This Row],[Move_out ]]="","",TODAY()-DMRB5[[#This Row],[Move_out ]])</f>
        <v>59</v>
      </c>
      <c r="F62" s="2"/>
      <c r="G62" s="1" t="str">
        <f ca="1">IF(DMRB5[[#This Row],[Move_in]]="","",TODAY()-DMRB5[[#This Row],[Move_in]])</f>
        <v/>
      </c>
      <c r="H6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2" s="3">
        <f>IF(DMRB5[[#This Row],[Move_out ]]="","",
IF(OR(DMRB5[[#This Row],[Insp_status ]]="In Progress",DMRB5[[#This Row],[Insp_status ]]="Done",
DMRB5[[#This Row],[Insp_status ]]="Scheduled"),
WORKDAY(DMRB5[[#This Row],[Move_out ]],1),
""))</f>
        <v>46041</v>
      </c>
      <c r="J62" s="1" t="s">
        <v>0</v>
      </c>
      <c r="K62" s="3">
        <f>IF(DMRB5[[#This Row],[Move_out ]]="","",
IF(OR(DMRB5[[#This Row],[Paint_status]]="In Progress",DMRB5[[#This Row],[Paint_status]]="Done",
DMRB5[[#This Row],[Paint_status]]="Scheduled"),
WORKDAY(DMRB5[[#This Row],[Move_out ]],2),
""))</f>
        <v>46042</v>
      </c>
      <c r="L62" s="1" t="s">
        <v>0</v>
      </c>
      <c r="M62" s="3">
        <f>IF(DMRB5[[#This Row],[Move_out ]]="","",
IF(OR(DMRB5[[#This Row],[MR_Status]]="In Progress",DMRB5[[#This Row],[MR_Status]]="Done",
DMRB5[[#This Row],[MR_Status]]="Scheduled"),
WORKDAY(DMRB5[[#This Row],[Move_out ]],3),
""))</f>
        <v>46043</v>
      </c>
      <c r="N62" s="1" t="s">
        <v>0</v>
      </c>
      <c r="O62" s="3">
        <f>IF(DMRB5[[#This Row],[Move_out ]]="","",
IF(OR(DMRB5[[#This Row],[HK_Status]]="In Progress",DMRB5[[#This Row],[HK_Status]]="Done",
DMRB5[[#This Row],[HK_Status]]="Scheduled"),
WORKDAY(DMRB5[[#This Row],[Move_out ]],6),
""))</f>
        <v>46048</v>
      </c>
      <c r="P62" s="1" t="s">
        <v>4</v>
      </c>
      <c r="Q62" s="3">
        <f>IF(DMRB5[[#This Row],[Move_out ]]="","",
IF(OR(DMRB5[[#This Row],[CC_status]]="In Progress",DMRB5[[#This Row],[CC_status]]="Done",
DMRB5[[#This Row],[CC_status]]="Scheduled"),
WORKDAY(DMRB5[[#This Row],[Move_out ]],7),
""))</f>
        <v>46049</v>
      </c>
      <c r="R62" s="1" t="s">
        <v>4</v>
      </c>
      <c r="S62" s="2" t="s">
        <v>2</v>
      </c>
      <c r="T62" s="1" t="s">
        <v>43</v>
      </c>
      <c r="U62" s="1" t="s">
        <v>36</v>
      </c>
      <c r="V62" s="1" t="str">
        <f>IF(TRIM(CLEAN(A62))="","",_xlfn.TEXTBEFORE(_xlfn.TEXTAFTER(A62,"Unit "),"-"))</f>
        <v>5</v>
      </c>
      <c r="W62" s="1" t="str">
        <f>IF(TRIM(CLEAN(A62))="","",_xlfn.TEXTBEFORE(_xlfn.TEXTAFTER(A62,"-"),"-"))</f>
        <v>17</v>
      </c>
      <c r="X62" s="1" t="str">
        <f>IF(TRIM(CLEAN(A62))="","",_xlfn.TEXTAFTER(A62,"-",-1))</f>
        <v>0215</v>
      </c>
    </row>
    <row r="63" spans="1:24" x14ac:dyDescent="0.3">
      <c r="A63" s="4" t="s">
        <v>80</v>
      </c>
      <c r="B63" s="1" t="s">
        <v>41</v>
      </c>
      <c r="C63" s="3">
        <v>46039</v>
      </c>
      <c r="D63" s="3">
        <v>46059</v>
      </c>
      <c r="E63" s="1">
        <f ca="1">IF(DMRB5[[#This Row],[Move_out ]]="","",TODAY()-DMRB5[[#This Row],[Move_out ]])</f>
        <v>58</v>
      </c>
      <c r="F63" s="2"/>
      <c r="G63" s="1" t="str">
        <f ca="1">IF(DMRB5[[#This Row],[Move_in]]="","",TODAY()-DMRB5[[#This Row],[Move_in]])</f>
        <v/>
      </c>
      <c r="H6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3" s="3">
        <f>IF(DMRB5[[#This Row],[Move_out ]]="","",
IF(OR(DMRB5[[#This Row],[Insp_status ]]="In Progress",DMRB5[[#This Row],[Insp_status ]]="Done",
DMRB5[[#This Row],[Insp_status ]]="Scheduled"),
WORKDAY(DMRB5[[#This Row],[Move_out ]],1),
""))</f>
        <v>46041</v>
      </c>
      <c r="J63" s="1" t="s">
        <v>0</v>
      </c>
      <c r="K63" s="3">
        <f>IF(DMRB5[[#This Row],[Move_out ]]="","",
IF(OR(DMRB5[[#This Row],[Paint_status]]="In Progress",DMRB5[[#This Row],[Paint_status]]="Done",
DMRB5[[#This Row],[Paint_status]]="Scheduled"),
WORKDAY(DMRB5[[#This Row],[Move_out ]],2),
""))</f>
        <v>46042</v>
      </c>
      <c r="L63" s="1" t="s">
        <v>0</v>
      </c>
      <c r="M63" s="3">
        <f>IF(DMRB5[[#This Row],[Move_out ]]="","",
IF(OR(DMRB5[[#This Row],[MR_Status]]="In Progress",DMRB5[[#This Row],[MR_Status]]="Done",
DMRB5[[#This Row],[MR_Status]]="Scheduled"),
WORKDAY(DMRB5[[#This Row],[Move_out ]],3),
""))</f>
        <v>46043</v>
      </c>
      <c r="N63" s="1" t="s">
        <v>0</v>
      </c>
      <c r="O63" s="3">
        <f>IF(DMRB5[[#This Row],[Move_out ]]="","",
IF(OR(DMRB5[[#This Row],[HK_Status]]="In Progress",DMRB5[[#This Row],[HK_Status]]="Done",
DMRB5[[#This Row],[HK_Status]]="Scheduled"),
WORKDAY(DMRB5[[#This Row],[Move_out ]],6),
""))</f>
        <v>46048</v>
      </c>
      <c r="P63" s="1" t="s">
        <v>0</v>
      </c>
      <c r="Q63" s="3">
        <f>IF(DMRB5[[#This Row],[Move_out ]]="","",
IF(OR(DMRB5[[#This Row],[CC_status]]="In Progress",DMRB5[[#This Row],[CC_status]]="Done",
DMRB5[[#This Row],[CC_status]]="Scheduled"),
WORKDAY(DMRB5[[#This Row],[Move_out ]],7),
""))</f>
        <v>46049</v>
      </c>
      <c r="R63" s="1" t="s">
        <v>0</v>
      </c>
      <c r="S63" s="2" t="s">
        <v>2</v>
      </c>
      <c r="T63" s="1" t="s">
        <v>43</v>
      </c>
      <c r="U63" s="1" t="s">
        <v>36</v>
      </c>
      <c r="V63" s="1" t="str">
        <f>IF(TRIM(CLEAN(A63))="","",_xlfn.TEXTBEFORE(_xlfn.TEXTAFTER(A63,"Unit "),"-"))</f>
        <v>5</v>
      </c>
      <c r="W63" s="1" t="str">
        <f>IF(TRIM(CLEAN(A63))="","",_xlfn.TEXTBEFORE(_xlfn.TEXTAFTER(A63,"-"),"-"))</f>
        <v>17</v>
      </c>
      <c r="X63" s="1" t="str">
        <f>IF(TRIM(CLEAN(A63))="","",_xlfn.TEXTAFTER(A63,"-",-1))</f>
        <v>0311</v>
      </c>
    </row>
    <row r="64" spans="1:24" x14ac:dyDescent="0.3">
      <c r="A64" s="4" t="s">
        <v>81</v>
      </c>
      <c r="B64" s="1" t="s">
        <v>41</v>
      </c>
      <c r="C64" s="3">
        <v>46040</v>
      </c>
      <c r="D64" s="3">
        <v>46053</v>
      </c>
      <c r="E64" s="1">
        <f ca="1">IF(DMRB5[[#This Row],[Move_out ]]="","",TODAY()-DMRB5[[#This Row],[Move_out ]])</f>
        <v>57</v>
      </c>
      <c r="F64" s="2"/>
      <c r="G64" s="1" t="str">
        <f ca="1">IF(DMRB5[[#This Row],[Move_in]]="","",TODAY()-DMRB5[[#This Row],[Move_in]])</f>
        <v/>
      </c>
      <c r="H6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4" s="3">
        <f>IF(DMRB5[[#This Row],[Move_out ]]="","",
IF(OR(DMRB5[[#This Row],[Insp_status ]]="In Progress",DMRB5[[#This Row],[Insp_status ]]="Done",
DMRB5[[#This Row],[Insp_status ]]="Scheduled"),
WORKDAY(DMRB5[[#This Row],[Move_out ]],1),
""))</f>
        <v>46041</v>
      </c>
      <c r="J64" s="1" t="s">
        <v>0</v>
      </c>
      <c r="K64" s="3">
        <f>IF(DMRB5[[#This Row],[Move_out ]]="","",
IF(OR(DMRB5[[#This Row],[Paint_status]]="In Progress",DMRB5[[#This Row],[Paint_status]]="Done",
DMRB5[[#This Row],[Paint_status]]="Scheduled"),
WORKDAY(DMRB5[[#This Row],[Move_out ]],2),
""))</f>
        <v>46042</v>
      </c>
      <c r="L64" s="1" t="s">
        <v>0</v>
      </c>
      <c r="M64" s="3">
        <f>IF(DMRB5[[#This Row],[Move_out ]]="","",
IF(OR(DMRB5[[#This Row],[MR_Status]]="In Progress",DMRB5[[#This Row],[MR_Status]]="Done",
DMRB5[[#This Row],[MR_Status]]="Scheduled"),
WORKDAY(DMRB5[[#This Row],[Move_out ]],3),
""))</f>
        <v>46043</v>
      </c>
      <c r="N64" s="1" t="s">
        <v>0</v>
      </c>
      <c r="O64" s="3">
        <f>IF(DMRB5[[#This Row],[Move_out ]]="","",
IF(OR(DMRB5[[#This Row],[HK_Status]]="In Progress",DMRB5[[#This Row],[HK_Status]]="Done",
DMRB5[[#This Row],[HK_Status]]="Scheduled"),
WORKDAY(DMRB5[[#This Row],[Move_out ]],6),
""))</f>
        <v>46048</v>
      </c>
      <c r="P64" s="1" t="s">
        <v>0</v>
      </c>
      <c r="Q64" s="3">
        <f>IF(DMRB5[[#This Row],[Move_out ]]="","",
IF(OR(DMRB5[[#This Row],[CC_status]]="In Progress",DMRB5[[#This Row],[CC_status]]="Done",
DMRB5[[#This Row],[CC_status]]="Scheduled"),
WORKDAY(DMRB5[[#This Row],[Move_out ]],7),
""))</f>
        <v>46049</v>
      </c>
      <c r="R64" s="1" t="s">
        <v>0</v>
      </c>
      <c r="S64" s="2" t="s">
        <v>42</v>
      </c>
      <c r="T64" s="1" t="s">
        <v>100</v>
      </c>
      <c r="U64" s="1" t="s">
        <v>36</v>
      </c>
      <c r="V64" s="1" t="str">
        <f>IF(TRIM(CLEAN(A64))="","",_xlfn.TEXTBEFORE(_xlfn.TEXTAFTER(A64,"Unit "),"-"))</f>
        <v>8</v>
      </c>
      <c r="W64" s="1" t="str">
        <f>IF(TRIM(CLEAN(A64))="","",_xlfn.TEXTBEFORE(_xlfn.TEXTAFTER(A64,"-"),"-"))</f>
        <v>01</v>
      </c>
      <c r="X64" s="1" t="str">
        <f>IF(TRIM(CLEAN(A64))="","",_xlfn.TEXTAFTER(A64,"-",-1))</f>
        <v>3086</v>
      </c>
    </row>
    <row r="65" spans="1:25" x14ac:dyDescent="0.3">
      <c r="A65" s="74" t="s">
        <v>104</v>
      </c>
      <c r="B65" s="1" t="s">
        <v>41</v>
      </c>
      <c r="C65" s="3">
        <v>46043</v>
      </c>
      <c r="D65" s="75">
        <v>46057</v>
      </c>
      <c r="E65" s="1">
        <f ca="1">IF(DMRB5[[#This Row],[Move_out ]]="","",TODAY()-DMRB5[[#This Row],[Move_out ]])</f>
        <v>54</v>
      </c>
      <c r="F65" s="2"/>
      <c r="G65" s="1" t="str">
        <f ca="1">IF(DMRB5[[#This Row],[Move_in]]="","",TODAY()-DMRB5[[#This Row],[Move_in]])</f>
        <v/>
      </c>
      <c r="H6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5" s="3">
        <f>IF(DMRB5[[#This Row],[Move_out ]]="","",
IF(OR(DMRB5[[#This Row],[Insp_status ]]="In Progress",DMRB5[[#This Row],[Insp_status ]]="Done",
DMRB5[[#This Row],[Insp_status ]]="Scheduled"),
WORKDAY(DMRB5[[#This Row],[Move_out ]],1),
""))</f>
        <v>46044</v>
      </c>
      <c r="J65" s="1" t="s">
        <v>0</v>
      </c>
      <c r="K65" s="3">
        <f>IF(DMRB5[[#This Row],[Move_out ]]="","",
IF(OR(DMRB5[[#This Row],[Paint_status]]="In Progress",DMRB5[[#This Row],[Paint_status]]="Done",
DMRB5[[#This Row],[Paint_status]]="Scheduled"),
WORKDAY(DMRB5[[#This Row],[Move_out ]],2),
""))</f>
        <v>46045</v>
      </c>
      <c r="L65" s="1" t="s">
        <v>0</v>
      </c>
      <c r="M65" s="3">
        <f>IF(DMRB5[[#This Row],[Move_out ]]="","",
IF(OR(DMRB5[[#This Row],[MR_Status]]="In Progress",DMRB5[[#This Row],[MR_Status]]="Done",
DMRB5[[#This Row],[MR_Status]]="Scheduled"),
WORKDAY(DMRB5[[#This Row],[Move_out ]],3),
""))</f>
        <v>46048</v>
      </c>
      <c r="N65" s="1" t="s">
        <v>0</v>
      </c>
      <c r="O65" s="3">
        <f>IF(DMRB5[[#This Row],[Move_out ]]="","",
IF(OR(DMRB5[[#This Row],[HK_Status]]="In Progress",DMRB5[[#This Row],[HK_Status]]="Done",
DMRB5[[#This Row],[HK_Status]]="Scheduled"),
WORKDAY(DMRB5[[#This Row],[Move_out ]],6),
""))</f>
        <v>46051</v>
      </c>
      <c r="P65" s="1" t="s">
        <v>0</v>
      </c>
      <c r="Q65" s="3">
        <f>IF(DMRB5[[#This Row],[Move_out ]]="","",
IF(OR(DMRB5[[#This Row],[CC_status]]="In Progress",DMRB5[[#This Row],[CC_status]]="Done",
DMRB5[[#This Row],[CC_status]]="Scheduled"),
WORKDAY(DMRB5[[#This Row],[Move_out ]],7),
""))</f>
        <v>46052</v>
      </c>
      <c r="R65" s="1" t="s">
        <v>0</v>
      </c>
      <c r="S65" s="2" t="s">
        <v>39</v>
      </c>
      <c r="T65" s="1" t="s">
        <v>43</v>
      </c>
      <c r="U65" s="1" t="s">
        <v>36</v>
      </c>
      <c r="V65" s="1" t="str">
        <f>IF(TRIM(CLEAN(A65))="","",_xlfn.TEXTBEFORE(_xlfn.TEXTAFTER(A65,"Unit "),"-"))</f>
        <v>8</v>
      </c>
      <c r="W65" s="1" t="str">
        <f>IF(TRIM(CLEAN(A65))="","",_xlfn.TEXTBEFORE(_xlfn.TEXTAFTER(A65,"-"),"-"))</f>
        <v>01</v>
      </c>
      <c r="X65" s="1" t="str">
        <f>IF(TRIM(CLEAN(A65))="","",_xlfn.TEXTAFTER(A65,"-",-1))</f>
        <v>2083</v>
      </c>
    </row>
    <row r="66" spans="1:25" x14ac:dyDescent="0.3">
      <c r="A66" s="4" t="s">
        <v>82</v>
      </c>
      <c r="B66" s="1" t="s">
        <v>41</v>
      </c>
      <c r="C66" s="3">
        <v>46044</v>
      </c>
      <c r="D66" s="3">
        <v>46055</v>
      </c>
      <c r="E66" s="1">
        <f ca="1">IF(DMRB5[[#This Row],[Move_out ]]="","",TODAY()-DMRB5[[#This Row],[Move_out ]])</f>
        <v>53</v>
      </c>
      <c r="F66" s="2"/>
      <c r="G66" s="1" t="str">
        <f ca="1">IF(DMRB5[[#This Row],[Move_in]]="","",TODAY()-DMRB5[[#This Row],[Move_in]])</f>
        <v/>
      </c>
      <c r="H6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6" s="3">
        <f>IF(DMRB5[[#This Row],[Move_out ]]="","",
IF(OR(DMRB5[[#This Row],[Insp_status ]]="In Progress",DMRB5[[#This Row],[Insp_status ]]="Done",
DMRB5[[#This Row],[Insp_status ]]="Scheduled"),
WORKDAY(DMRB5[[#This Row],[Move_out ]],1),
""))</f>
        <v>46045</v>
      </c>
      <c r="J66" s="1" t="s">
        <v>0</v>
      </c>
      <c r="K66" s="3">
        <f>IF(DMRB5[[#This Row],[Move_out ]]="","",
IF(OR(DMRB5[[#This Row],[Paint_status]]="In Progress",DMRB5[[#This Row],[Paint_status]]="Done",
DMRB5[[#This Row],[Paint_status]]="Scheduled"),
WORKDAY(DMRB5[[#This Row],[Move_out ]],2),
""))</f>
        <v>46048</v>
      </c>
      <c r="L66" s="1" t="s">
        <v>0</v>
      </c>
      <c r="M66" s="3">
        <f>IF(DMRB5[[#This Row],[Move_out ]]="","",
IF(OR(DMRB5[[#This Row],[MR_Status]]="In Progress",DMRB5[[#This Row],[MR_Status]]="Done",
DMRB5[[#This Row],[MR_Status]]="Scheduled"),
WORKDAY(DMRB5[[#This Row],[Move_out ]],3),
""))</f>
        <v>46049</v>
      </c>
      <c r="N66" s="1" t="s">
        <v>0</v>
      </c>
      <c r="O66" s="3">
        <f>IF(DMRB5[[#This Row],[Move_out ]]="","",
IF(OR(DMRB5[[#This Row],[HK_Status]]="In Progress",DMRB5[[#This Row],[HK_Status]]="Done",
DMRB5[[#This Row],[HK_Status]]="Scheduled"),
WORKDAY(DMRB5[[#This Row],[Move_out ]],6),
""))</f>
        <v>46052</v>
      </c>
      <c r="P66" s="1" t="s">
        <v>0</v>
      </c>
      <c r="Q66" s="3">
        <f>IF(DMRB5[[#This Row],[Move_out ]]="","",
IF(OR(DMRB5[[#This Row],[CC_status]]="In Progress",DMRB5[[#This Row],[CC_status]]="Done",
DMRB5[[#This Row],[CC_status]]="Scheduled"),
WORKDAY(DMRB5[[#This Row],[Move_out ]],7),
""))</f>
        <v>46055</v>
      </c>
      <c r="R66" s="1" t="s">
        <v>0</v>
      </c>
      <c r="S66" s="2" t="s">
        <v>2</v>
      </c>
      <c r="T66" s="1" t="s">
        <v>43</v>
      </c>
      <c r="U66" s="1" t="s">
        <v>36</v>
      </c>
      <c r="V66" s="1" t="str">
        <f>IF(TRIM(CLEAN(A66))="","",_xlfn.TEXTBEFORE(_xlfn.TEXTAFTER(A66,"Unit "),"-"))</f>
        <v>5</v>
      </c>
      <c r="W66" s="1" t="str">
        <f>IF(TRIM(CLEAN(A66))="","",_xlfn.TEXTBEFORE(_xlfn.TEXTAFTER(A66,"-"),"-"))</f>
        <v>17</v>
      </c>
      <c r="X66" s="1" t="str">
        <f>IF(TRIM(CLEAN(A66))="","",_xlfn.TEXTAFTER(A66,"-",-1))</f>
        <v>0310</v>
      </c>
    </row>
    <row r="67" spans="1:25" x14ac:dyDescent="0.3">
      <c r="A67" s="4" t="s">
        <v>83</v>
      </c>
      <c r="B67" s="1" t="s">
        <v>41</v>
      </c>
      <c r="C67" s="3">
        <v>46046</v>
      </c>
      <c r="D67" s="3">
        <v>46057</v>
      </c>
      <c r="E67" s="1">
        <f ca="1">IF(DMRB5[[#This Row],[Move_out ]]="","",TODAY()-DMRB5[[#This Row],[Move_out ]])</f>
        <v>51</v>
      </c>
      <c r="F67" s="2"/>
      <c r="G67" s="1" t="str">
        <f ca="1">IF(DMRB5[[#This Row],[Move_in]]="","",TODAY()-DMRB5[[#This Row],[Move_in]])</f>
        <v/>
      </c>
      <c r="H6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7" s="3">
        <f>IF(DMRB5[[#This Row],[Move_out ]]="","",
IF(OR(DMRB5[[#This Row],[Insp_status ]]="In Progress",DMRB5[[#This Row],[Insp_status ]]="Done",
DMRB5[[#This Row],[Insp_status ]]="Scheduled"),
WORKDAY(DMRB5[[#This Row],[Move_out ]],1),
""))</f>
        <v>46048</v>
      </c>
      <c r="J67" s="1" t="s">
        <v>0</v>
      </c>
      <c r="K67" s="3">
        <f>IF(DMRB5[[#This Row],[Move_out ]]="","",
IF(OR(DMRB5[[#This Row],[Paint_status]]="In Progress",DMRB5[[#This Row],[Paint_status]]="Done",
DMRB5[[#This Row],[Paint_status]]="Scheduled"),
WORKDAY(DMRB5[[#This Row],[Move_out ]],2),
""))</f>
        <v>46049</v>
      </c>
      <c r="L67" s="1" t="s">
        <v>0</v>
      </c>
      <c r="M67" s="3">
        <f>IF(DMRB5[[#This Row],[Move_out ]]="","",
IF(OR(DMRB5[[#This Row],[MR_Status]]="In Progress",DMRB5[[#This Row],[MR_Status]]="Done",
DMRB5[[#This Row],[MR_Status]]="Scheduled"),
WORKDAY(DMRB5[[#This Row],[Move_out ]],3),
""))</f>
        <v>46050</v>
      </c>
      <c r="N67" s="1" t="s">
        <v>0</v>
      </c>
      <c r="O67" s="3">
        <f>IF(DMRB5[[#This Row],[Move_out ]]="","",
IF(OR(DMRB5[[#This Row],[HK_Status]]="In Progress",DMRB5[[#This Row],[HK_Status]]="Done",
DMRB5[[#This Row],[HK_Status]]="Scheduled"),
WORKDAY(DMRB5[[#This Row],[Move_out ]],6),
""))</f>
        <v>46055</v>
      </c>
      <c r="P67" s="1" t="s">
        <v>0</v>
      </c>
      <c r="Q67" s="3">
        <f>IF(DMRB5[[#This Row],[Move_out ]]="","",
IF(OR(DMRB5[[#This Row],[CC_status]]="In Progress",DMRB5[[#This Row],[CC_status]]="Done",
DMRB5[[#This Row],[CC_status]]="Scheduled"),
WORKDAY(DMRB5[[#This Row],[Move_out ]],7),
""))</f>
        <v>46056</v>
      </c>
      <c r="R67" s="1" t="s">
        <v>0</v>
      </c>
      <c r="S67" s="2" t="s">
        <v>39</v>
      </c>
      <c r="T67" s="1" t="s">
        <v>43</v>
      </c>
      <c r="U67" s="1" t="s">
        <v>36</v>
      </c>
      <c r="V67" s="1" t="str">
        <f>IF(TRIM(CLEAN(A67))="","",_xlfn.TEXTBEFORE(_xlfn.TEXTAFTER(A67,"Unit "),"-"))</f>
        <v>7</v>
      </c>
      <c r="W67" s="1" t="str">
        <f>IF(TRIM(CLEAN(A67))="","",_xlfn.TEXTBEFORE(_xlfn.TEXTAFTER(A67,"-"),"-"))</f>
        <v>02</v>
      </c>
      <c r="X67" s="1" t="str">
        <f>IF(TRIM(CLEAN(A67))="","",_xlfn.TEXTAFTER(A67,"-",-1))</f>
        <v>0116</v>
      </c>
    </row>
    <row r="68" spans="1:25" x14ac:dyDescent="0.3">
      <c r="A68" s="4" t="s">
        <v>84</v>
      </c>
      <c r="B68" s="1" t="s">
        <v>41</v>
      </c>
      <c r="C68" s="3">
        <v>46048</v>
      </c>
      <c r="D68" s="3">
        <v>46059</v>
      </c>
      <c r="E68" s="1">
        <f ca="1">IF(DMRB5[[#This Row],[Move_out ]]="","",TODAY()-DMRB5[[#This Row],[Move_out ]])</f>
        <v>49</v>
      </c>
      <c r="F68" s="2"/>
      <c r="G68" s="1" t="str">
        <f ca="1">IF(DMRB5[[#This Row],[Move_in]]="","",TODAY()-DMRB5[[#This Row],[Move_in]])</f>
        <v/>
      </c>
      <c r="H6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8" s="3">
        <f>IF(DMRB5[[#This Row],[Move_out ]]="","",
IF(OR(DMRB5[[#This Row],[Insp_status ]]="In Progress",DMRB5[[#This Row],[Insp_status ]]="Done",
DMRB5[[#This Row],[Insp_status ]]="Scheduled"),
WORKDAY(DMRB5[[#This Row],[Move_out ]],1),
""))</f>
        <v>46049</v>
      </c>
      <c r="J68" s="1" t="s">
        <v>0</v>
      </c>
      <c r="K68" s="3">
        <f>IF(DMRB5[[#This Row],[Move_out ]]="","",
IF(OR(DMRB5[[#This Row],[Paint_status]]="In Progress",DMRB5[[#This Row],[Paint_status]]="Done",
DMRB5[[#This Row],[Paint_status]]="Scheduled"),
WORKDAY(DMRB5[[#This Row],[Move_out ]],2),
""))</f>
        <v>46050</v>
      </c>
      <c r="L68" s="1" t="s">
        <v>0</v>
      </c>
      <c r="M68" s="3">
        <f>IF(DMRB5[[#This Row],[Move_out ]]="","",
IF(OR(DMRB5[[#This Row],[MR_Status]]="In Progress",DMRB5[[#This Row],[MR_Status]]="Done",
DMRB5[[#This Row],[MR_Status]]="Scheduled"),
WORKDAY(DMRB5[[#This Row],[Move_out ]],3),
""))</f>
        <v>46051</v>
      </c>
      <c r="N68" s="1" t="s">
        <v>0</v>
      </c>
      <c r="O68" s="3">
        <f>IF(DMRB5[[#This Row],[Move_out ]]="","",
IF(OR(DMRB5[[#This Row],[HK_Status]]="In Progress",DMRB5[[#This Row],[HK_Status]]="Done",
DMRB5[[#This Row],[HK_Status]]="Scheduled"),
WORKDAY(DMRB5[[#This Row],[Move_out ]],6),
""))</f>
        <v>46056</v>
      </c>
      <c r="P68" s="1" t="s">
        <v>0</v>
      </c>
      <c r="Q68" s="3">
        <f>IF(DMRB5[[#This Row],[Move_out ]]="","",
IF(OR(DMRB5[[#This Row],[CC_status]]="In Progress",DMRB5[[#This Row],[CC_status]]="Done",
DMRB5[[#This Row],[CC_status]]="Scheduled"),
WORKDAY(DMRB5[[#This Row],[Move_out ]],7),
""))</f>
        <v>46057</v>
      </c>
      <c r="R68" s="1" t="s">
        <v>0</v>
      </c>
      <c r="S68" s="2" t="s">
        <v>39</v>
      </c>
      <c r="T68" s="1" t="s">
        <v>1</v>
      </c>
      <c r="U68" s="1" t="s">
        <v>36</v>
      </c>
      <c r="V68" s="1" t="str">
        <f>IF(TRIM(CLEAN(A68))="","",_xlfn.TEXTBEFORE(_xlfn.TEXTAFTER(A68,"Unit "),"-"))</f>
        <v>7</v>
      </c>
      <c r="W68" s="1" t="str">
        <f>IF(TRIM(CLEAN(A68))="","",_xlfn.TEXTBEFORE(_xlfn.TEXTAFTER(A68,"-"),"-"))</f>
        <v>TH1</v>
      </c>
      <c r="X68" s="1" t="str">
        <f>IF(TRIM(CLEAN(A68))="","",_xlfn.TEXTAFTER(A68,"-",-1))</f>
        <v>0104</v>
      </c>
    </row>
    <row r="69" spans="1:25" x14ac:dyDescent="0.3">
      <c r="A69" s="4" t="s">
        <v>85</v>
      </c>
      <c r="B69" s="1" t="s">
        <v>41</v>
      </c>
      <c r="C69" s="3">
        <v>46048</v>
      </c>
      <c r="D69" s="3">
        <v>46059</v>
      </c>
      <c r="E69" s="1">
        <f ca="1">IF(DMRB5[[#This Row],[Move_out ]]="","",TODAY()-DMRB5[[#This Row],[Move_out ]])</f>
        <v>49</v>
      </c>
      <c r="F69" s="2"/>
      <c r="G69" s="1" t="str">
        <f ca="1">IF(DMRB5[[#This Row],[Move_in]]="","",TODAY()-DMRB5[[#This Row],[Move_in]])</f>
        <v/>
      </c>
      <c r="H6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9" s="3">
        <f>IF(DMRB5[[#This Row],[Move_out ]]="","",
IF(OR(DMRB5[[#This Row],[Insp_status ]]="In Progress",DMRB5[[#This Row],[Insp_status ]]="Done",
DMRB5[[#This Row],[Insp_status ]]="Scheduled"),
WORKDAY(DMRB5[[#This Row],[Move_out ]],1),
""))</f>
        <v>46049</v>
      </c>
      <c r="J69" s="1" t="s">
        <v>0</v>
      </c>
      <c r="K69" s="3">
        <f>IF(DMRB5[[#This Row],[Move_out ]]="","",
IF(OR(DMRB5[[#This Row],[Paint_status]]="In Progress",DMRB5[[#This Row],[Paint_status]]="Done",
DMRB5[[#This Row],[Paint_status]]="Scheduled"),
WORKDAY(DMRB5[[#This Row],[Move_out ]],2),
""))</f>
        <v>46050</v>
      </c>
      <c r="L69" s="1" t="s">
        <v>0</v>
      </c>
      <c r="M69" s="3">
        <f>IF(DMRB5[[#This Row],[Move_out ]]="","",
IF(OR(DMRB5[[#This Row],[MR_Status]]="In Progress",DMRB5[[#This Row],[MR_Status]]="Done",
DMRB5[[#This Row],[MR_Status]]="Scheduled"),
WORKDAY(DMRB5[[#This Row],[Move_out ]],3),
""))</f>
        <v>46051</v>
      </c>
      <c r="N69" s="1" t="s">
        <v>0</v>
      </c>
      <c r="O69" s="3">
        <f>IF(DMRB5[[#This Row],[Move_out ]]="","",
IF(OR(DMRB5[[#This Row],[HK_Status]]="In Progress",DMRB5[[#This Row],[HK_Status]]="Done",
DMRB5[[#This Row],[HK_Status]]="Scheduled"),
WORKDAY(DMRB5[[#This Row],[Move_out ]],6),
""))</f>
        <v>46056</v>
      </c>
      <c r="P69" s="1" t="s">
        <v>0</v>
      </c>
      <c r="Q69" s="3">
        <f>IF(DMRB5[[#This Row],[Move_out ]]="","",
IF(OR(DMRB5[[#This Row],[CC_status]]="In Progress",DMRB5[[#This Row],[CC_status]]="Done",
DMRB5[[#This Row],[CC_status]]="Scheduled"),
WORKDAY(DMRB5[[#This Row],[Move_out ]],7),
""))</f>
        <v>46057</v>
      </c>
      <c r="R69" s="1" t="s">
        <v>0</v>
      </c>
      <c r="S69" s="2" t="s">
        <v>42</v>
      </c>
      <c r="T69" s="1" t="s">
        <v>43</v>
      </c>
      <c r="U69" s="1" t="s">
        <v>36</v>
      </c>
      <c r="V69" s="1" t="str">
        <f>IF(TRIM(CLEAN(A69))="","",_xlfn.TEXTBEFORE(_xlfn.TEXTAFTER(A69,"Unit "),"-"))</f>
        <v>8</v>
      </c>
      <c r="W69" s="1" t="str">
        <f>IF(TRIM(CLEAN(A69))="","",_xlfn.TEXTBEFORE(_xlfn.TEXTAFTER(A69,"-"),"-"))</f>
        <v>01</v>
      </c>
      <c r="X69" s="1" t="str">
        <f>IF(TRIM(CLEAN(A69))="","",_xlfn.TEXTAFTER(A69,"-",-1))</f>
        <v>2034</v>
      </c>
    </row>
    <row r="70" spans="1:25" x14ac:dyDescent="0.3">
      <c r="A70" s="74" t="s">
        <v>90</v>
      </c>
      <c r="B70" s="1" t="s">
        <v>41</v>
      </c>
      <c r="C70" s="3">
        <v>46055</v>
      </c>
      <c r="D70" s="3">
        <v>46065</v>
      </c>
      <c r="E70" s="1">
        <f ca="1">IF(DMRB5[[#This Row],[Move_out ]]="","",TODAY()-DMRB5[[#This Row],[Move_out ]])</f>
        <v>42</v>
      </c>
      <c r="F70" s="2"/>
      <c r="G70" s="1" t="str">
        <f ca="1">IF(DMRB5[[#This Row],[Move_in]]="","",TODAY()-DMRB5[[#This Row],[Move_in]])</f>
        <v/>
      </c>
      <c r="H7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0" s="3">
        <f>IF(DMRB5[[#This Row],[Move_out ]]="","",
IF(OR(DMRB5[[#This Row],[Insp_status ]]="In Progress",DMRB5[[#This Row],[Insp_status ]]="Done",
DMRB5[[#This Row],[Insp_status ]]="Scheduled"),
WORKDAY(DMRB5[[#This Row],[Move_out ]],1),
""))</f>
        <v>46056</v>
      </c>
      <c r="J70" s="1" t="s">
        <v>0</v>
      </c>
      <c r="K70" s="3">
        <f>IF(DMRB5[[#This Row],[Move_out ]]="","",
IF(OR(DMRB5[[#This Row],[Paint_status]]="In Progress",DMRB5[[#This Row],[Paint_status]]="Done",
DMRB5[[#This Row],[Paint_status]]="Scheduled"),
WORKDAY(DMRB5[[#This Row],[Move_out ]],2),
""))</f>
        <v>46057</v>
      </c>
      <c r="L70" s="1" t="s">
        <v>0</v>
      </c>
      <c r="M70" s="3">
        <f>IF(DMRB5[[#This Row],[Move_out ]]="","",
IF(OR(DMRB5[[#This Row],[MR_Status]]="In Progress",DMRB5[[#This Row],[MR_Status]]="Done",
DMRB5[[#This Row],[MR_Status]]="Scheduled"),
WORKDAY(DMRB5[[#This Row],[Move_out ]],3),
""))</f>
        <v>46058</v>
      </c>
      <c r="N70" s="1" t="s">
        <v>0</v>
      </c>
      <c r="O70" s="3">
        <f>IF(DMRB5[[#This Row],[Move_out ]]="","",
IF(OR(DMRB5[[#This Row],[HK_Status]]="In Progress",DMRB5[[#This Row],[HK_Status]]="Done",
DMRB5[[#This Row],[HK_Status]]="Scheduled"),
WORKDAY(DMRB5[[#This Row],[Move_out ]],6),
""))</f>
        <v>46063</v>
      </c>
      <c r="P70" s="1" t="s">
        <v>0</v>
      </c>
      <c r="Q70" s="3">
        <f>IF(DMRB5[[#This Row],[Move_out ]]="","",
IF(OR(DMRB5[[#This Row],[CC_status]]="In Progress",DMRB5[[#This Row],[CC_status]]="Done",
DMRB5[[#This Row],[CC_status]]="Scheduled"),
WORKDAY(DMRB5[[#This Row],[Move_out ]],7),
""))</f>
        <v>46064</v>
      </c>
      <c r="R70" s="1" t="s">
        <v>0</v>
      </c>
      <c r="S70" s="2" t="s">
        <v>2</v>
      </c>
      <c r="T70" s="1" t="s">
        <v>43</v>
      </c>
      <c r="U70" s="1" t="s">
        <v>36</v>
      </c>
      <c r="V70" s="1" t="str">
        <f>IF(TRIM(CLEAN(A70))="","",_xlfn.TEXTBEFORE(_xlfn.TEXTAFTER(A70,"Unit "),"-"))</f>
        <v>5</v>
      </c>
      <c r="W70" s="1" t="str">
        <f>IF(TRIM(CLEAN(A70))="","",_xlfn.TEXTBEFORE(_xlfn.TEXTAFTER(A70,"-"),"-"))</f>
        <v>18</v>
      </c>
      <c r="X70" s="1" t="str">
        <f>IF(TRIM(CLEAN(A70))="","",_xlfn.TEXTAFTER(A70,"-",-1))</f>
        <v>0346</v>
      </c>
    </row>
    <row r="71" spans="1:25" x14ac:dyDescent="0.3">
      <c r="A71" s="88" t="s">
        <v>123</v>
      </c>
      <c r="B71" s="1" t="s">
        <v>41</v>
      </c>
      <c r="C71" s="3">
        <v>46060</v>
      </c>
      <c r="D71" s="75">
        <v>46070</v>
      </c>
      <c r="E71" s="1">
        <f ca="1">IF(DMRB5[[#This Row],[Move_out ]]="","",TODAY()-DMRB5[[#This Row],[Move_out ]])</f>
        <v>37</v>
      </c>
      <c r="F71" s="2"/>
      <c r="G71" s="1" t="str">
        <f ca="1">IF(DMRB5[[#This Row],[Move_in]]="","",TODAY()-DMRB5[[#This Row],[Move_in]])</f>
        <v/>
      </c>
      <c r="H7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1" s="3">
        <f>IF(DMRB5[[#This Row],[Move_out ]]="","",
IF(OR(DMRB5[[#This Row],[Insp_status ]]="In Progress",DMRB5[[#This Row],[Insp_status ]]="Done",
DMRB5[[#This Row],[Insp_status ]]="Scheduled"),
WORKDAY(DMRB5[[#This Row],[Move_out ]],1),
""))</f>
        <v>46062</v>
      </c>
      <c r="J71" s="1" t="s">
        <v>0</v>
      </c>
      <c r="K71" s="3">
        <f>IF(DMRB5[[#This Row],[Move_out ]]="","",
IF(OR(DMRB5[[#This Row],[Paint_status]]="In Progress",DMRB5[[#This Row],[Paint_status]]="Done",
DMRB5[[#This Row],[Paint_status]]="Scheduled"),
WORKDAY(DMRB5[[#This Row],[Move_out ]],2),
""))</f>
        <v>46063</v>
      </c>
      <c r="L71" s="1" t="s">
        <v>0</v>
      </c>
      <c r="M71" s="3">
        <f>IF(DMRB5[[#This Row],[Move_out ]]="","",
IF(OR(DMRB5[[#This Row],[MR_Status]]="In Progress",DMRB5[[#This Row],[MR_Status]]="Done",
DMRB5[[#This Row],[MR_Status]]="Scheduled"),
WORKDAY(DMRB5[[#This Row],[Move_out ]],3),
""))</f>
        <v>46064</v>
      </c>
      <c r="N71" s="1" t="s">
        <v>0</v>
      </c>
      <c r="O71" s="3">
        <f>IF(DMRB5[[#This Row],[Move_out ]]="","",
IF(OR(DMRB5[[#This Row],[HK_Status]]="In Progress",DMRB5[[#This Row],[HK_Status]]="Done",
DMRB5[[#This Row],[HK_Status]]="Scheduled"),
WORKDAY(DMRB5[[#This Row],[Move_out ]],6),
""))</f>
        <v>46069</v>
      </c>
      <c r="P71" s="1" t="s">
        <v>0</v>
      </c>
      <c r="Q71" s="3">
        <f>IF(DMRB5[[#This Row],[Move_out ]]="","",
IF(OR(DMRB5[[#This Row],[CC_status]]="In Progress",DMRB5[[#This Row],[CC_status]]="Done",
DMRB5[[#This Row],[CC_status]]="Scheduled"),
WORKDAY(DMRB5[[#This Row],[Move_out ]],7),
""))</f>
        <v>46070</v>
      </c>
      <c r="R71" s="1" t="s">
        <v>0</v>
      </c>
      <c r="S71" s="2" t="s">
        <v>102</v>
      </c>
      <c r="T71" s="3" t="s">
        <v>43</v>
      </c>
      <c r="U71" s="1" t="s">
        <v>36</v>
      </c>
      <c r="V71" s="1" t="str">
        <f>IF(TRIM(CLEAN(A71))="","",_xlfn.TEXTBEFORE(_xlfn.TEXTAFTER(A71,"Unit "),"-"))</f>
        <v>7</v>
      </c>
      <c r="W71" s="1" t="str">
        <f>IF(TRIM(CLEAN(A71))="","",_xlfn.TEXTBEFORE(_xlfn.TEXTAFTER(A71,"-"),"-"))</f>
        <v>02</v>
      </c>
      <c r="X71" s="1" t="str">
        <f>IF(TRIM(CLEAN(A71))="","",_xlfn.TEXTAFTER(A71,"-",-1))</f>
        <v>0201</v>
      </c>
    </row>
    <row r="72" spans="1:25" x14ac:dyDescent="0.3">
      <c r="A72" s="74" t="s">
        <v>94</v>
      </c>
      <c r="B72" s="1" t="s">
        <v>41</v>
      </c>
      <c r="C72" s="3">
        <v>46060</v>
      </c>
      <c r="D72" s="75">
        <v>46070</v>
      </c>
      <c r="E72" s="1">
        <f ca="1">IF(DMRB5[[#This Row],[Move_out ]]="","",TODAY()-DMRB5[[#This Row],[Move_out ]])</f>
        <v>37</v>
      </c>
      <c r="F72" s="2"/>
      <c r="G72" s="1" t="str">
        <f ca="1">IF(DMRB5[[#This Row],[Move_in]]="","",TODAY()-DMRB5[[#This Row],[Move_in]])</f>
        <v/>
      </c>
      <c r="H7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2" s="3">
        <f>IF(DMRB5[[#This Row],[Move_out ]]="","",
IF(OR(DMRB5[[#This Row],[Insp_status ]]="In Progress",DMRB5[[#This Row],[Insp_status ]]="Done",
DMRB5[[#This Row],[Insp_status ]]="Scheduled"),
WORKDAY(DMRB5[[#This Row],[Move_out ]],1),
""))</f>
        <v>46062</v>
      </c>
      <c r="J72" s="1" t="s">
        <v>0</v>
      </c>
      <c r="K72" s="3">
        <f>IF(DMRB5[[#This Row],[Move_out ]]="","",
IF(OR(DMRB5[[#This Row],[Paint_status]]="In Progress",DMRB5[[#This Row],[Paint_status]]="Done",
DMRB5[[#This Row],[Paint_status]]="Scheduled"),
WORKDAY(DMRB5[[#This Row],[Move_out ]],2),
""))</f>
        <v>46063</v>
      </c>
      <c r="L72" s="1" t="s">
        <v>0</v>
      </c>
      <c r="M72" s="3">
        <f>IF(DMRB5[[#This Row],[Move_out ]]="","",
IF(OR(DMRB5[[#This Row],[MR_Status]]="In Progress",DMRB5[[#This Row],[MR_Status]]="Done",
DMRB5[[#This Row],[MR_Status]]="Scheduled"),
WORKDAY(DMRB5[[#This Row],[Move_out ]],3),
""))</f>
        <v>46064</v>
      </c>
      <c r="N72" s="1" t="s">
        <v>0</v>
      </c>
      <c r="O72" s="3">
        <f>IF(DMRB5[[#This Row],[Move_out ]]="","",
IF(OR(DMRB5[[#This Row],[HK_Status]]="In Progress",DMRB5[[#This Row],[HK_Status]]="Done",
DMRB5[[#This Row],[HK_Status]]="Scheduled"),
WORKDAY(DMRB5[[#This Row],[Move_out ]],6),
""))</f>
        <v>46069</v>
      </c>
      <c r="P72" s="1" t="s">
        <v>0</v>
      </c>
      <c r="Q72" s="3">
        <f>IF(DMRB5[[#This Row],[Move_out ]]="","",
IF(OR(DMRB5[[#This Row],[CC_status]]="In Progress",DMRB5[[#This Row],[CC_status]]="Done",
DMRB5[[#This Row],[CC_status]]="Scheduled"),
WORKDAY(DMRB5[[#This Row],[Move_out ]],7),
""))</f>
        <v>46070</v>
      </c>
      <c r="R72" s="1" t="s">
        <v>0</v>
      </c>
      <c r="S72" s="2" t="s">
        <v>102</v>
      </c>
      <c r="T72" s="1" t="s">
        <v>43</v>
      </c>
      <c r="U72" s="1" t="s">
        <v>36</v>
      </c>
      <c r="V72" s="1" t="str">
        <f>IF(TRIM(CLEAN(A72))="","",_xlfn.TEXTBEFORE(_xlfn.TEXTAFTER(A72,"Unit "),"-"))</f>
        <v>8</v>
      </c>
      <c r="W72" s="1" t="str">
        <f>IF(TRIM(CLEAN(A72))="","",_xlfn.TEXTBEFORE(_xlfn.TEXTAFTER(A72,"-"),"-"))</f>
        <v>01</v>
      </c>
      <c r="X72" s="1" t="str">
        <f>IF(TRIM(CLEAN(A72))="","",_xlfn.TEXTAFTER(A72,"-",-1))</f>
        <v>2041</v>
      </c>
    </row>
    <row r="73" spans="1:25" x14ac:dyDescent="0.3">
      <c r="A73" s="4" t="s">
        <v>87</v>
      </c>
      <c r="B73" s="1" t="s">
        <v>41</v>
      </c>
      <c r="C73" s="3">
        <v>46060</v>
      </c>
      <c r="D73" s="3">
        <v>46070</v>
      </c>
      <c r="E73" s="1">
        <f ca="1">IF(DMRB5[[#This Row],[Move_out ]]="","",TODAY()-DMRB5[[#This Row],[Move_out ]])</f>
        <v>37</v>
      </c>
      <c r="F73" s="2"/>
      <c r="G73" s="1" t="str">
        <f ca="1">IF(DMRB5[[#This Row],[Move_in]]="","",TODAY()-DMRB5[[#This Row],[Move_in]])</f>
        <v/>
      </c>
      <c r="H7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3" s="3">
        <f>IF(DMRB5[[#This Row],[Move_out ]]="","",
IF(OR(DMRB5[[#This Row],[Insp_status ]]="In Progress",DMRB5[[#This Row],[Insp_status ]]="Done",
DMRB5[[#This Row],[Insp_status ]]="Scheduled"),
WORKDAY(DMRB5[[#This Row],[Move_out ]],1),
""))</f>
        <v>46062</v>
      </c>
      <c r="J73" s="1" t="s">
        <v>0</v>
      </c>
      <c r="K73" s="3">
        <f>IF(DMRB5[[#This Row],[Move_out ]]="","",
IF(OR(DMRB5[[#This Row],[Paint_status]]="In Progress",DMRB5[[#This Row],[Paint_status]]="Done",
DMRB5[[#This Row],[Paint_status]]="Scheduled"),
WORKDAY(DMRB5[[#This Row],[Move_out ]],2),
""))</f>
        <v>46063</v>
      </c>
      <c r="L73" s="1" t="s">
        <v>0</v>
      </c>
      <c r="M73" s="3">
        <f>IF(DMRB5[[#This Row],[Move_out ]]="","",
IF(OR(DMRB5[[#This Row],[MR_Status]]="In Progress",DMRB5[[#This Row],[MR_Status]]="Done",
DMRB5[[#This Row],[MR_Status]]="Scheduled"),
WORKDAY(DMRB5[[#This Row],[Move_out ]],3),
""))</f>
        <v>46064</v>
      </c>
      <c r="N73" s="1" t="s">
        <v>0</v>
      </c>
      <c r="O73" s="3">
        <f>IF(DMRB5[[#This Row],[Move_out ]]="","",
IF(OR(DMRB5[[#This Row],[HK_Status]]="In Progress",DMRB5[[#This Row],[HK_Status]]="Done",
DMRB5[[#This Row],[HK_Status]]="Scheduled"),
WORKDAY(DMRB5[[#This Row],[Move_out ]],6),
""))</f>
        <v>46069</v>
      </c>
      <c r="P73" s="1" t="s">
        <v>0</v>
      </c>
      <c r="Q73" s="3">
        <f>IF(DMRB5[[#This Row],[Move_out ]]="","",
IF(OR(DMRB5[[#This Row],[CC_status]]="In Progress",DMRB5[[#This Row],[CC_status]]="Done",
DMRB5[[#This Row],[CC_status]]="Scheduled"),
WORKDAY(DMRB5[[#This Row],[Move_out ]],7),
""))</f>
        <v>46070</v>
      </c>
      <c r="R73" s="1" t="s">
        <v>0</v>
      </c>
      <c r="S73" s="2" t="s">
        <v>2</v>
      </c>
      <c r="T73" s="1" t="s">
        <v>36</v>
      </c>
      <c r="U73" s="1" t="s">
        <v>36</v>
      </c>
      <c r="V73" s="1" t="str">
        <f>IF(TRIM(CLEAN(A73))="","",_xlfn.TEXTBEFORE(_xlfn.TEXTAFTER(A73,"Unit "),"-"))</f>
        <v>5</v>
      </c>
      <c r="W73" s="1" t="str">
        <f>IF(TRIM(CLEAN(A73))="","",_xlfn.TEXTBEFORE(_xlfn.TEXTAFTER(A73,"-"),"-"))</f>
        <v>18</v>
      </c>
      <c r="X73" s="1" t="str">
        <f>IF(TRIM(CLEAN(A73))="","",_xlfn.TEXTAFTER(A73,"-",-1))</f>
        <v>0310</v>
      </c>
    </row>
    <row r="74" spans="1:25" x14ac:dyDescent="0.3">
      <c r="A74" s="4" t="s">
        <v>88</v>
      </c>
      <c r="B74" s="1" t="s">
        <v>41</v>
      </c>
      <c r="C74" s="3">
        <v>46061</v>
      </c>
      <c r="D74" s="3">
        <v>46071</v>
      </c>
      <c r="E74" s="1">
        <f ca="1">IF(DMRB5[[#This Row],[Move_out ]]="","",TODAY()-DMRB5[[#This Row],[Move_out ]])</f>
        <v>36</v>
      </c>
      <c r="F74" s="2"/>
      <c r="G74" s="1" t="str">
        <f ca="1">IF(DMRB5[[#This Row],[Move_in]]="","",TODAY()-DMRB5[[#This Row],[Move_in]])</f>
        <v/>
      </c>
      <c r="H7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4" s="3">
        <f>IF(DMRB5[[#This Row],[Move_out ]]="","",
IF(OR(DMRB5[[#This Row],[Insp_status ]]="In Progress",DMRB5[[#This Row],[Insp_status ]]="Done",
DMRB5[[#This Row],[Insp_status ]]="Scheduled"),
WORKDAY(DMRB5[[#This Row],[Move_out ]],1),
""))</f>
        <v>46062</v>
      </c>
      <c r="J74" s="1" t="s">
        <v>0</v>
      </c>
      <c r="K74" s="3">
        <f>IF(DMRB5[[#This Row],[Move_out ]]="","",
IF(OR(DMRB5[[#This Row],[Paint_status]]="In Progress",DMRB5[[#This Row],[Paint_status]]="Done",
DMRB5[[#This Row],[Paint_status]]="Scheduled"),
WORKDAY(DMRB5[[#This Row],[Move_out ]],2),
""))</f>
        <v>46063</v>
      </c>
      <c r="L74" s="1" t="s">
        <v>0</v>
      </c>
      <c r="M74" s="3">
        <f>IF(DMRB5[[#This Row],[Move_out ]]="","",
IF(OR(DMRB5[[#This Row],[MR_Status]]="In Progress",DMRB5[[#This Row],[MR_Status]]="Done",
DMRB5[[#This Row],[MR_Status]]="Scheduled"),
WORKDAY(DMRB5[[#This Row],[Move_out ]],3),
""))</f>
        <v>46064</v>
      </c>
      <c r="N74" s="1" t="s">
        <v>0</v>
      </c>
      <c r="O74" s="3">
        <f>IF(DMRB5[[#This Row],[Move_out ]]="","",
IF(OR(DMRB5[[#This Row],[HK_Status]]="In Progress",DMRB5[[#This Row],[HK_Status]]="Done",
DMRB5[[#This Row],[HK_Status]]="Scheduled"),
WORKDAY(DMRB5[[#This Row],[Move_out ]],6),
""))</f>
        <v>46069</v>
      </c>
      <c r="P74" s="1" t="s">
        <v>0</v>
      </c>
      <c r="Q74" s="3">
        <f>IF(DMRB5[[#This Row],[Move_out ]]="","",
IF(OR(DMRB5[[#This Row],[CC_status]]="In Progress",DMRB5[[#This Row],[CC_status]]="Done",
DMRB5[[#This Row],[CC_status]]="Scheduled"),
WORKDAY(DMRB5[[#This Row],[Move_out ]],7),
""))</f>
        <v>46070</v>
      </c>
      <c r="R74" s="1" t="s">
        <v>0</v>
      </c>
      <c r="S74" s="2" t="s">
        <v>102</v>
      </c>
      <c r="T74" s="1" t="s">
        <v>43</v>
      </c>
      <c r="U74" s="1" t="s">
        <v>36</v>
      </c>
      <c r="V74" s="1" t="str">
        <f>IF(TRIM(CLEAN(A74))="","",_xlfn.TEXTBEFORE(_xlfn.TEXTAFTER(A74,"Unit "),"-"))</f>
        <v>8</v>
      </c>
      <c r="W74" s="1" t="str">
        <f>IF(TRIM(CLEAN(A74))="","",_xlfn.TEXTBEFORE(_xlfn.TEXTAFTER(A74,"-"),"-"))</f>
        <v>01</v>
      </c>
      <c r="X74" s="1" t="str">
        <f>IF(TRIM(CLEAN(A74))="","",_xlfn.TEXTAFTER(A74,"-",-1))</f>
        <v>3107</v>
      </c>
    </row>
    <row r="75" spans="1:25" x14ac:dyDescent="0.3">
      <c r="A75" s="4" t="s">
        <v>89</v>
      </c>
      <c r="B75" s="1" t="s">
        <v>41</v>
      </c>
      <c r="C75" s="3">
        <v>46062</v>
      </c>
      <c r="D75" s="3">
        <v>46072</v>
      </c>
      <c r="E75" s="1">
        <f ca="1">IF(DMRB5[[#This Row],[Move_out ]]="","",TODAY()-DMRB5[[#This Row],[Move_out ]])</f>
        <v>35</v>
      </c>
      <c r="F75" s="2"/>
      <c r="G75" s="1" t="str">
        <f ca="1">IF(DMRB5[[#This Row],[Move_in]]="","",TODAY()-DMRB5[[#This Row],[Move_in]])</f>
        <v/>
      </c>
      <c r="H7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5" s="3">
        <f>IF(DMRB5[[#This Row],[Move_out ]]="","",
IF(OR(DMRB5[[#This Row],[Insp_status ]]="In Progress",DMRB5[[#This Row],[Insp_status ]]="Done",
DMRB5[[#This Row],[Insp_status ]]="Scheduled"),
WORKDAY(DMRB5[[#This Row],[Move_out ]],1),
""))</f>
        <v>46063</v>
      </c>
      <c r="J75" s="1" t="s">
        <v>0</v>
      </c>
      <c r="K75" s="3">
        <f>IF(DMRB5[[#This Row],[Move_out ]]="","",
IF(OR(DMRB5[[#This Row],[Paint_status]]="In Progress",DMRB5[[#This Row],[Paint_status]]="Done",
DMRB5[[#This Row],[Paint_status]]="Scheduled"),
WORKDAY(DMRB5[[#This Row],[Move_out ]],2),
""))</f>
        <v>46064</v>
      </c>
      <c r="L75" s="1" t="s">
        <v>0</v>
      </c>
      <c r="M75" s="3">
        <f>IF(DMRB5[[#This Row],[Move_out ]]="","",
IF(OR(DMRB5[[#This Row],[MR_Status]]="In Progress",DMRB5[[#This Row],[MR_Status]]="Done",
DMRB5[[#This Row],[MR_Status]]="Scheduled"),
WORKDAY(DMRB5[[#This Row],[Move_out ]],3),
""))</f>
        <v>46065</v>
      </c>
      <c r="N75" s="1" t="s">
        <v>0</v>
      </c>
      <c r="O75" s="3">
        <f>IF(DMRB5[[#This Row],[Move_out ]]="","",
IF(OR(DMRB5[[#This Row],[HK_Status]]="In Progress",DMRB5[[#This Row],[HK_Status]]="Done",
DMRB5[[#This Row],[HK_Status]]="Scheduled"),
WORKDAY(DMRB5[[#This Row],[Move_out ]],6),
""))</f>
        <v>46070</v>
      </c>
      <c r="P75" s="1" t="s">
        <v>0</v>
      </c>
      <c r="Q75" s="3">
        <f>IF(DMRB5[[#This Row],[Move_out ]]="","",
IF(OR(DMRB5[[#This Row],[CC_status]]="In Progress",DMRB5[[#This Row],[CC_status]]="Done",
DMRB5[[#This Row],[CC_status]]="Scheduled"),
WORKDAY(DMRB5[[#This Row],[Move_out ]],7),
""))</f>
        <v>46071</v>
      </c>
      <c r="R75" s="1" t="s">
        <v>0</v>
      </c>
      <c r="S75" s="2" t="s">
        <v>102</v>
      </c>
      <c r="T75" s="1" t="s">
        <v>1</v>
      </c>
      <c r="U75" s="1" t="s">
        <v>36</v>
      </c>
      <c r="V75" s="1" t="str">
        <f>IF(TRIM(CLEAN(A75))="","",_xlfn.TEXTBEFORE(_xlfn.TEXTAFTER(A75,"Unit "),"-"))</f>
        <v>7</v>
      </c>
      <c r="W75" s="1" t="str">
        <f>IF(TRIM(CLEAN(A75))="","",_xlfn.TEXTBEFORE(_xlfn.TEXTAFTER(A75,"-"),"-"))</f>
        <v>10</v>
      </c>
      <c r="X75" s="1" t="str">
        <f>IF(TRIM(CLEAN(A75))="","",_xlfn.TEXTAFTER(A75,"-",-1))</f>
        <v>0306</v>
      </c>
    </row>
    <row r="76" spans="1:25" x14ac:dyDescent="0.3">
      <c r="A76" s="88" t="s">
        <v>122</v>
      </c>
      <c r="B76" s="1" t="s">
        <v>41</v>
      </c>
      <c r="C76" s="3">
        <v>46065</v>
      </c>
      <c r="D76" s="75">
        <v>46075</v>
      </c>
      <c r="E76" s="1">
        <f ca="1">IF(DMRB5[[#This Row],[Move_out ]]="","",TODAY()-DMRB5[[#This Row],[Move_out ]])</f>
        <v>32</v>
      </c>
      <c r="F76" s="2"/>
      <c r="G76" s="1" t="str">
        <f ca="1">IF(DMRB5[[#This Row],[Move_in]]="","",TODAY()-DMRB5[[#This Row],[Move_in]])</f>
        <v/>
      </c>
      <c r="H7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6" s="3">
        <f>IF(DMRB5[[#This Row],[Move_out ]]="","",
IF(OR(DMRB5[[#This Row],[Insp_status ]]="In Progress",DMRB5[[#This Row],[Insp_status ]]="Done",
DMRB5[[#This Row],[Insp_status ]]="Scheduled"),
WORKDAY(DMRB5[[#This Row],[Move_out ]],1),
""))</f>
        <v>46066</v>
      </c>
      <c r="J76" s="1" t="s">
        <v>0</v>
      </c>
      <c r="K76" s="3">
        <f>IF(DMRB5[[#This Row],[Move_out ]]="","",
IF(OR(DMRB5[[#This Row],[Paint_status]]="In Progress",DMRB5[[#This Row],[Paint_status]]="Done",
DMRB5[[#This Row],[Paint_status]]="Scheduled"),
WORKDAY(DMRB5[[#This Row],[Move_out ]],2),
""))</f>
        <v>46069</v>
      </c>
      <c r="L76" s="3" t="s">
        <v>4</v>
      </c>
      <c r="M76" s="3">
        <f>IF(DMRB5[[#This Row],[Move_out ]]="","",
IF(OR(DMRB5[[#This Row],[MR_Status]]="In Progress",DMRB5[[#This Row],[MR_Status]]="Done",
DMRB5[[#This Row],[MR_Status]]="Scheduled"),
WORKDAY(DMRB5[[#This Row],[Move_out ]],3),
""))</f>
        <v>46070</v>
      </c>
      <c r="N76" s="1" t="s">
        <v>4</v>
      </c>
      <c r="O76" s="3">
        <f>IF(DMRB5[[#This Row],[Move_out ]]="","",
IF(OR(DMRB5[[#This Row],[HK_Status]]="In Progress",DMRB5[[#This Row],[HK_Status]]="Done",
DMRB5[[#This Row],[HK_Status]]="Scheduled"),
WORKDAY(DMRB5[[#This Row],[Move_out ]],6),
""))</f>
        <v>46073</v>
      </c>
      <c r="P76" s="1" t="s">
        <v>4</v>
      </c>
      <c r="Q76" s="3">
        <f>IF(DMRB5[[#This Row],[Move_out ]]="","",
IF(OR(DMRB5[[#This Row],[CC_status]]="In Progress",DMRB5[[#This Row],[CC_status]]="Done",
DMRB5[[#This Row],[CC_status]]="Scheduled"),
WORKDAY(DMRB5[[#This Row],[Move_out ]],7),
""))</f>
        <v>46076</v>
      </c>
      <c r="R76" s="1" t="s">
        <v>3</v>
      </c>
      <c r="S76" s="2" t="s">
        <v>2</v>
      </c>
      <c r="T76" s="3" t="s">
        <v>43</v>
      </c>
      <c r="U76" s="1" t="s">
        <v>36</v>
      </c>
      <c r="V76" s="1" t="str">
        <f>IF(TRIM(CLEAN(A76))="","",_xlfn.TEXTBEFORE(_xlfn.TEXTAFTER(A76,"Unit "),"-"))</f>
        <v>5</v>
      </c>
      <c r="W76" s="1" t="str">
        <f>IF(TRIM(CLEAN(A76))="","",_xlfn.TEXTBEFORE(_xlfn.TEXTAFTER(A76,"-"),"-"))</f>
        <v>11</v>
      </c>
      <c r="X76" s="1" t="str">
        <f>IF(TRIM(CLEAN(A76))="","",_xlfn.TEXTAFTER(A76,"-",-1))</f>
        <v>0303</v>
      </c>
    </row>
    <row r="77" spans="1:25" x14ac:dyDescent="0.3">
      <c r="A77" s="89" t="s">
        <v>91</v>
      </c>
      <c r="B77" s="1" t="s">
        <v>5</v>
      </c>
      <c r="C77" s="3">
        <v>46068</v>
      </c>
      <c r="D77" s="3">
        <v>46078</v>
      </c>
      <c r="E77" s="1">
        <f ca="1">IF(DMRB5[[#This Row],[Move_out ]]="","",TODAY()-DMRB5[[#This Row],[Move_out ]])</f>
        <v>29</v>
      </c>
      <c r="F77" s="90"/>
      <c r="G77" s="1" t="str">
        <f ca="1">IF(DMRB5[[#This Row],[Move_in]]="","",TODAY()-DMRB5[[#This Row],[Move_in]])</f>
        <v/>
      </c>
      <c r="H7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7" s="3">
        <f>IF(DMRB5[[#This Row],[Move_out ]]="","",
IF(OR(DMRB5[[#This Row],[Insp_status ]]="In Progress",DMRB5[[#This Row],[Insp_status ]]="Done",
DMRB5[[#This Row],[Insp_status ]]="Scheduled"),
WORKDAY(DMRB5[[#This Row],[Move_out ]],1),
""))</f>
        <v>46069</v>
      </c>
      <c r="J77" s="1" t="s">
        <v>0</v>
      </c>
      <c r="K77" s="3">
        <f>IF(DMRB5[[#This Row],[Move_out ]]="","",
IF(OR(DMRB5[[#This Row],[Paint_status]]="In Progress",DMRB5[[#This Row],[Paint_status]]="Done",
DMRB5[[#This Row],[Paint_status]]="Scheduled"),
WORKDAY(DMRB5[[#This Row],[Move_out ]],2),
""))</f>
        <v>46070</v>
      </c>
      <c r="L77" s="3" t="s">
        <v>4</v>
      </c>
      <c r="M77" s="3">
        <f>IF(DMRB5[[#This Row],[Move_out ]]="","",
IF(OR(DMRB5[[#This Row],[MR_Status]]="In Progress",DMRB5[[#This Row],[MR_Status]]="Done",
DMRB5[[#This Row],[MR_Status]]="Scheduled"),
WORKDAY(DMRB5[[#This Row],[Move_out ]],3),
""))</f>
        <v>46071</v>
      </c>
      <c r="N77" s="3" t="s">
        <v>3</v>
      </c>
      <c r="O77" s="3">
        <f>IF(DMRB5[[#This Row],[Move_out ]]="","",
IF(OR(DMRB5[[#This Row],[HK_Status]]="In Progress",DMRB5[[#This Row],[HK_Status]]="Done",
DMRB5[[#This Row],[HK_Status]]="Scheduled"),
WORKDAY(DMRB5[[#This Row],[Move_out ]],6),
""))</f>
        <v>46076</v>
      </c>
      <c r="P77" s="3" t="s">
        <v>4</v>
      </c>
      <c r="Q77" s="3">
        <f>IF(DMRB5[[#This Row],[Move_out ]]="","",
IF(OR(DMRB5[[#This Row],[CC_status]]="In Progress",DMRB5[[#This Row],[CC_status]]="Done",
DMRB5[[#This Row],[CC_status]]="Scheduled"),
WORKDAY(DMRB5[[#This Row],[Move_out ]],7),
""))</f>
        <v>46077</v>
      </c>
      <c r="R77" s="3" t="s">
        <v>0</v>
      </c>
      <c r="S77" s="90" t="s">
        <v>102</v>
      </c>
      <c r="T77" s="1" t="s">
        <v>1</v>
      </c>
      <c r="U77" s="1" t="s">
        <v>36</v>
      </c>
      <c r="V77" s="1" t="str">
        <f>IF(TRIM(CLEAN(A77))="","",_xlfn.TEXTBEFORE(_xlfn.TEXTAFTER(A77,"Unit "),"-"))</f>
        <v>7</v>
      </c>
      <c r="W77" s="1" t="str">
        <f>IF(TRIM(CLEAN(A77))="","",_xlfn.TEXTBEFORE(_xlfn.TEXTAFTER(A77,"-"),"-"))</f>
        <v>10</v>
      </c>
      <c r="X77" s="1" t="str">
        <f>IF(TRIM(CLEAN(A77))="","",_xlfn.TEXTAFTER(A77,"-",-1))</f>
        <v>0107</v>
      </c>
    </row>
    <row r="78" spans="1:25" x14ac:dyDescent="0.3">
      <c r="A78" s="89" t="s">
        <v>172</v>
      </c>
      <c r="B78" s="1" t="s">
        <v>5</v>
      </c>
      <c r="C78" s="3">
        <v>46069</v>
      </c>
      <c r="D78" s="3">
        <v>46084</v>
      </c>
      <c r="E78" s="1">
        <f ca="1">IF(DMRB5[[#This Row],[Move_out ]]="","",TODAY()-DMRB5[[#This Row],[Move_out ]])</f>
        <v>28</v>
      </c>
      <c r="F78" s="90"/>
      <c r="G78" s="1" t="str">
        <f ca="1">IF(DMRB5[[#This Row],[Move_in]]="","",TODAY()-DMRB5[[#This Row],[Move_in]])</f>
        <v/>
      </c>
      <c r="H7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8" s="3">
        <f>IF(DMRB5[[#This Row],[Move_out ]]="","",
IF(OR(DMRB5[[#This Row],[Insp_status ]]="In Progress",DMRB5[[#This Row],[Insp_status ]]="Done",
DMRB5[[#This Row],[Insp_status ]]="Scheduled"),
WORKDAY(DMRB5[[#This Row],[Move_out ]],1),
""))</f>
        <v>46070</v>
      </c>
      <c r="J78" s="1" t="s">
        <v>0</v>
      </c>
      <c r="K78" s="3">
        <f>IF(DMRB5[[#This Row],[Move_out ]]="","",
IF(OR(DMRB5[[#This Row],[Paint_status]]="In Progress",DMRB5[[#This Row],[Paint_status]]="Done",
DMRB5[[#This Row],[Paint_status]]="Scheduled"),
WORKDAY(DMRB5[[#This Row],[Move_out ]],2),
""))</f>
        <v>46071</v>
      </c>
      <c r="L78" s="3" t="s">
        <v>4</v>
      </c>
      <c r="M78" s="3">
        <f>IF(DMRB5[[#This Row],[Move_out ]]="","",
IF(OR(DMRB5[[#This Row],[MR_Status]]="In Progress",DMRB5[[#This Row],[MR_Status]]="Done",
DMRB5[[#This Row],[MR_Status]]="Scheduled"),
WORKDAY(DMRB5[[#This Row],[Move_out ]],3),
""))</f>
        <v>46072</v>
      </c>
      <c r="N78" s="3" t="s">
        <v>3</v>
      </c>
      <c r="O78" s="3">
        <f>IF(DMRB5[[#This Row],[Move_out ]]="","",
IF(OR(DMRB5[[#This Row],[HK_Status]]="In Progress",DMRB5[[#This Row],[HK_Status]]="Done",
DMRB5[[#This Row],[HK_Status]]="Scheduled"),
WORKDAY(DMRB5[[#This Row],[Move_out ]],6),
""))</f>
        <v>46077</v>
      </c>
      <c r="P78" s="3" t="s">
        <v>4</v>
      </c>
      <c r="Q78" s="3">
        <f>IF(DMRB5[[#This Row],[Move_out ]]="","",
IF(OR(DMRB5[[#This Row],[CC_status]]="In Progress",DMRB5[[#This Row],[CC_status]]="Done",
DMRB5[[#This Row],[CC_status]]="Scheduled"),
WORKDAY(DMRB5[[#This Row],[Move_out ]],7),
""))</f>
        <v>46078</v>
      </c>
      <c r="R78" s="3" t="s">
        <v>3</v>
      </c>
      <c r="S78" s="90" t="s">
        <v>102</v>
      </c>
      <c r="T78" s="1" t="s">
        <v>43</v>
      </c>
      <c r="U78" s="1" t="s">
        <v>36</v>
      </c>
      <c r="V78" s="1" t="str">
        <f>IF(TRIM(CLEAN(A78))="","",_xlfn.TEXTBEFORE(_xlfn.TEXTAFTER(A78,"Unit "),"-"))</f>
        <v>7</v>
      </c>
      <c r="W78" s="1" t="str">
        <f>IF(TRIM(CLEAN(A78))="","",_xlfn.TEXTBEFORE(_xlfn.TEXTAFTER(A78,"-"),"-"))</f>
        <v>06</v>
      </c>
      <c r="X78" s="1" t="str">
        <f>IF(TRIM(CLEAN(A78))="","",_xlfn.TEXTAFTER(A78,"-",-1))</f>
        <v>0209</v>
      </c>
    </row>
    <row r="79" spans="1:25" x14ac:dyDescent="0.3">
      <c r="A79" s="4" t="s">
        <v>93</v>
      </c>
      <c r="B79" s="1" t="s">
        <v>41</v>
      </c>
      <c r="C79" s="3">
        <v>46071</v>
      </c>
      <c r="D79" s="3">
        <v>46081</v>
      </c>
      <c r="E79" s="1">
        <f ca="1">IF(DMRB5[[#This Row],[Move_out ]]="","",TODAY()-DMRB5[[#This Row],[Move_out ]])</f>
        <v>26</v>
      </c>
      <c r="F79" s="2"/>
      <c r="G79" s="1" t="str">
        <f ca="1">IF(DMRB5[[#This Row],[Move_in]]="","",TODAY()-DMRB5[[#This Row],[Move_in]])</f>
        <v/>
      </c>
      <c r="H7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9" s="3">
        <f>IF(DMRB5[[#This Row],[Move_out ]]="","",
IF(OR(DMRB5[[#This Row],[Insp_status ]]="In Progress",DMRB5[[#This Row],[Insp_status ]]="Done",
DMRB5[[#This Row],[Insp_status ]]="Scheduled"),
WORKDAY(DMRB5[[#This Row],[Move_out ]],1),
""))</f>
        <v>46072</v>
      </c>
      <c r="J79" s="1" t="s">
        <v>0</v>
      </c>
      <c r="K79" s="3">
        <f>IF(DMRB5[[#This Row],[Move_out ]]="","",
IF(OR(DMRB5[[#This Row],[Paint_status]]="In Progress",DMRB5[[#This Row],[Paint_status]]="Done",
DMRB5[[#This Row],[Paint_status]]="Scheduled"),
WORKDAY(DMRB5[[#This Row],[Move_out ]],2),
""))</f>
        <v>46073</v>
      </c>
      <c r="L79" s="1" t="s">
        <v>3</v>
      </c>
      <c r="M79" s="3">
        <f>IF(DMRB5[[#This Row],[Move_out ]]="","",
IF(OR(DMRB5[[#This Row],[MR_Status]]="In Progress",DMRB5[[#This Row],[MR_Status]]="Done",
DMRB5[[#This Row],[MR_Status]]="Scheduled"),
WORKDAY(DMRB5[[#This Row],[Move_out ]],3),
""))</f>
        <v>46076</v>
      </c>
      <c r="N79" s="3" t="s">
        <v>3</v>
      </c>
      <c r="O79" s="3">
        <f>IF(DMRB5[[#This Row],[Move_out ]]="","",
IF(OR(DMRB5[[#This Row],[HK_Status]]="In Progress",DMRB5[[#This Row],[HK_Status]]="Done",
DMRB5[[#This Row],[HK_Status]]="Scheduled"),
WORKDAY(DMRB5[[#This Row],[Move_out ]],6),
""))</f>
        <v>46079</v>
      </c>
      <c r="P79" s="1" t="s">
        <v>3</v>
      </c>
      <c r="Q79" s="3">
        <f>IF(DMRB5[[#This Row],[Move_out ]]="","",
IF(OR(DMRB5[[#This Row],[CC_status]]="In Progress",DMRB5[[#This Row],[CC_status]]="Done",
DMRB5[[#This Row],[CC_status]]="Scheduled"),
WORKDAY(DMRB5[[#This Row],[Move_out ]],7),
""))</f>
        <v>46080</v>
      </c>
      <c r="R79" s="3" t="s">
        <v>3</v>
      </c>
      <c r="S79" s="2" t="s">
        <v>2</v>
      </c>
      <c r="T79" s="1" t="s">
        <v>36</v>
      </c>
      <c r="U79" s="1" t="s">
        <v>36</v>
      </c>
      <c r="V79" s="1" t="str">
        <f>IF(TRIM(CLEAN(A79))="","",_xlfn.TEXTBEFORE(_xlfn.TEXTAFTER(A79,"Unit "),"-"))</f>
        <v>5</v>
      </c>
      <c r="W79" s="1" t="str">
        <f>IF(TRIM(CLEAN(A79))="","",_xlfn.TEXTBEFORE(_xlfn.TEXTAFTER(A79,"-"),"-"))</f>
        <v>10</v>
      </c>
      <c r="X79" s="1" t="str">
        <f>IF(TRIM(CLEAN(A79))="","",_xlfn.TEXTAFTER(A79,"-",-1))</f>
        <v>0203</v>
      </c>
      <c r="Y79" s="52" t="s">
        <v>201</v>
      </c>
    </row>
    <row r="80" spans="1:25" x14ac:dyDescent="0.3">
      <c r="A80" s="91" t="s">
        <v>173</v>
      </c>
      <c r="B80" s="1" t="s">
        <v>5</v>
      </c>
      <c r="C80" s="3">
        <v>46071</v>
      </c>
      <c r="D80" s="3">
        <v>46081</v>
      </c>
      <c r="E80" s="1">
        <f ca="1">IF(DMRB5[[#This Row],[Move_out ]]="","",TODAY()-DMRB5[[#This Row],[Move_out ]])</f>
        <v>26</v>
      </c>
      <c r="F80" s="90"/>
      <c r="G80" s="1" t="str">
        <f ca="1">IF(DMRB5[[#This Row],[Move_in]]="","",TODAY()-DMRB5[[#This Row],[Move_in]])</f>
        <v/>
      </c>
      <c r="H8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0" s="3">
        <f>IF(DMRB5[[#This Row],[Move_out ]]="","",
IF(OR(DMRB5[[#This Row],[Insp_status ]]="In Progress",DMRB5[[#This Row],[Insp_status ]]="Done",
DMRB5[[#This Row],[Insp_status ]]="Scheduled"),
WORKDAY(DMRB5[[#This Row],[Move_out ]],1),
""))</f>
        <v>46072</v>
      </c>
      <c r="J80" s="1" t="s">
        <v>0</v>
      </c>
      <c r="K80" s="3">
        <f>IF(DMRB5[[#This Row],[Move_out ]]="","",
IF(OR(DMRB5[[#This Row],[Paint_status]]="In Progress",DMRB5[[#This Row],[Paint_status]]="Done",
DMRB5[[#This Row],[Paint_status]]="Scheduled"),
WORKDAY(DMRB5[[#This Row],[Move_out ]],2),
""))</f>
        <v>46073</v>
      </c>
      <c r="L80" s="1" t="s">
        <v>3</v>
      </c>
      <c r="M80" s="3">
        <f>IF(DMRB5[[#This Row],[Move_out ]]="","",
IF(OR(DMRB5[[#This Row],[MR_Status]]="In Progress",DMRB5[[#This Row],[MR_Status]]="Done",
DMRB5[[#This Row],[MR_Status]]="Scheduled"),
WORKDAY(DMRB5[[#This Row],[Move_out ]],3),
""))</f>
        <v>46076</v>
      </c>
      <c r="N80" s="3" t="s">
        <v>3</v>
      </c>
      <c r="O80" s="3">
        <f>IF(DMRB5[[#This Row],[Move_out ]]="","",
IF(OR(DMRB5[[#This Row],[HK_Status]]="In Progress",DMRB5[[#This Row],[HK_Status]]="Done",
DMRB5[[#This Row],[HK_Status]]="Scheduled"),
WORKDAY(DMRB5[[#This Row],[Move_out ]],6),
""))</f>
        <v>46079</v>
      </c>
      <c r="P80" s="1" t="s">
        <v>3</v>
      </c>
      <c r="Q80" s="3">
        <f>IF(DMRB5[[#This Row],[Move_out ]]="","",
IF(OR(DMRB5[[#This Row],[CC_status]]="In Progress",DMRB5[[#This Row],[CC_status]]="Done",
DMRB5[[#This Row],[CC_status]]="Scheduled"),
WORKDAY(DMRB5[[#This Row],[Move_out ]],7),
""))</f>
        <v>46080</v>
      </c>
      <c r="R80" s="3" t="s">
        <v>3</v>
      </c>
      <c r="S80" s="2" t="s">
        <v>2</v>
      </c>
      <c r="T80" s="3" t="s">
        <v>43</v>
      </c>
      <c r="U80" s="1" t="s">
        <v>36</v>
      </c>
      <c r="V80" s="1" t="str">
        <f>IF(TRIM(CLEAN(A80))="","",_xlfn.TEXTBEFORE(_xlfn.TEXTAFTER(A80,"Unit "),"-"))</f>
        <v>5</v>
      </c>
      <c r="W80" s="1" t="str">
        <f>IF(TRIM(CLEAN(A80))="","",_xlfn.TEXTBEFORE(_xlfn.TEXTAFTER(A80,"-"),"-"))</f>
        <v>17</v>
      </c>
      <c r="X80" s="1" t="str">
        <f>IF(TRIM(CLEAN(A80))="","",_xlfn.TEXTAFTER(A80,"-",-1))</f>
        <v>0104</v>
      </c>
      <c r="Y80" s="52" t="s">
        <v>101</v>
      </c>
    </row>
    <row r="81" spans="1:24" x14ac:dyDescent="0.3">
      <c r="A81" s="93" t="s">
        <v>178</v>
      </c>
      <c r="B81" s="1" t="s">
        <v>5</v>
      </c>
      <c r="C81" s="3">
        <v>46071</v>
      </c>
      <c r="D81" s="3">
        <v>46086</v>
      </c>
      <c r="E81" s="1">
        <f ca="1">IF(DMRB5[[#This Row],[Move_out ]]="","",TODAY()-DMRB5[[#This Row],[Move_out ]])</f>
        <v>26</v>
      </c>
      <c r="F81" s="90"/>
      <c r="G81" s="1" t="str">
        <f ca="1">IF(DMRB5[[#This Row],[Move_in]]="","",TODAY()-DMRB5[[#This Row],[Move_in]])</f>
        <v/>
      </c>
      <c r="H8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1" s="3">
        <f>IF(DMRB5[[#This Row],[Move_out ]]="","",
IF(OR(DMRB5[[#This Row],[Insp_status ]]="In Progress",DMRB5[[#This Row],[Insp_status ]]="Done",
DMRB5[[#This Row],[Insp_status ]]="Scheduled"),
WORKDAY(DMRB5[[#This Row],[Move_out ]],1),
""))</f>
        <v>46072</v>
      </c>
      <c r="J81" s="1" t="s">
        <v>0</v>
      </c>
      <c r="K81" s="3">
        <f>IF(DMRB5[[#This Row],[Move_out ]]="","",
IF(OR(DMRB5[[#This Row],[Paint_status]]="In Progress",DMRB5[[#This Row],[Paint_status]]="Done",
DMRB5[[#This Row],[Paint_status]]="Scheduled"),
WORKDAY(DMRB5[[#This Row],[Move_out ]],2),
""))</f>
        <v>46073</v>
      </c>
      <c r="L81" s="1" t="s">
        <v>3</v>
      </c>
      <c r="M81" s="3">
        <f>IF(DMRB5[[#This Row],[Move_out ]]="","",
IF(OR(DMRB5[[#This Row],[MR_Status]]="In Progress",DMRB5[[#This Row],[MR_Status]]="Done",
DMRB5[[#This Row],[MR_Status]]="Scheduled"),
WORKDAY(DMRB5[[#This Row],[Move_out ]],3),
""))</f>
        <v>46076</v>
      </c>
      <c r="N81" s="3" t="s">
        <v>3</v>
      </c>
      <c r="O81" s="3">
        <f>IF(DMRB5[[#This Row],[Move_out ]]="","",
IF(OR(DMRB5[[#This Row],[HK_Status]]="In Progress",DMRB5[[#This Row],[HK_Status]]="Done",
DMRB5[[#This Row],[HK_Status]]="Scheduled"),
WORKDAY(DMRB5[[#This Row],[Move_out ]],6),
""))</f>
        <v>46079</v>
      </c>
      <c r="P81" s="1" t="s">
        <v>3</v>
      </c>
      <c r="Q81" s="3">
        <f>IF(DMRB5[[#This Row],[Move_out ]]="","",
IF(OR(DMRB5[[#This Row],[CC_status]]="In Progress",DMRB5[[#This Row],[CC_status]]="Done",
DMRB5[[#This Row],[CC_status]]="Scheduled"),
WORKDAY(DMRB5[[#This Row],[Move_out ]],7),
""))</f>
        <v>46080</v>
      </c>
      <c r="R81" s="3" t="s">
        <v>3</v>
      </c>
      <c r="S81" s="90" t="s">
        <v>102</v>
      </c>
      <c r="T81" s="3" t="s">
        <v>1</v>
      </c>
      <c r="U81" s="1" t="s">
        <v>36</v>
      </c>
      <c r="V81" s="1" t="str">
        <f>IF(TRIM(CLEAN(A81))="","",_xlfn.TEXTBEFORE(_xlfn.TEXTAFTER(A81,"Unit "),"-"))</f>
        <v>7</v>
      </c>
      <c r="W81" s="1" t="str">
        <f>IF(TRIM(CLEAN(A81))="","",_xlfn.TEXTBEFORE(_xlfn.TEXTAFTER(A81,"-"),"-"))</f>
        <v>09</v>
      </c>
      <c r="X81" s="1" t="str">
        <f>IF(TRIM(CLEAN(A81))="","",_xlfn.TEXTAFTER(A81,"-",-1))</f>
        <v>0103</v>
      </c>
    </row>
    <row r="82" spans="1:24" x14ac:dyDescent="0.3">
      <c r="A82" s="4" t="s">
        <v>96</v>
      </c>
      <c r="B82" s="1" t="s">
        <v>5</v>
      </c>
      <c r="C82" s="3">
        <v>46078</v>
      </c>
      <c r="D82" s="3">
        <v>46086</v>
      </c>
      <c r="E82" s="1">
        <f ca="1">IF(DMRB5[[#This Row],[Move_out ]]="","",TODAY()-DMRB5[[#This Row],[Move_out ]])</f>
        <v>19</v>
      </c>
      <c r="F82" s="2"/>
      <c r="G82" s="1" t="str">
        <f ca="1">IF(DMRB5[[#This Row],[Move_in]]="","",TODAY()-DMRB5[[#This Row],[Move_in]])</f>
        <v/>
      </c>
      <c r="H8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2" s="3">
        <f>IF(DMRB5[[#This Row],[Move_out ]]="","",
IF(OR(DMRB5[[#This Row],[Insp_status ]]="In Progress",DMRB5[[#This Row],[Insp_status ]]="Done",
DMRB5[[#This Row],[Insp_status ]]="Scheduled"),
WORKDAY(DMRB5[[#This Row],[Move_out ]],1),
""))</f>
        <v>46079</v>
      </c>
      <c r="J82" s="1" t="s">
        <v>3</v>
      </c>
      <c r="K82" s="3">
        <f>IF(DMRB5[[#This Row],[Move_out ]]="","",
IF(OR(DMRB5[[#This Row],[Paint_status]]="In Progress",DMRB5[[#This Row],[Paint_status]]="Done",
DMRB5[[#This Row],[Paint_status]]="Scheduled"),
WORKDAY(DMRB5[[#This Row],[Move_out ]],2),
""))</f>
        <v>46080</v>
      </c>
      <c r="L82" s="3" t="s">
        <v>3</v>
      </c>
      <c r="M82" s="3">
        <f>IF(DMRB5[[#This Row],[Move_out ]]="","",
IF(OR(DMRB5[[#This Row],[MR_Status]]="In Progress",DMRB5[[#This Row],[MR_Status]]="Done",
DMRB5[[#This Row],[MR_Status]]="Scheduled"),
WORKDAY(DMRB5[[#This Row],[Move_out ]],3),
""))</f>
        <v>46083</v>
      </c>
      <c r="N82" s="3" t="s">
        <v>3</v>
      </c>
      <c r="O82" s="3">
        <f>IF(DMRB5[[#This Row],[Move_out ]]="","",
IF(OR(DMRB5[[#This Row],[HK_Status]]="In Progress",DMRB5[[#This Row],[HK_Status]]="Done",
DMRB5[[#This Row],[HK_Status]]="Scheduled"),
WORKDAY(DMRB5[[#This Row],[Move_out ]],6),
""))</f>
        <v>46086</v>
      </c>
      <c r="P82" s="3" t="s">
        <v>3</v>
      </c>
      <c r="Q82" s="3">
        <f>IF(DMRB5[[#This Row],[Move_out ]]="","",
IF(OR(DMRB5[[#This Row],[CC_status]]="In Progress",DMRB5[[#This Row],[CC_status]]="Done",
DMRB5[[#This Row],[CC_status]]="Scheduled"),
WORKDAY(DMRB5[[#This Row],[Move_out ]],7),
""))</f>
        <v>46087</v>
      </c>
      <c r="R82" s="3" t="s">
        <v>3</v>
      </c>
      <c r="S82" s="2" t="s">
        <v>39</v>
      </c>
      <c r="T82" s="1"/>
      <c r="U82" s="1" t="s">
        <v>36</v>
      </c>
      <c r="V82" s="1" t="str">
        <f>IF(TRIM(CLEAN(A82))="","",_xlfn.TEXTBEFORE(_xlfn.TEXTAFTER(A82,"Unit "),"-"))</f>
        <v>7</v>
      </c>
      <c r="W82" s="1" t="str">
        <f>IF(TRIM(CLEAN(A82))="","",_xlfn.TEXTBEFORE(_xlfn.TEXTAFTER(A82,"-"),"-"))</f>
        <v>07</v>
      </c>
      <c r="X82" s="1" t="str">
        <f>IF(TRIM(CLEAN(A82))="","",_xlfn.TEXTAFTER(A82,"-",-1))</f>
        <v>0107</v>
      </c>
    </row>
    <row r="83" spans="1:24" x14ac:dyDescent="0.3">
      <c r="A83" s="4" t="s">
        <v>97</v>
      </c>
      <c r="B83" s="1" t="s">
        <v>5</v>
      </c>
      <c r="C83" s="3">
        <v>46081</v>
      </c>
      <c r="D83" s="3">
        <v>46089</v>
      </c>
      <c r="E83" s="1">
        <f ca="1">IF(DMRB5[[#This Row],[Move_out ]]="","",TODAY()-DMRB5[[#This Row],[Move_out ]])</f>
        <v>16</v>
      </c>
      <c r="F83" s="2"/>
      <c r="G83" s="1" t="str">
        <f ca="1">IF(DMRB5[[#This Row],[Move_in]]="","",TODAY()-DMRB5[[#This Row],[Move_in]])</f>
        <v/>
      </c>
      <c r="H8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3" s="3">
        <f>IF(DMRB5[[#This Row],[Move_out ]]="","",
IF(OR(DMRB5[[#This Row],[Insp_status ]]="In Progress",DMRB5[[#This Row],[Insp_status ]]="Done",
DMRB5[[#This Row],[Insp_status ]]="Scheduled"),
WORKDAY(DMRB5[[#This Row],[Move_out ]],1),
""))</f>
        <v>46083</v>
      </c>
      <c r="J83" s="1" t="s">
        <v>3</v>
      </c>
      <c r="K83" s="3">
        <f>IF(DMRB5[[#This Row],[Move_out ]]="","",
IF(OR(DMRB5[[#This Row],[Paint_status]]="In Progress",DMRB5[[#This Row],[Paint_status]]="Done",
DMRB5[[#This Row],[Paint_status]]="Scheduled"),
WORKDAY(DMRB5[[#This Row],[Move_out ]],2),
""))</f>
        <v>46084</v>
      </c>
      <c r="L83" s="3" t="s">
        <v>3</v>
      </c>
      <c r="M83" s="3">
        <f>IF(DMRB5[[#This Row],[Move_out ]]="","",
IF(OR(DMRB5[[#This Row],[MR_Status]]="In Progress",DMRB5[[#This Row],[MR_Status]]="Done",
DMRB5[[#This Row],[MR_Status]]="Scheduled"),
WORKDAY(DMRB5[[#This Row],[Move_out ]],3),
""))</f>
        <v>46085</v>
      </c>
      <c r="N83" s="3" t="s">
        <v>3</v>
      </c>
      <c r="O83" s="3">
        <f>IF(DMRB5[[#This Row],[Move_out ]]="","",
IF(OR(DMRB5[[#This Row],[HK_Status]]="In Progress",DMRB5[[#This Row],[HK_Status]]="Done",
DMRB5[[#This Row],[HK_Status]]="Scheduled"),
WORKDAY(DMRB5[[#This Row],[Move_out ]],6),
""))</f>
        <v>46090</v>
      </c>
      <c r="P83" s="3" t="s">
        <v>3</v>
      </c>
      <c r="Q83" s="3">
        <f>IF(DMRB5[[#This Row],[Move_out ]]="","",
IF(OR(DMRB5[[#This Row],[CC_status]]="In Progress",DMRB5[[#This Row],[CC_status]]="Done",
DMRB5[[#This Row],[CC_status]]="Scheduled"),
WORKDAY(DMRB5[[#This Row],[Move_out ]],7),
""))</f>
        <v>46091</v>
      </c>
      <c r="R83" s="3" t="s">
        <v>3</v>
      </c>
      <c r="S83" s="2" t="s">
        <v>39</v>
      </c>
      <c r="T83" s="1"/>
      <c r="U83" s="1" t="s">
        <v>36</v>
      </c>
      <c r="V83" s="1" t="str">
        <f>IF(TRIM(CLEAN(A83))="","",_xlfn.TEXTBEFORE(_xlfn.TEXTAFTER(A83,"Unit "),"-"))</f>
        <v>7</v>
      </c>
      <c r="W83" s="1" t="str">
        <f>IF(TRIM(CLEAN(A83))="","",_xlfn.TEXTBEFORE(_xlfn.TEXTAFTER(A83,"-"),"-"))</f>
        <v>10</v>
      </c>
      <c r="X83" s="1" t="str">
        <f>IF(TRIM(CLEAN(A83))="","",_xlfn.TEXTAFTER(A83,"-",-1))</f>
        <v>0203</v>
      </c>
    </row>
    <row r="84" spans="1:24" x14ac:dyDescent="0.3">
      <c r="A84" s="88" t="s">
        <v>126</v>
      </c>
      <c r="B84" s="1" t="s">
        <v>5</v>
      </c>
      <c r="C84" s="3">
        <v>46082</v>
      </c>
      <c r="D84" s="3">
        <v>46095</v>
      </c>
      <c r="E84" s="1">
        <f ca="1">IF(DMRB5[[#This Row],[Move_out ]]="","",TODAY()-DMRB5[[#This Row],[Move_out ]])</f>
        <v>15</v>
      </c>
      <c r="F84" s="2"/>
      <c r="G84" s="1" t="str">
        <f ca="1">IF(DMRB5[[#This Row],[Move_in]]="","",TODAY()-DMRB5[[#This Row],[Move_in]])</f>
        <v/>
      </c>
      <c r="H8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4" s="3">
        <f>IF(DMRB5[[#This Row],[Move_out ]]="","",
IF(OR(DMRB5[[#This Row],[Insp_status ]]="In Progress",DMRB5[[#This Row],[Insp_status ]]="Done",
DMRB5[[#This Row],[Insp_status ]]="Scheduled"),
WORKDAY(DMRB5[[#This Row],[Move_out ]],1),
""))</f>
        <v>46083</v>
      </c>
      <c r="J84" s="1" t="s">
        <v>3</v>
      </c>
      <c r="K84" s="3">
        <f>IF(DMRB5[[#This Row],[Move_out ]]="","",
IF(OR(DMRB5[[#This Row],[Paint_status]]="In Progress",DMRB5[[#This Row],[Paint_status]]="Done",
DMRB5[[#This Row],[Paint_status]]="Scheduled"),
WORKDAY(DMRB5[[#This Row],[Move_out ]],2),
""))</f>
        <v>46084</v>
      </c>
      <c r="L84" s="3" t="s">
        <v>3</v>
      </c>
      <c r="M84" s="3">
        <f>IF(DMRB5[[#This Row],[Move_out ]]="","",
IF(OR(DMRB5[[#This Row],[MR_Status]]="In Progress",DMRB5[[#This Row],[MR_Status]]="Done",
DMRB5[[#This Row],[MR_Status]]="Scheduled"),
WORKDAY(DMRB5[[#This Row],[Move_out ]],3),
""))</f>
        <v>46085</v>
      </c>
      <c r="N84" s="3" t="s">
        <v>3</v>
      </c>
      <c r="O84" s="3">
        <f>IF(DMRB5[[#This Row],[Move_out ]]="","",
IF(OR(DMRB5[[#This Row],[HK_Status]]="In Progress",DMRB5[[#This Row],[HK_Status]]="Done",
DMRB5[[#This Row],[HK_Status]]="Scheduled"),
WORKDAY(DMRB5[[#This Row],[Move_out ]],6),
""))</f>
        <v>46090</v>
      </c>
      <c r="P84" s="3" t="s">
        <v>3</v>
      </c>
      <c r="Q84" s="3">
        <f>IF(DMRB5[[#This Row],[Move_out ]]="","",
IF(OR(DMRB5[[#This Row],[CC_status]]="In Progress",DMRB5[[#This Row],[CC_status]]="Done",
DMRB5[[#This Row],[CC_status]]="Scheduled"),
WORKDAY(DMRB5[[#This Row],[Move_out ]],7),
""))</f>
        <v>46091</v>
      </c>
      <c r="R84" s="3" t="s">
        <v>3</v>
      </c>
      <c r="S84" s="2" t="s">
        <v>39</v>
      </c>
      <c r="U84" s="1" t="s">
        <v>36</v>
      </c>
      <c r="V84" s="1" t="str">
        <f>IF(TRIM(CLEAN(A84))="","",_xlfn.TEXTBEFORE(_xlfn.TEXTAFTER(A84,"Unit "),"-"))</f>
        <v>8</v>
      </c>
      <c r="W84" s="1" t="str">
        <f>IF(TRIM(CLEAN(A84))="","",_xlfn.TEXTBEFORE(_xlfn.TEXTAFTER(A84,"-"),"-"))</f>
        <v>01</v>
      </c>
      <c r="X84" s="1" t="str">
        <f>IF(TRIM(CLEAN(A84))="","",_xlfn.TEXTAFTER(A84,"-",-1))</f>
        <v>1001</v>
      </c>
    </row>
    <row r="85" spans="1:24" x14ac:dyDescent="0.3">
      <c r="A85" s="88" t="s">
        <v>127</v>
      </c>
      <c r="B85" s="1" t="s">
        <v>5</v>
      </c>
      <c r="C85" s="3">
        <v>46082</v>
      </c>
      <c r="D85" s="3">
        <v>46095</v>
      </c>
      <c r="E85" s="1">
        <f ca="1">IF(DMRB5[[#This Row],[Move_out ]]="","",TODAY()-DMRB5[[#This Row],[Move_out ]])</f>
        <v>15</v>
      </c>
      <c r="F85" s="2"/>
      <c r="G85" s="1" t="str">
        <f ca="1">IF(DMRB5[[#This Row],[Move_in]]="","",TODAY()-DMRB5[[#This Row],[Move_in]])</f>
        <v/>
      </c>
      <c r="H8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5" s="3">
        <f>IF(DMRB5[[#This Row],[Move_out ]]="","",
IF(OR(DMRB5[[#This Row],[Insp_status ]]="In Progress",DMRB5[[#This Row],[Insp_status ]]="Done",
DMRB5[[#This Row],[Insp_status ]]="Scheduled"),
WORKDAY(DMRB5[[#This Row],[Move_out ]],1),
""))</f>
        <v>46083</v>
      </c>
      <c r="J85" s="1" t="s">
        <v>3</v>
      </c>
      <c r="K85" s="3">
        <f>IF(DMRB5[[#This Row],[Move_out ]]="","",
IF(OR(DMRB5[[#This Row],[Paint_status]]="In Progress",DMRB5[[#This Row],[Paint_status]]="Done",
DMRB5[[#This Row],[Paint_status]]="Scheduled"),
WORKDAY(DMRB5[[#This Row],[Move_out ]],2),
""))</f>
        <v>46084</v>
      </c>
      <c r="L85" s="3" t="s">
        <v>3</v>
      </c>
      <c r="M85" s="3">
        <f>IF(DMRB5[[#This Row],[Move_out ]]="","",
IF(OR(DMRB5[[#This Row],[MR_Status]]="In Progress",DMRB5[[#This Row],[MR_Status]]="Done",
DMRB5[[#This Row],[MR_Status]]="Scheduled"),
WORKDAY(DMRB5[[#This Row],[Move_out ]],3),
""))</f>
        <v>46085</v>
      </c>
      <c r="N85" s="3" t="s">
        <v>3</v>
      </c>
      <c r="O85" s="3">
        <f>IF(DMRB5[[#This Row],[Move_out ]]="","",
IF(OR(DMRB5[[#This Row],[HK_Status]]="In Progress",DMRB5[[#This Row],[HK_Status]]="Done",
DMRB5[[#This Row],[HK_Status]]="Scheduled"),
WORKDAY(DMRB5[[#This Row],[Move_out ]],6),
""))</f>
        <v>46090</v>
      </c>
      <c r="P85" s="3" t="s">
        <v>3</v>
      </c>
      <c r="Q85" s="3">
        <f>IF(DMRB5[[#This Row],[Move_out ]]="","",
IF(OR(DMRB5[[#This Row],[CC_status]]="In Progress",DMRB5[[#This Row],[CC_status]]="Done",
DMRB5[[#This Row],[CC_status]]="Scheduled"),
WORKDAY(DMRB5[[#This Row],[Move_out ]],7),
""))</f>
        <v>46091</v>
      </c>
      <c r="R85" s="3" t="s">
        <v>3</v>
      </c>
      <c r="S85" s="2" t="s">
        <v>39</v>
      </c>
      <c r="U85" s="1" t="s">
        <v>36</v>
      </c>
      <c r="V85" s="1" t="str">
        <f>IF(TRIM(CLEAN(A85))="","",_xlfn.TEXTBEFORE(_xlfn.TEXTAFTER(A85,"Unit "),"-"))</f>
        <v>8</v>
      </c>
      <c r="W85" s="1" t="str">
        <f>IF(TRIM(CLEAN(A85))="","",_xlfn.TEXTBEFORE(_xlfn.TEXTAFTER(A85,"-"),"-"))</f>
        <v>01</v>
      </c>
      <c r="X85" s="1" t="str">
        <f>IF(TRIM(CLEAN(A85))="","",_xlfn.TEXTAFTER(A85,"-",-1))</f>
        <v>2011</v>
      </c>
    </row>
    <row r="86" spans="1:24" x14ac:dyDescent="0.3">
      <c r="A86" s="88" t="s">
        <v>128</v>
      </c>
      <c r="B86" s="1" t="s">
        <v>5</v>
      </c>
      <c r="C86" s="3">
        <v>46083</v>
      </c>
      <c r="D86" s="3">
        <v>46095</v>
      </c>
      <c r="E86" s="1">
        <f ca="1">IF(DMRB5[[#This Row],[Move_out ]]="","",TODAY()-DMRB5[[#This Row],[Move_out ]])</f>
        <v>14</v>
      </c>
      <c r="F86" s="2"/>
      <c r="G86" s="1" t="str">
        <f ca="1">IF(DMRB5[[#This Row],[Move_in]]="","",TODAY()-DMRB5[[#This Row],[Move_in]])</f>
        <v/>
      </c>
      <c r="H8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6" s="3">
        <f>IF(DMRB5[[#This Row],[Move_out ]]="","",
IF(OR(DMRB5[[#This Row],[Insp_status ]]="In Progress",DMRB5[[#This Row],[Insp_status ]]="Done",
DMRB5[[#This Row],[Insp_status ]]="Scheduled"),
WORKDAY(DMRB5[[#This Row],[Move_out ]],1),
""))</f>
        <v>46084</v>
      </c>
      <c r="J86" s="1" t="s">
        <v>3</v>
      </c>
      <c r="K86" s="3">
        <f>IF(DMRB5[[#This Row],[Move_out ]]="","",
IF(OR(DMRB5[[#This Row],[Paint_status]]="In Progress",DMRB5[[#This Row],[Paint_status]]="Done",
DMRB5[[#This Row],[Paint_status]]="Scheduled"),
WORKDAY(DMRB5[[#This Row],[Move_out ]],2),
""))</f>
        <v>46085</v>
      </c>
      <c r="L86" s="3" t="s">
        <v>3</v>
      </c>
      <c r="M86" s="3">
        <f>IF(DMRB5[[#This Row],[Move_out ]]="","",
IF(OR(DMRB5[[#This Row],[MR_Status]]="In Progress",DMRB5[[#This Row],[MR_Status]]="Done",
DMRB5[[#This Row],[MR_Status]]="Scheduled"),
WORKDAY(DMRB5[[#This Row],[Move_out ]],3),
""))</f>
        <v>46086</v>
      </c>
      <c r="N86" s="3" t="s">
        <v>3</v>
      </c>
      <c r="O86" s="3">
        <f>IF(DMRB5[[#This Row],[Move_out ]]="","",
IF(OR(DMRB5[[#This Row],[HK_Status]]="In Progress",DMRB5[[#This Row],[HK_Status]]="Done",
DMRB5[[#This Row],[HK_Status]]="Scheduled"),
WORKDAY(DMRB5[[#This Row],[Move_out ]],6),
""))</f>
        <v>46091</v>
      </c>
      <c r="P86" s="3" t="s">
        <v>3</v>
      </c>
      <c r="Q86" s="3">
        <f>IF(DMRB5[[#This Row],[Move_out ]]="","",
IF(OR(DMRB5[[#This Row],[CC_status]]="In Progress",DMRB5[[#This Row],[CC_status]]="Done",
DMRB5[[#This Row],[CC_status]]="Scheduled"),
WORKDAY(DMRB5[[#This Row],[Move_out ]],7),
""))</f>
        <v>46092</v>
      </c>
      <c r="R86" s="3" t="s">
        <v>3</v>
      </c>
      <c r="S86" s="2" t="s">
        <v>2</v>
      </c>
      <c r="U86" s="1" t="s">
        <v>36</v>
      </c>
      <c r="V86" s="1" t="str">
        <f>IF(TRIM(CLEAN(A86))="","",_xlfn.TEXTBEFORE(_xlfn.TEXTAFTER(A86,"Unit "),"-"))</f>
        <v>5</v>
      </c>
      <c r="W86" s="1" t="str">
        <f>IF(TRIM(CLEAN(A86))="","",_xlfn.TEXTBEFORE(_xlfn.TEXTAFTER(A86,"-"),"-"))</f>
        <v>18</v>
      </c>
      <c r="X86" s="1" t="str">
        <f>IF(TRIM(CLEAN(A86))="","",_xlfn.TEXTAFTER(A86,"-",-1))</f>
        <v>0439</v>
      </c>
    </row>
    <row r="87" spans="1:24" x14ac:dyDescent="0.3">
      <c r="A87" s="95" t="s">
        <v>190</v>
      </c>
      <c r="B87" s="1" t="s">
        <v>5</v>
      </c>
      <c r="C87" s="3">
        <v>46083</v>
      </c>
      <c r="D87" s="3">
        <v>46095</v>
      </c>
      <c r="E87" s="1">
        <f ca="1">IF(DMRB5[[#This Row],[Move_out ]]="","",TODAY()-DMRB5[[#This Row],[Move_out ]])</f>
        <v>14</v>
      </c>
      <c r="F87" s="90"/>
      <c r="G87" s="1" t="str">
        <f ca="1">IF(DMRB5[[#This Row],[Move_in]]="","",TODAY()-DMRB5[[#This Row],[Move_in]])</f>
        <v/>
      </c>
      <c r="H8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7" s="3">
        <f>IF(DMRB5[[#This Row],[Move_out ]]="","",
IF(OR(DMRB5[[#This Row],[Insp_status ]]="In Progress",DMRB5[[#This Row],[Insp_status ]]="Done",
DMRB5[[#This Row],[Insp_status ]]="Scheduled"),
WORKDAY(DMRB5[[#This Row],[Move_out ]],1),
""))</f>
        <v>46084</v>
      </c>
      <c r="J87" s="1" t="s">
        <v>3</v>
      </c>
      <c r="K87" s="3">
        <f>IF(DMRB5[[#This Row],[Move_out ]]="","",
IF(OR(DMRB5[[#This Row],[Paint_status]]="In Progress",DMRB5[[#This Row],[Paint_status]]="Done",
DMRB5[[#This Row],[Paint_status]]="Scheduled"),
WORKDAY(DMRB5[[#This Row],[Move_out ]],2),
""))</f>
        <v>46085</v>
      </c>
      <c r="L87" s="3" t="s">
        <v>3</v>
      </c>
      <c r="M87" s="3">
        <f>IF(DMRB5[[#This Row],[Move_out ]]="","",
IF(OR(DMRB5[[#This Row],[MR_Status]]="In Progress",DMRB5[[#This Row],[MR_Status]]="Done",
DMRB5[[#This Row],[MR_Status]]="Scheduled"),
WORKDAY(DMRB5[[#This Row],[Move_out ]],3),
""))</f>
        <v>46086</v>
      </c>
      <c r="N87" s="3" t="s">
        <v>3</v>
      </c>
      <c r="O87" s="3">
        <f>IF(DMRB5[[#This Row],[Move_out ]]="","",
IF(OR(DMRB5[[#This Row],[HK_Status]]="In Progress",DMRB5[[#This Row],[HK_Status]]="Done",
DMRB5[[#This Row],[HK_Status]]="Scheduled"),
WORKDAY(DMRB5[[#This Row],[Move_out ]],6),
""))</f>
        <v>46091</v>
      </c>
      <c r="P87" s="3" t="s">
        <v>3</v>
      </c>
      <c r="Q87" s="3">
        <f>IF(DMRB5[[#This Row],[Move_out ]]="","",
IF(OR(DMRB5[[#This Row],[CC_status]]="In Progress",DMRB5[[#This Row],[CC_status]]="Done",
DMRB5[[#This Row],[CC_status]]="Scheduled"),
WORKDAY(DMRB5[[#This Row],[Move_out ]],7),
""))</f>
        <v>46092</v>
      </c>
      <c r="R87" s="3" t="s">
        <v>3</v>
      </c>
      <c r="S87" s="90" t="s">
        <v>42</v>
      </c>
      <c r="U87" s="1" t="s">
        <v>36</v>
      </c>
      <c r="V87" s="1" t="str">
        <f>IF(TRIM(CLEAN(A87))="","",_xlfn.TEXTBEFORE(_xlfn.TEXTAFTER(A87,"Unit "),"-"))</f>
        <v>7</v>
      </c>
      <c r="W87" s="1" t="str">
        <f>IF(TRIM(CLEAN(A87))="","",_xlfn.TEXTBEFORE(_xlfn.TEXTAFTER(A87,"-"),"-"))</f>
        <v>02</v>
      </c>
      <c r="X87" s="1" t="str">
        <f>IF(TRIM(CLEAN(A87))="","",_xlfn.TEXTAFTER(A87,"-",-1))</f>
        <v>0207</v>
      </c>
    </row>
    <row r="88" spans="1:24" x14ac:dyDescent="0.3">
      <c r="A88" s="97" t="s">
        <v>208</v>
      </c>
      <c r="B88" s="1" t="s">
        <v>5</v>
      </c>
      <c r="C88" s="3">
        <v>46084</v>
      </c>
      <c r="D88" s="3">
        <v>46099</v>
      </c>
      <c r="E88" s="1">
        <f ca="1">IF(DMRB5[[#This Row],[Move_out ]]="","",TODAY()-DMRB5[[#This Row],[Move_out ]])</f>
        <v>13</v>
      </c>
      <c r="F88" s="90"/>
      <c r="G88" s="1" t="str">
        <f ca="1">IF(DMRB5[[#This Row],[Move_in]]="","",TODAY()-DMRB5[[#This Row],[Move_in]])</f>
        <v/>
      </c>
      <c r="H8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8" s="3">
        <f>IF(DMRB5[[#This Row],[Move_out ]]="","",
IF(OR(DMRB5[[#This Row],[Insp_status ]]="In Progress",DMRB5[[#This Row],[Insp_status ]]="Done",
DMRB5[[#This Row],[Insp_status ]]="Scheduled"),
WORKDAY(DMRB5[[#This Row],[Move_out ]],1),
""))</f>
        <v>46085</v>
      </c>
      <c r="J88" s="1" t="s">
        <v>3</v>
      </c>
      <c r="K88" s="3">
        <f>IF(DMRB5[[#This Row],[Move_out ]]="","",
IF(OR(DMRB5[[#This Row],[Paint_status]]="In Progress",DMRB5[[#This Row],[Paint_status]]="Done",
DMRB5[[#This Row],[Paint_status]]="Scheduled"),
WORKDAY(DMRB5[[#This Row],[Move_out ]],2),
""))</f>
        <v>46086</v>
      </c>
      <c r="L88" s="3" t="s">
        <v>3</v>
      </c>
      <c r="M88" s="3">
        <f>IF(DMRB5[[#This Row],[Move_out ]]="","",
IF(OR(DMRB5[[#This Row],[MR_Status]]="In Progress",DMRB5[[#This Row],[MR_Status]]="Done",
DMRB5[[#This Row],[MR_Status]]="Scheduled"),
WORKDAY(DMRB5[[#This Row],[Move_out ]],3),
""))</f>
        <v>46087</v>
      </c>
      <c r="N88" s="3" t="s">
        <v>3</v>
      </c>
      <c r="O88" s="3">
        <f>IF(DMRB5[[#This Row],[Move_out ]]="","",
IF(OR(DMRB5[[#This Row],[HK_Status]]="In Progress",DMRB5[[#This Row],[HK_Status]]="Done",
DMRB5[[#This Row],[HK_Status]]="Scheduled"),
WORKDAY(DMRB5[[#This Row],[Move_out ]],6),
""))</f>
        <v>46092</v>
      </c>
      <c r="P88" s="3" t="s">
        <v>3</v>
      </c>
      <c r="Q88" s="3">
        <f>IF(DMRB5[[#This Row],[Move_out ]]="","",
IF(OR(DMRB5[[#This Row],[CC_status]]="In Progress",DMRB5[[#This Row],[CC_status]]="Done",
DMRB5[[#This Row],[CC_status]]="Scheduled"),
WORKDAY(DMRB5[[#This Row],[Move_out ]],7),
""))</f>
        <v>46093</v>
      </c>
      <c r="R88" s="3" t="s">
        <v>3</v>
      </c>
      <c r="S88" s="90" t="s">
        <v>39</v>
      </c>
      <c r="U88" s="1" t="s">
        <v>36</v>
      </c>
      <c r="V88" s="1" t="str">
        <f>IF(TRIM(CLEAN(A88))="","",_xlfn.TEXTBEFORE(_xlfn.TEXTAFTER(A88,"Unit "),"-"))</f>
        <v>8</v>
      </c>
      <c r="W88" s="1" t="str">
        <f>IF(TRIM(CLEAN(A88))="","",_xlfn.TEXTBEFORE(_xlfn.TEXTAFTER(A88,"-"),"-"))</f>
        <v>01</v>
      </c>
      <c r="X88" s="1" t="str">
        <f>IF(TRIM(CLEAN(A88))="","",_xlfn.TEXTAFTER(A88,"-",-1))</f>
        <v>3093</v>
      </c>
    </row>
    <row r="89" spans="1:24" x14ac:dyDescent="0.3">
      <c r="A89" s="4" t="s">
        <v>98</v>
      </c>
      <c r="B89" s="1" t="s">
        <v>5</v>
      </c>
      <c r="C89" s="3">
        <v>46085</v>
      </c>
      <c r="D89" s="3">
        <v>46095</v>
      </c>
      <c r="E89" s="1">
        <f ca="1">IF(DMRB5[[#This Row],[Move_out ]]="","",TODAY()-DMRB5[[#This Row],[Move_out ]])</f>
        <v>12</v>
      </c>
      <c r="F89" s="2"/>
      <c r="G89" s="1" t="str">
        <f ca="1">IF(DMRB5[[#This Row],[Move_in]]="","",TODAY()-DMRB5[[#This Row],[Move_in]])</f>
        <v/>
      </c>
      <c r="H8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9" s="3">
        <f>IF(DMRB5[[#This Row],[Move_out ]]="","",
IF(OR(DMRB5[[#This Row],[Insp_status ]]="In Progress",DMRB5[[#This Row],[Insp_status ]]="Done",
DMRB5[[#This Row],[Insp_status ]]="Scheduled"),
WORKDAY(DMRB5[[#This Row],[Move_out ]],1),
""))</f>
        <v>46086</v>
      </c>
      <c r="J89" s="1" t="s">
        <v>3</v>
      </c>
      <c r="K89" s="3">
        <f>IF(DMRB5[[#This Row],[Move_out ]]="","",
IF(OR(DMRB5[[#This Row],[Paint_status]]="In Progress",DMRB5[[#This Row],[Paint_status]]="Done",
DMRB5[[#This Row],[Paint_status]]="Scheduled"),
WORKDAY(DMRB5[[#This Row],[Move_out ]],2),
""))</f>
        <v>46087</v>
      </c>
      <c r="L89" s="3" t="s">
        <v>3</v>
      </c>
      <c r="M89" s="3">
        <f>IF(DMRB5[[#This Row],[Move_out ]]="","",
IF(OR(DMRB5[[#This Row],[MR_Status]]="In Progress",DMRB5[[#This Row],[MR_Status]]="Done",
DMRB5[[#This Row],[MR_Status]]="Scheduled"),
WORKDAY(DMRB5[[#This Row],[Move_out ]],3),
""))</f>
        <v>46090</v>
      </c>
      <c r="N89" s="3" t="s">
        <v>3</v>
      </c>
      <c r="O89" s="3">
        <f>IF(DMRB5[[#This Row],[Move_out ]]="","",
IF(OR(DMRB5[[#This Row],[HK_Status]]="In Progress",DMRB5[[#This Row],[HK_Status]]="Done",
DMRB5[[#This Row],[HK_Status]]="Scheduled"),
WORKDAY(DMRB5[[#This Row],[Move_out ]],6),
""))</f>
        <v>46093</v>
      </c>
      <c r="P89" s="3" t="s">
        <v>3</v>
      </c>
      <c r="Q89" s="3">
        <f>IF(DMRB5[[#This Row],[Move_out ]]="","",
IF(OR(DMRB5[[#This Row],[CC_status]]="In Progress",DMRB5[[#This Row],[CC_status]]="Done",
DMRB5[[#This Row],[CC_status]]="Scheduled"),
WORKDAY(DMRB5[[#This Row],[Move_out ]],7),
""))</f>
        <v>46094</v>
      </c>
      <c r="R89" s="3" t="s">
        <v>3</v>
      </c>
      <c r="S89" s="2" t="s">
        <v>39</v>
      </c>
      <c r="T89" s="1"/>
      <c r="U89" s="1" t="s">
        <v>36</v>
      </c>
      <c r="V89" s="1" t="str">
        <f>IF(TRIM(CLEAN(A89))="","",_xlfn.TEXTBEFORE(_xlfn.TEXTAFTER(A89,"Unit "),"-"))</f>
        <v>7</v>
      </c>
      <c r="W89" s="1" t="str">
        <f>IF(TRIM(CLEAN(A89))="","",_xlfn.TEXTBEFORE(_xlfn.TEXTAFTER(A89,"-"),"-"))</f>
        <v>04</v>
      </c>
      <c r="X89" s="1" t="str">
        <f>IF(TRIM(CLEAN(A89))="","",_xlfn.TEXTAFTER(A89,"-",-1))</f>
        <v>0305</v>
      </c>
    </row>
    <row r="90" spans="1:24" x14ac:dyDescent="0.3">
      <c r="A90" s="96" t="s">
        <v>202</v>
      </c>
      <c r="B90" s="1" t="s">
        <v>5</v>
      </c>
      <c r="C90" s="3">
        <v>46085</v>
      </c>
      <c r="D90" s="3">
        <v>46099</v>
      </c>
      <c r="E90" s="1">
        <f ca="1">IF(DMRB5[[#This Row],[Move_out ]]="","",TODAY()-DMRB5[[#This Row],[Move_out ]])</f>
        <v>12</v>
      </c>
      <c r="F90" s="90"/>
      <c r="G90" s="1" t="str">
        <f ca="1">IF(DMRB5[[#This Row],[Move_in]]="","",TODAY()-DMRB5[[#This Row],[Move_in]])</f>
        <v/>
      </c>
      <c r="H9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90" s="3">
        <f>IF(DMRB5[[#This Row],[Move_out ]]="","",
IF(OR(DMRB5[[#This Row],[Insp_status ]]="In Progress",DMRB5[[#This Row],[Insp_status ]]="Done",
DMRB5[[#This Row],[Insp_status ]]="Scheduled"),
WORKDAY(DMRB5[[#This Row],[Move_out ]],1),
""))</f>
        <v>46086</v>
      </c>
      <c r="J90" s="1" t="s">
        <v>3</v>
      </c>
      <c r="K90" s="3">
        <f>IF(DMRB5[[#This Row],[Move_out ]]="","",
IF(OR(DMRB5[[#This Row],[Paint_status]]="In Progress",DMRB5[[#This Row],[Paint_status]]="Done",
DMRB5[[#This Row],[Paint_status]]="Scheduled"),
WORKDAY(DMRB5[[#This Row],[Move_out ]],2),
""))</f>
        <v>46087</v>
      </c>
      <c r="L90" s="3" t="s">
        <v>3</v>
      </c>
      <c r="M90" s="3">
        <f>IF(DMRB5[[#This Row],[Move_out ]]="","",
IF(OR(DMRB5[[#This Row],[MR_Status]]="In Progress",DMRB5[[#This Row],[MR_Status]]="Done",
DMRB5[[#This Row],[MR_Status]]="Scheduled"),
WORKDAY(DMRB5[[#This Row],[Move_out ]],3),
""))</f>
        <v>46090</v>
      </c>
      <c r="N90" s="3" t="s">
        <v>3</v>
      </c>
      <c r="O90" s="3">
        <f>IF(DMRB5[[#This Row],[Move_out ]]="","",
IF(OR(DMRB5[[#This Row],[HK_Status]]="In Progress",DMRB5[[#This Row],[HK_Status]]="Done",
DMRB5[[#This Row],[HK_Status]]="Scheduled"),
WORKDAY(DMRB5[[#This Row],[Move_out ]],6),
""))</f>
        <v>46093</v>
      </c>
      <c r="P90" s="3" t="s">
        <v>3</v>
      </c>
      <c r="Q90" s="3">
        <f>IF(DMRB5[[#This Row],[Move_out ]]="","",
IF(OR(DMRB5[[#This Row],[CC_status]]="In Progress",DMRB5[[#This Row],[CC_status]]="Done",
DMRB5[[#This Row],[CC_status]]="Scheduled"),
WORKDAY(DMRB5[[#This Row],[Move_out ]],7),
""))</f>
        <v>46094</v>
      </c>
      <c r="R90" s="3" t="s">
        <v>3</v>
      </c>
      <c r="S90" s="2" t="s">
        <v>2</v>
      </c>
      <c r="U90" s="1" t="s">
        <v>36</v>
      </c>
      <c r="V90" s="1" t="str">
        <f>IF(TRIM(CLEAN(A90))="","",_xlfn.TEXTBEFORE(_xlfn.TEXTAFTER(A90,"Unit "),"-"))</f>
        <v>5</v>
      </c>
      <c r="W90" s="1" t="str">
        <f>IF(TRIM(CLEAN(A90))="","",_xlfn.TEXTBEFORE(_xlfn.TEXTAFTER(A90,"-"),"-"))</f>
        <v>03</v>
      </c>
      <c r="X90" s="1" t="str">
        <f>IF(TRIM(CLEAN(A90))="","",_xlfn.TEXTAFTER(A90,"-",-1))</f>
        <v>0327</v>
      </c>
    </row>
    <row r="91" spans="1:24" x14ac:dyDescent="0.3">
      <c r="A91" s="4" t="s">
        <v>99</v>
      </c>
      <c r="B91" s="1" t="s">
        <v>5</v>
      </c>
      <c r="C91" s="3">
        <v>46087</v>
      </c>
      <c r="D91" s="3">
        <v>46097</v>
      </c>
      <c r="E91" s="1">
        <f ca="1">IF(DMRB5[[#This Row],[Move_out ]]="","",TODAY()-DMRB5[[#This Row],[Move_out ]])</f>
        <v>10</v>
      </c>
      <c r="F91" s="2"/>
      <c r="G91" s="1" t="str">
        <f ca="1">IF(DMRB5[[#This Row],[Move_in]]="","",TODAY()-DMRB5[[#This Row],[Move_in]])</f>
        <v/>
      </c>
      <c r="H9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91" s="3">
        <f>IF(DMRB5[[#This Row],[Move_out ]]="","",
IF(OR(DMRB5[[#This Row],[Insp_status ]]="In Progress",DMRB5[[#This Row],[Insp_status ]]="Done",
DMRB5[[#This Row],[Insp_status ]]="Scheduled"),
WORKDAY(DMRB5[[#This Row],[Move_out ]],1),
""))</f>
        <v>46090</v>
      </c>
      <c r="J91" s="1" t="s">
        <v>3</v>
      </c>
      <c r="K91" s="3">
        <f>IF(DMRB5[[#This Row],[Move_out ]]="","",
IF(OR(DMRB5[[#This Row],[Paint_status]]="In Progress",DMRB5[[#This Row],[Paint_status]]="Done",
DMRB5[[#This Row],[Paint_status]]="Scheduled"),
WORKDAY(DMRB5[[#This Row],[Move_out ]],2),
""))</f>
        <v>46091</v>
      </c>
      <c r="L91" s="3" t="s">
        <v>3</v>
      </c>
      <c r="M91" s="3">
        <f>IF(DMRB5[[#This Row],[Move_out ]]="","",
IF(OR(DMRB5[[#This Row],[MR_Status]]="In Progress",DMRB5[[#This Row],[MR_Status]]="Done",
DMRB5[[#This Row],[MR_Status]]="Scheduled"),
WORKDAY(DMRB5[[#This Row],[Move_out ]],3),
""))</f>
        <v>46092</v>
      </c>
      <c r="N91" s="3" t="s">
        <v>3</v>
      </c>
      <c r="O91" s="3">
        <f>IF(DMRB5[[#This Row],[Move_out ]]="","",
IF(OR(DMRB5[[#This Row],[HK_Status]]="In Progress",DMRB5[[#This Row],[HK_Status]]="Done",
DMRB5[[#This Row],[HK_Status]]="Scheduled"),
WORKDAY(DMRB5[[#This Row],[Move_out ]],6),
""))</f>
        <v>46097</v>
      </c>
      <c r="P91" s="3" t="s">
        <v>3</v>
      </c>
      <c r="Q91" s="3">
        <f>IF(DMRB5[[#This Row],[Move_out ]]="","",
IF(OR(DMRB5[[#This Row],[CC_status]]="In Progress",DMRB5[[#This Row],[CC_status]]="Done",
DMRB5[[#This Row],[CC_status]]="Scheduled"),
WORKDAY(DMRB5[[#This Row],[Move_out ]],7),
""))</f>
        <v>46098</v>
      </c>
      <c r="R91" s="3" t="s">
        <v>3</v>
      </c>
      <c r="S91" s="2" t="s">
        <v>39</v>
      </c>
      <c r="T91" s="1"/>
      <c r="U91" s="1" t="s">
        <v>36</v>
      </c>
      <c r="V91" s="1" t="str">
        <f>IF(TRIM(CLEAN(A91))="","",_xlfn.TEXTBEFORE(_xlfn.TEXTAFTER(A91,"Unit "),"-"))</f>
        <v>7</v>
      </c>
      <c r="W91" s="1" t="str">
        <f>IF(TRIM(CLEAN(A91))="","",_xlfn.TEXTBEFORE(_xlfn.TEXTAFTER(A91,"-"),"-"))</f>
        <v>04</v>
      </c>
      <c r="X91" s="1" t="str">
        <f>IF(TRIM(CLEAN(A91))="","",_xlfn.TEXTAFTER(A91,"-",-1))</f>
        <v>0311</v>
      </c>
    </row>
    <row r="92" spans="1:24" x14ac:dyDescent="0.3">
      <c r="A92" s="88" t="s">
        <v>129</v>
      </c>
      <c r="B92" s="1" t="s">
        <v>5</v>
      </c>
      <c r="C92" s="3">
        <v>46090</v>
      </c>
      <c r="D92" s="3">
        <v>46102</v>
      </c>
      <c r="E92" s="1">
        <f ca="1">IF(DMRB5[[#This Row],[Move_out ]]="","",TODAY()-DMRB5[[#This Row],[Move_out ]])</f>
        <v>7</v>
      </c>
      <c r="F92" s="2"/>
      <c r="G92" s="1" t="str">
        <f ca="1">IF(DMRB5[[#This Row],[Move_in]]="","",TODAY()-DMRB5[[#This Row],[Move_in]])</f>
        <v/>
      </c>
      <c r="H9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92" s="3">
        <f>IF(DMRB5[[#This Row],[Move_out ]]="","",
IF(OR(DMRB5[[#This Row],[Insp_status ]]="In Progress",DMRB5[[#This Row],[Insp_status ]]="Done",
DMRB5[[#This Row],[Insp_status ]]="Scheduled"),
WORKDAY(DMRB5[[#This Row],[Move_out ]],1),
""))</f>
        <v>46091</v>
      </c>
      <c r="J92" s="1" t="s">
        <v>3</v>
      </c>
      <c r="K92" s="3">
        <f>IF(DMRB5[[#This Row],[Move_out ]]="","",
IF(OR(DMRB5[[#This Row],[Paint_status]]="In Progress",DMRB5[[#This Row],[Paint_status]]="Done",
DMRB5[[#This Row],[Paint_status]]="Scheduled"),
WORKDAY(DMRB5[[#This Row],[Move_out ]],2),
""))</f>
        <v>46092</v>
      </c>
      <c r="L92" s="3" t="s">
        <v>3</v>
      </c>
      <c r="M92" s="3">
        <f>IF(DMRB5[[#This Row],[Move_out ]]="","",
IF(OR(DMRB5[[#This Row],[MR_Status]]="In Progress",DMRB5[[#This Row],[MR_Status]]="Done",
DMRB5[[#This Row],[MR_Status]]="Scheduled"),
WORKDAY(DMRB5[[#This Row],[Move_out ]],3),
""))</f>
        <v>46093</v>
      </c>
      <c r="N92" s="3" t="s">
        <v>3</v>
      </c>
      <c r="O92" s="3">
        <f>IF(DMRB5[[#This Row],[Move_out ]]="","",
IF(OR(DMRB5[[#This Row],[HK_Status]]="In Progress",DMRB5[[#This Row],[HK_Status]]="Done",
DMRB5[[#This Row],[HK_Status]]="Scheduled"),
WORKDAY(DMRB5[[#This Row],[Move_out ]],6),
""))</f>
        <v>46098</v>
      </c>
      <c r="P92" s="3" t="s">
        <v>3</v>
      </c>
      <c r="Q92" s="3">
        <f>IF(DMRB5[[#This Row],[Move_out ]]="","",
IF(OR(DMRB5[[#This Row],[CC_status]]="In Progress",DMRB5[[#This Row],[CC_status]]="Done",
DMRB5[[#This Row],[CC_status]]="Scheduled"),
WORKDAY(DMRB5[[#This Row],[Move_out ]],7),
""))</f>
        <v>46099</v>
      </c>
      <c r="R92" s="3" t="s">
        <v>3</v>
      </c>
      <c r="S92" s="2" t="s">
        <v>39</v>
      </c>
      <c r="U92" s="1" t="s">
        <v>36</v>
      </c>
      <c r="V92" s="1" t="str">
        <f>IF(TRIM(CLEAN(A92))="","",_xlfn.TEXTBEFORE(_xlfn.TEXTAFTER(A92,"Unit "),"-"))</f>
        <v>7</v>
      </c>
      <c r="W92" s="1" t="str">
        <f>IF(TRIM(CLEAN(A92))="","",_xlfn.TEXTBEFORE(_xlfn.TEXTAFTER(A92,"-"),"-"))</f>
        <v>10</v>
      </c>
      <c r="X92" s="1" t="str">
        <f>IF(TRIM(CLEAN(A92))="","",_xlfn.TEXTAFTER(A92,"-",-1))</f>
        <v>0101</v>
      </c>
    </row>
    <row r="93" spans="1:24" x14ac:dyDescent="0.3">
      <c r="A93" s="88" t="s">
        <v>130</v>
      </c>
      <c r="B93" s="1" t="s">
        <v>5</v>
      </c>
      <c r="C93" s="3">
        <v>46090</v>
      </c>
      <c r="D93" s="3">
        <v>46102</v>
      </c>
      <c r="E93" s="1">
        <f ca="1">IF(DMRB5[[#This Row],[Move_out ]]="","",TODAY()-DMRB5[[#This Row],[Move_out ]])</f>
        <v>7</v>
      </c>
      <c r="F93" s="2"/>
      <c r="G93" s="1" t="str">
        <f ca="1">IF(DMRB5[[#This Row],[Move_in]]="","",TODAY()-DMRB5[[#This Row],[Move_in]])</f>
        <v/>
      </c>
      <c r="H9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93" s="3">
        <f>IF(DMRB5[[#This Row],[Move_out ]]="","",
IF(OR(DMRB5[[#This Row],[Insp_status ]]="In Progress",DMRB5[[#This Row],[Insp_status ]]="Done",
DMRB5[[#This Row],[Insp_status ]]="Scheduled"),
WORKDAY(DMRB5[[#This Row],[Move_out ]],1),
""))</f>
        <v>46091</v>
      </c>
      <c r="J93" s="1" t="s">
        <v>3</v>
      </c>
      <c r="K93" s="3">
        <f>IF(DMRB5[[#This Row],[Move_out ]]="","",
IF(OR(DMRB5[[#This Row],[Paint_status]]="In Progress",DMRB5[[#This Row],[Paint_status]]="Done",
DMRB5[[#This Row],[Paint_status]]="Scheduled"),
WORKDAY(DMRB5[[#This Row],[Move_out ]],2),
""))</f>
        <v>46092</v>
      </c>
      <c r="L93" s="3" t="s">
        <v>3</v>
      </c>
      <c r="M93" s="3">
        <f>IF(DMRB5[[#This Row],[Move_out ]]="","",
IF(OR(DMRB5[[#This Row],[MR_Status]]="In Progress",DMRB5[[#This Row],[MR_Status]]="Done",
DMRB5[[#This Row],[MR_Status]]="Scheduled"),
WORKDAY(DMRB5[[#This Row],[Move_out ]],3),
""))</f>
        <v>46093</v>
      </c>
      <c r="N93" s="3" t="s">
        <v>3</v>
      </c>
      <c r="O93" s="3">
        <f>IF(DMRB5[[#This Row],[Move_out ]]="","",
IF(OR(DMRB5[[#This Row],[HK_Status]]="In Progress",DMRB5[[#This Row],[HK_Status]]="Done",
DMRB5[[#This Row],[HK_Status]]="Scheduled"),
WORKDAY(DMRB5[[#This Row],[Move_out ]],6),
""))</f>
        <v>46098</v>
      </c>
      <c r="P93" s="3" t="s">
        <v>3</v>
      </c>
      <c r="Q93" s="3">
        <f>IF(DMRB5[[#This Row],[Move_out ]]="","",
IF(OR(DMRB5[[#This Row],[CC_status]]="In Progress",DMRB5[[#This Row],[CC_status]]="Done",
DMRB5[[#This Row],[CC_status]]="Scheduled"),
WORKDAY(DMRB5[[#This Row],[Move_out ]],7),
""))</f>
        <v>46099</v>
      </c>
      <c r="R93" s="3" t="s">
        <v>3</v>
      </c>
      <c r="S93" s="2" t="s">
        <v>39</v>
      </c>
      <c r="U93" s="1" t="s">
        <v>36</v>
      </c>
      <c r="V93" s="1" t="str">
        <f>IF(TRIM(CLEAN(A93))="","",_xlfn.TEXTBEFORE(_xlfn.TEXTAFTER(A93,"Unit "),"-"))</f>
        <v>7</v>
      </c>
      <c r="W93" s="1" t="str">
        <f>IF(TRIM(CLEAN(A93))="","",_xlfn.TEXTBEFORE(_xlfn.TEXTAFTER(A93,"-"),"-"))</f>
        <v>TH1</v>
      </c>
      <c r="X93" s="1" t="str">
        <f>IF(TRIM(CLEAN(A93))="","",_xlfn.TEXTAFTER(A93,"-",-1))</f>
        <v>0102</v>
      </c>
    </row>
    <row r="94" spans="1:24" x14ac:dyDescent="0.3">
      <c r="A94" s="93" t="s">
        <v>183</v>
      </c>
      <c r="B94" s="1" t="s">
        <v>5</v>
      </c>
      <c r="C94" s="3">
        <v>46090</v>
      </c>
      <c r="D94" s="3">
        <v>46102</v>
      </c>
      <c r="E94" s="1">
        <f ca="1">IF(DMRB5[[#This Row],[Move_out ]]="","",TODAY()-DMRB5[[#This Row],[Move_out ]])</f>
        <v>7</v>
      </c>
      <c r="F94" s="90"/>
      <c r="G94" s="1" t="str">
        <f ca="1">IF(DMRB5[[#This Row],[Move_in]]="","",TODAY()-DMRB5[[#This Row],[Move_in]])</f>
        <v/>
      </c>
      <c r="H9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94" s="3">
        <f>IF(DMRB5[[#This Row],[Move_out ]]="","",
IF(OR(DMRB5[[#This Row],[Insp_status ]]="In Progress",DMRB5[[#This Row],[Insp_status ]]="Done",
DMRB5[[#This Row],[Insp_status ]]="Scheduled"),
WORKDAY(DMRB5[[#This Row],[Move_out ]],1),
""))</f>
        <v>46091</v>
      </c>
      <c r="J94" s="1" t="s">
        <v>3</v>
      </c>
      <c r="K94" s="3">
        <f>IF(DMRB5[[#This Row],[Move_out ]]="","",
IF(OR(DMRB5[[#This Row],[Paint_status]]="In Progress",DMRB5[[#This Row],[Paint_status]]="Done",
DMRB5[[#This Row],[Paint_status]]="Scheduled"),
WORKDAY(DMRB5[[#This Row],[Move_out ]],2),
""))</f>
        <v>46092</v>
      </c>
      <c r="L94" s="3" t="s">
        <v>3</v>
      </c>
      <c r="M94" s="3">
        <f>IF(DMRB5[[#This Row],[Move_out ]]="","",
IF(OR(DMRB5[[#This Row],[MR_Status]]="In Progress",DMRB5[[#This Row],[MR_Status]]="Done",
DMRB5[[#This Row],[MR_Status]]="Scheduled"),
WORKDAY(DMRB5[[#This Row],[Move_out ]],3),
""))</f>
        <v>46093</v>
      </c>
      <c r="N94" s="3" t="s">
        <v>3</v>
      </c>
      <c r="O94" s="3">
        <f>IF(DMRB5[[#This Row],[Move_out ]]="","",
IF(OR(DMRB5[[#This Row],[HK_Status]]="In Progress",DMRB5[[#This Row],[HK_Status]]="Done",
DMRB5[[#This Row],[HK_Status]]="Scheduled"),
WORKDAY(DMRB5[[#This Row],[Move_out ]],6),
""))</f>
        <v>46098</v>
      </c>
      <c r="P94" s="3" t="s">
        <v>3</v>
      </c>
      <c r="Q94" s="3">
        <f>IF(DMRB5[[#This Row],[Move_out ]]="","",
IF(OR(DMRB5[[#This Row],[CC_status]]="In Progress",DMRB5[[#This Row],[CC_status]]="Done",
DMRB5[[#This Row],[CC_status]]="Scheduled"),
WORKDAY(DMRB5[[#This Row],[Move_out ]],7),
""))</f>
        <v>46099</v>
      </c>
      <c r="R94" s="3" t="s">
        <v>3</v>
      </c>
      <c r="S94" s="90" t="s">
        <v>42</v>
      </c>
      <c r="U94" s="1" t="s">
        <v>36</v>
      </c>
      <c r="V94" s="1" t="str">
        <f>IF(TRIM(CLEAN(A94))="","",_xlfn.TEXTBEFORE(_xlfn.TEXTAFTER(A94,"Unit "),"-"))</f>
        <v>7</v>
      </c>
      <c r="W94" s="1" t="str">
        <f>IF(TRIM(CLEAN(A94))="","",_xlfn.TEXTBEFORE(_xlfn.TEXTAFTER(A94,"-"),"-"))</f>
        <v>th2</v>
      </c>
      <c r="X94" s="1" t="str">
        <f>IF(TRIM(CLEAN(A94))="","",_xlfn.TEXTAFTER(A94,"-",-1))</f>
        <v>0101</v>
      </c>
    </row>
    <row r="95" spans="1:24" x14ac:dyDescent="0.3">
      <c r="A95" s="94" t="s">
        <v>184</v>
      </c>
      <c r="B95" s="1" t="s">
        <v>5</v>
      </c>
      <c r="C95" s="3">
        <v>46090</v>
      </c>
      <c r="D95" s="3">
        <v>46102</v>
      </c>
      <c r="E95" s="1">
        <f ca="1">IF(DMRB5[[#This Row],[Move_out ]]="","",TODAY()-DMRB5[[#This Row],[Move_out ]])</f>
        <v>7</v>
      </c>
      <c r="F95" s="90"/>
      <c r="G95" s="1" t="str">
        <f ca="1">IF(DMRB5[[#This Row],[Move_in]]="","",TODAY()-DMRB5[[#This Row],[Move_in]])</f>
        <v/>
      </c>
      <c r="H9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95" s="3">
        <f>IF(DMRB5[[#This Row],[Move_out ]]="","",
IF(OR(DMRB5[[#This Row],[Insp_status ]]="In Progress",DMRB5[[#This Row],[Insp_status ]]="Done",
DMRB5[[#This Row],[Insp_status ]]="Scheduled"),
WORKDAY(DMRB5[[#This Row],[Move_out ]],1),
""))</f>
        <v>46091</v>
      </c>
      <c r="J95" s="1" t="s">
        <v>3</v>
      </c>
      <c r="K95" s="3">
        <f>IF(DMRB5[[#This Row],[Move_out ]]="","",
IF(OR(DMRB5[[#This Row],[Paint_status]]="In Progress",DMRB5[[#This Row],[Paint_status]]="Done",
DMRB5[[#This Row],[Paint_status]]="Scheduled"),
WORKDAY(DMRB5[[#This Row],[Move_out ]],2),
""))</f>
        <v>46092</v>
      </c>
      <c r="L95" s="3" t="s">
        <v>3</v>
      </c>
      <c r="M95" s="3">
        <f>IF(DMRB5[[#This Row],[Move_out ]]="","",
IF(OR(DMRB5[[#This Row],[MR_Status]]="In Progress",DMRB5[[#This Row],[MR_Status]]="Done",
DMRB5[[#This Row],[MR_Status]]="Scheduled"),
WORKDAY(DMRB5[[#This Row],[Move_out ]],3),
""))</f>
        <v>46093</v>
      </c>
      <c r="N95" s="3" t="s">
        <v>3</v>
      </c>
      <c r="O95" s="3">
        <f>IF(DMRB5[[#This Row],[Move_out ]]="","",
IF(OR(DMRB5[[#This Row],[HK_Status]]="In Progress",DMRB5[[#This Row],[HK_Status]]="Done",
DMRB5[[#This Row],[HK_Status]]="Scheduled"),
WORKDAY(DMRB5[[#This Row],[Move_out ]],6),
""))</f>
        <v>46098</v>
      </c>
      <c r="P95" s="3" t="s">
        <v>3</v>
      </c>
      <c r="Q95" s="3">
        <f>IF(DMRB5[[#This Row],[Move_out ]]="","",
IF(OR(DMRB5[[#This Row],[CC_status]]="In Progress",DMRB5[[#This Row],[CC_status]]="Done",
DMRB5[[#This Row],[CC_status]]="Scheduled"),
WORKDAY(DMRB5[[#This Row],[Move_out ]],7),
""))</f>
        <v>46099</v>
      </c>
      <c r="R95" s="3" t="s">
        <v>3</v>
      </c>
      <c r="S95" s="90" t="s">
        <v>42</v>
      </c>
      <c r="U95" s="1" t="s">
        <v>36</v>
      </c>
      <c r="V95" s="1" t="str">
        <f>IF(TRIM(CLEAN(A95))="","",_xlfn.TEXTBEFORE(_xlfn.TEXTAFTER(A95,"Unit "),"-"))</f>
        <v>7</v>
      </c>
      <c r="W95" s="1" t="str">
        <f>IF(TRIM(CLEAN(A95))="","",_xlfn.TEXTBEFORE(_xlfn.TEXTAFTER(A95,"-"),"-"))</f>
        <v>TH2</v>
      </c>
      <c r="X95" s="1" t="str">
        <f>IF(TRIM(CLEAN(A95))="","",_xlfn.TEXTAFTER(A95,"-",-1))</f>
        <v>0101</v>
      </c>
    </row>
    <row r="96" spans="1:24" x14ac:dyDescent="0.3">
      <c r="A96" s="88" t="s">
        <v>131</v>
      </c>
      <c r="B96" s="1" t="s">
        <v>34</v>
      </c>
      <c r="C96" s="3">
        <v>46091</v>
      </c>
      <c r="D96" s="3">
        <v>46105</v>
      </c>
      <c r="E96" s="1">
        <f ca="1">IF(DMRB5[[#This Row],[Move_out ]]="","",TODAY()-DMRB5[[#This Row],[Move_out ]])</f>
        <v>6</v>
      </c>
      <c r="F96" s="2"/>
      <c r="G96" s="1" t="str">
        <f ca="1">IF(DMRB5[[#This Row],[Move_in]]="","",TODAY()-DMRB5[[#This Row],[Move_in]])</f>
        <v/>
      </c>
      <c r="H9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9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6" s="1" t="s">
        <v>38</v>
      </c>
      <c r="K9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6" s="1" t="s">
        <v>38</v>
      </c>
      <c r="M9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6" s="1" t="s">
        <v>38</v>
      </c>
      <c r="O9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6" s="1" t="s">
        <v>38</v>
      </c>
      <c r="Q9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6" s="1" t="s">
        <v>38</v>
      </c>
      <c r="S96" s="2" t="s">
        <v>39</v>
      </c>
      <c r="U96" s="1" t="s">
        <v>36</v>
      </c>
      <c r="V96" s="1" t="str">
        <f>IF(TRIM(CLEAN(A96))="","",_xlfn.TEXTBEFORE(_xlfn.TEXTAFTER(A96,"Unit "),"-"))</f>
        <v>7</v>
      </c>
      <c r="W96" s="1" t="str">
        <f>IF(TRIM(CLEAN(A96))="","",_xlfn.TEXTBEFORE(_xlfn.TEXTAFTER(A96,"-"),"-"))</f>
        <v>03</v>
      </c>
      <c r="X96" s="1" t="str">
        <f>IF(TRIM(CLEAN(A96))="","",_xlfn.TEXTAFTER(A96,"-",-1))</f>
        <v>0304</v>
      </c>
    </row>
    <row r="97" spans="1:24" x14ac:dyDescent="0.3">
      <c r="A97" s="88" t="s">
        <v>132</v>
      </c>
      <c r="B97" s="1" t="s">
        <v>34</v>
      </c>
      <c r="C97" s="3">
        <v>46092</v>
      </c>
      <c r="D97" s="3">
        <v>46106</v>
      </c>
      <c r="E97" s="1">
        <f ca="1">IF(DMRB5[[#This Row],[Move_out ]]="","",TODAY()-DMRB5[[#This Row],[Move_out ]])</f>
        <v>5</v>
      </c>
      <c r="F97" s="2"/>
      <c r="G97" s="1" t="str">
        <f ca="1">IF(DMRB5[[#This Row],[Move_in]]="","",TODAY()-DMRB5[[#This Row],[Move_in]])</f>
        <v/>
      </c>
      <c r="H9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9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7" s="1" t="s">
        <v>38</v>
      </c>
      <c r="K9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7" s="1" t="s">
        <v>38</v>
      </c>
      <c r="M9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7" s="1" t="s">
        <v>38</v>
      </c>
      <c r="O9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7" s="1" t="s">
        <v>38</v>
      </c>
      <c r="Q9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7" s="1" t="s">
        <v>38</v>
      </c>
      <c r="S97" s="2" t="s">
        <v>42</v>
      </c>
      <c r="U97" s="1" t="s">
        <v>36</v>
      </c>
      <c r="V97" s="1" t="str">
        <f>IF(TRIM(CLEAN(A97))="","",_xlfn.TEXTBEFORE(_xlfn.TEXTAFTER(A97,"Unit "),"-"))</f>
        <v>8</v>
      </c>
      <c r="W97" s="1" t="str">
        <f>IF(TRIM(CLEAN(A97))="","",_xlfn.TEXTBEFORE(_xlfn.TEXTAFTER(A97,"-"),"-"))</f>
        <v>01</v>
      </c>
      <c r="X97" s="1" t="str">
        <f>IF(TRIM(CLEAN(A97))="","",_xlfn.TEXTAFTER(A97,"-",-1))</f>
        <v>3030</v>
      </c>
    </row>
    <row r="98" spans="1:24" x14ac:dyDescent="0.3">
      <c r="A98" s="95" t="s">
        <v>191</v>
      </c>
      <c r="B98" s="1" t="s">
        <v>34</v>
      </c>
      <c r="C98" s="3">
        <v>46092</v>
      </c>
      <c r="D98" s="3">
        <v>46106</v>
      </c>
      <c r="E98" s="1">
        <f ca="1">IF(DMRB5[[#This Row],[Move_out ]]="","",TODAY()-DMRB5[[#This Row],[Move_out ]])</f>
        <v>5</v>
      </c>
      <c r="F98" s="90"/>
      <c r="G98" s="1" t="str">
        <f ca="1">IF(DMRB5[[#This Row],[Move_in]]="","",TODAY()-DMRB5[[#This Row],[Move_in]])</f>
        <v/>
      </c>
      <c r="H9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9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8" s="1" t="s">
        <v>38</v>
      </c>
      <c r="K9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8" s="1" t="s">
        <v>38</v>
      </c>
      <c r="M9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8" s="1" t="s">
        <v>38</v>
      </c>
      <c r="O9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8" s="1" t="s">
        <v>38</v>
      </c>
      <c r="Q9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8" s="1" t="s">
        <v>38</v>
      </c>
      <c r="S98" s="2" t="s">
        <v>2</v>
      </c>
      <c r="U98" s="1" t="s">
        <v>36</v>
      </c>
      <c r="V98" s="1" t="str">
        <f>IF(TRIM(CLEAN(A98))="","",_xlfn.TEXTBEFORE(_xlfn.TEXTAFTER(A98,"Unit "),"-"))</f>
        <v>5</v>
      </c>
      <c r="W98" s="1" t="str">
        <f>IF(TRIM(CLEAN(A98))="","",_xlfn.TEXTBEFORE(_xlfn.TEXTAFTER(A98,"-"),"-"))</f>
        <v>17</v>
      </c>
      <c r="X98" s="1" t="str">
        <f>IF(TRIM(CLEAN(A98))="","",_xlfn.TEXTAFTER(A98,"-",-1))</f>
        <v>0108</v>
      </c>
    </row>
    <row r="99" spans="1:24" x14ac:dyDescent="0.3">
      <c r="A99" s="88" t="s">
        <v>134</v>
      </c>
      <c r="B99" s="1" t="s">
        <v>34</v>
      </c>
      <c r="C99" s="3">
        <v>46098</v>
      </c>
      <c r="D99" s="3">
        <v>46112</v>
      </c>
      <c r="E99" s="1">
        <f ca="1">IF(DMRB5[[#This Row],[Move_out ]]="","",TODAY()-DMRB5[[#This Row],[Move_out ]])</f>
        <v>-1</v>
      </c>
      <c r="F99" s="2"/>
      <c r="G99" s="1" t="str">
        <f ca="1">IF(DMRB5[[#This Row],[Move_in]]="","",TODAY()-DMRB5[[#This Row],[Move_in]])</f>
        <v/>
      </c>
      <c r="H9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9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9" s="1" t="s">
        <v>38</v>
      </c>
      <c r="K9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9" s="1" t="s">
        <v>38</v>
      </c>
      <c r="M9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9" s="1" t="s">
        <v>38</v>
      </c>
      <c r="O9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9" s="1" t="s">
        <v>38</v>
      </c>
      <c r="Q9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9" s="1" t="s">
        <v>38</v>
      </c>
      <c r="S99" s="2" t="s">
        <v>2</v>
      </c>
      <c r="U99" s="1" t="s">
        <v>36</v>
      </c>
      <c r="V99" s="1" t="str">
        <f>IF(TRIM(CLEAN(A99))="","",_xlfn.TEXTBEFORE(_xlfn.TEXTAFTER(A99,"Unit "),"-"))</f>
        <v>5</v>
      </c>
      <c r="W99" s="1" t="str">
        <f>IF(TRIM(CLEAN(A99))="","",_xlfn.TEXTBEFORE(_xlfn.TEXTAFTER(A99,"-"),"-"))</f>
        <v>13</v>
      </c>
      <c r="X99" s="1" t="str">
        <f>IF(TRIM(CLEAN(A99))="","",_xlfn.TEXTAFTER(A99,"-",-1))</f>
        <v>0305</v>
      </c>
    </row>
    <row r="100" spans="1:24" x14ac:dyDescent="0.3">
      <c r="A100" s="88" t="s">
        <v>135</v>
      </c>
      <c r="B100" s="1" t="s">
        <v>34</v>
      </c>
      <c r="C100" s="3">
        <v>46099</v>
      </c>
      <c r="D100" s="3">
        <v>46113</v>
      </c>
      <c r="E100" s="1">
        <f ca="1">IF(DMRB5[[#This Row],[Move_out ]]="","",TODAY()-DMRB5[[#This Row],[Move_out ]])</f>
        <v>-2</v>
      </c>
      <c r="F100" s="2"/>
      <c r="G100" s="1" t="str">
        <f ca="1">IF(DMRB5[[#This Row],[Move_in]]="","",TODAY()-DMRB5[[#This Row],[Move_in]])</f>
        <v/>
      </c>
      <c r="H10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0" s="1" t="s">
        <v>38</v>
      </c>
      <c r="K10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0" s="1" t="s">
        <v>38</v>
      </c>
      <c r="M10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0" s="1" t="s">
        <v>38</v>
      </c>
      <c r="O10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0" s="1" t="s">
        <v>38</v>
      </c>
      <c r="Q10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0" s="1" t="s">
        <v>38</v>
      </c>
      <c r="S100" s="2" t="s">
        <v>2</v>
      </c>
      <c r="U100" s="1" t="s">
        <v>36</v>
      </c>
      <c r="V100" s="1" t="str">
        <f>IF(TRIM(CLEAN(A100))="","",_xlfn.TEXTBEFORE(_xlfn.TEXTAFTER(A100,"Unit "),"-"))</f>
        <v>5</v>
      </c>
      <c r="W100" s="1" t="str">
        <f>IF(TRIM(CLEAN(A100))="","",_xlfn.TEXTBEFORE(_xlfn.TEXTAFTER(A100,"-"),"-"))</f>
        <v>12</v>
      </c>
      <c r="X100" s="1" t="str">
        <f>IF(TRIM(CLEAN(A100))="","",_xlfn.TEXTAFTER(A100,"-",-1))</f>
        <v>0303</v>
      </c>
    </row>
    <row r="101" spans="1:24" x14ac:dyDescent="0.3">
      <c r="A101" s="88" t="s">
        <v>136</v>
      </c>
      <c r="B101" s="1" t="s">
        <v>34</v>
      </c>
      <c r="C101" s="3">
        <v>46099</v>
      </c>
      <c r="D101" s="3">
        <v>46113</v>
      </c>
      <c r="E101" s="1">
        <f ca="1">IF(DMRB5[[#This Row],[Move_out ]]="","",TODAY()-DMRB5[[#This Row],[Move_out ]])</f>
        <v>-2</v>
      </c>
      <c r="F101" s="2"/>
      <c r="G101" s="1" t="str">
        <f ca="1">IF(DMRB5[[#This Row],[Move_in]]="","",TODAY()-DMRB5[[#This Row],[Move_in]])</f>
        <v/>
      </c>
      <c r="H10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1" s="1" t="s">
        <v>38</v>
      </c>
      <c r="K10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1" s="1" t="s">
        <v>38</v>
      </c>
      <c r="M10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1" s="1" t="s">
        <v>38</v>
      </c>
      <c r="O10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1" s="1" t="s">
        <v>38</v>
      </c>
      <c r="Q10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1" s="1" t="s">
        <v>38</v>
      </c>
      <c r="S101" s="2" t="s">
        <v>2</v>
      </c>
      <c r="U101" s="1" t="s">
        <v>36</v>
      </c>
      <c r="V101" s="1" t="str">
        <f>IF(TRIM(CLEAN(A101))="","",_xlfn.TEXTBEFORE(_xlfn.TEXTAFTER(A101,"Unit "),"-"))</f>
        <v>5</v>
      </c>
      <c r="W101" s="1" t="str">
        <f>IF(TRIM(CLEAN(A101))="","",_xlfn.TEXTBEFORE(_xlfn.TEXTAFTER(A101,"-"),"-"))</f>
        <v>18</v>
      </c>
      <c r="X101" s="1" t="str">
        <f>IF(TRIM(CLEAN(A101))="","",_xlfn.TEXTAFTER(A101,"-",-1))</f>
        <v>0221</v>
      </c>
    </row>
    <row r="102" spans="1:24" x14ac:dyDescent="0.3">
      <c r="A102" s="88" t="s">
        <v>137</v>
      </c>
      <c r="B102" s="1" t="s">
        <v>34</v>
      </c>
      <c r="C102" s="3">
        <v>46102</v>
      </c>
      <c r="D102" s="3">
        <v>46116</v>
      </c>
      <c r="E102" s="1">
        <f ca="1">IF(DMRB5[[#This Row],[Move_out ]]="","",TODAY()-DMRB5[[#This Row],[Move_out ]])</f>
        <v>-5</v>
      </c>
      <c r="F102" s="2"/>
      <c r="G102" s="1" t="str">
        <f ca="1">IF(DMRB5[[#This Row],[Move_in]]="","",TODAY()-DMRB5[[#This Row],[Move_in]])</f>
        <v/>
      </c>
      <c r="H10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2" s="1" t="s">
        <v>38</v>
      </c>
      <c r="K10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2" s="1" t="s">
        <v>38</v>
      </c>
      <c r="M10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2" s="1" t="s">
        <v>38</v>
      </c>
      <c r="O10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2" s="1" t="s">
        <v>38</v>
      </c>
      <c r="Q10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2" s="1" t="s">
        <v>38</v>
      </c>
      <c r="S102" s="2" t="s">
        <v>42</v>
      </c>
      <c r="U102" s="1" t="s">
        <v>36</v>
      </c>
      <c r="V102" s="1" t="str">
        <f>IF(TRIM(CLEAN(A102))="","",_xlfn.TEXTBEFORE(_xlfn.TEXTAFTER(A102,"Unit "),"-"))</f>
        <v>8</v>
      </c>
      <c r="W102" s="1" t="str">
        <f>IF(TRIM(CLEAN(A102))="","",_xlfn.TEXTBEFORE(_xlfn.TEXTAFTER(A102,"-"),"-"))</f>
        <v>01</v>
      </c>
      <c r="X102" s="1" t="str">
        <f>IF(TRIM(CLEAN(A102))="","",_xlfn.TEXTAFTER(A102,"-",-1))</f>
        <v>3083</v>
      </c>
    </row>
    <row r="103" spans="1:24" x14ac:dyDescent="0.3">
      <c r="A103" s="88" t="s">
        <v>138</v>
      </c>
      <c r="B103" s="1" t="s">
        <v>34</v>
      </c>
      <c r="C103" s="3">
        <v>46103</v>
      </c>
      <c r="D103" s="3">
        <v>46116</v>
      </c>
      <c r="E103" s="1">
        <f ca="1">IF(DMRB5[[#This Row],[Move_out ]]="","",TODAY()-DMRB5[[#This Row],[Move_out ]])</f>
        <v>-6</v>
      </c>
      <c r="F103" s="2"/>
      <c r="G103" s="1" t="str">
        <f ca="1">IF(DMRB5[[#This Row],[Move_in]]="","",TODAY()-DMRB5[[#This Row],[Move_in]])</f>
        <v/>
      </c>
      <c r="H10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3" s="1" t="s">
        <v>38</v>
      </c>
      <c r="K10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3" s="1" t="s">
        <v>38</v>
      </c>
      <c r="M10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3" s="1" t="s">
        <v>38</v>
      </c>
      <c r="O10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3" s="1" t="s">
        <v>38</v>
      </c>
      <c r="Q10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3" s="1" t="s">
        <v>38</v>
      </c>
      <c r="S103" s="2" t="s">
        <v>2</v>
      </c>
      <c r="U103" s="1" t="s">
        <v>36</v>
      </c>
      <c r="V103" s="1" t="str">
        <f>IF(TRIM(CLEAN(A103))="","",_xlfn.TEXTBEFORE(_xlfn.TEXTAFTER(A103,"Unit "),"-"))</f>
        <v>5</v>
      </c>
      <c r="W103" s="1" t="str">
        <f>IF(TRIM(CLEAN(A103))="","",_xlfn.TEXTBEFORE(_xlfn.TEXTAFTER(A103,"-"),"-"))</f>
        <v>17</v>
      </c>
      <c r="X103" s="1" t="str">
        <f>IF(TRIM(CLEAN(A103))="","",_xlfn.TEXTAFTER(A103,"-",-1))</f>
        <v>0316</v>
      </c>
    </row>
    <row r="104" spans="1:24" x14ac:dyDescent="0.3">
      <c r="A104" s="88" t="s">
        <v>139</v>
      </c>
      <c r="B104" s="1" t="s">
        <v>34</v>
      </c>
      <c r="C104" s="3">
        <v>46104</v>
      </c>
      <c r="D104" s="3">
        <v>46116</v>
      </c>
      <c r="E104" s="1">
        <f ca="1">IF(DMRB5[[#This Row],[Move_out ]]="","",TODAY()-DMRB5[[#This Row],[Move_out ]])</f>
        <v>-7</v>
      </c>
      <c r="F104" s="2"/>
      <c r="G104" s="1" t="str">
        <f ca="1">IF(DMRB5[[#This Row],[Move_in]]="","",TODAY()-DMRB5[[#This Row],[Move_in]])</f>
        <v/>
      </c>
      <c r="H10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4" s="1" t="s">
        <v>38</v>
      </c>
      <c r="K10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4" s="1" t="s">
        <v>38</v>
      </c>
      <c r="M10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4" s="1" t="s">
        <v>38</v>
      </c>
      <c r="O10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4" s="1" t="s">
        <v>38</v>
      </c>
      <c r="Q10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4" s="1" t="s">
        <v>38</v>
      </c>
      <c r="S104" s="2" t="s">
        <v>42</v>
      </c>
      <c r="U104" s="1" t="s">
        <v>36</v>
      </c>
      <c r="V104" s="1" t="str">
        <f>IF(TRIM(CLEAN(A104))="","",_xlfn.TEXTBEFORE(_xlfn.TEXTAFTER(A104,"Unit "),"-"))</f>
        <v>8</v>
      </c>
      <c r="W104" s="1" t="str">
        <f>IF(TRIM(CLEAN(A104))="","",_xlfn.TEXTBEFORE(_xlfn.TEXTAFTER(A104,"-"),"-"))</f>
        <v>01</v>
      </c>
      <c r="X104" s="1" t="str">
        <f>IF(TRIM(CLEAN(A104))="","",_xlfn.TEXTAFTER(A104,"-",-1))</f>
        <v>1089</v>
      </c>
    </row>
    <row r="105" spans="1:24" x14ac:dyDescent="0.3">
      <c r="A105" s="95" t="s">
        <v>193</v>
      </c>
      <c r="B105" s="1" t="s">
        <v>34</v>
      </c>
      <c r="C105" s="3">
        <v>46108</v>
      </c>
      <c r="D105" s="3">
        <v>46122</v>
      </c>
      <c r="E105" s="1">
        <f ca="1">IF(DMRB5[[#This Row],[Move_out ]]="","",TODAY()-DMRB5[[#This Row],[Move_out ]])</f>
        <v>-11</v>
      </c>
      <c r="F105" s="90"/>
      <c r="G105" s="1" t="str">
        <f ca="1">IF(DMRB5[[#This Row],[Move_in]]="","",TODAY()-DMRB5[[#This Row],[Move_in]])</f>
        <v/>
      </c>
      <c r="H10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5" s="1" t="s">
        <v>38</v>
      </c>
      <c r="K10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5" s="1" t="s">
        <v>38</v>
      </c>
      <c r="M10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5" s="1" t="s">
        <v>38</v>
      </c>
      <c r="O10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5" s="1" t="s">
        <v>38</v>
      </c>
      <c r="Q10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5" s="1" t="s">
        <v>38</v>
      </c>
      <c r="S105" s="90"/>
      <c r="U105" s="1" t="s">
        <v>36</v>
      </c>
      <c r="V105" s="1" t="str">
        <f>IF(TRIM(CLEAN(A105))="","",_xlfn.TEXTBEFORE(_xlfn.TEXTAFTER(A105,"Unit "),"-"))</f>
        <v>8</v>
      </c>
      <c r="W105" s="1" t="str">
        <f>IF(TRIM(CLEAN(A105))="","",_xlfn.TEXTBEFORE(_xlfn.TEXTAFTER(A105,"-"),"-"))</f>
        <v>01</v>
      </c>
      <c r="X105" s="1" t="str">
        <f>IF(TRIM(CLEAN(A105))="","",_xlfn.TEXTAFTER(A105,"-",-1))</f>
        <v>2035</v>
      </c>
    </row>
    <row r="106" spans="1:24" x14ac:dyDescent="0.3">
      <c r="A106" s="96" t="s">
        <v>203</v>
      </c>
      <c r="B106" s="1" t="s">
        <v>34</v>
      </c>
      <c r="C106" s="3">
        <v>46109</v>
      </c>
      <c r="D106" s="3">
        <v>46123</v>
      </c>
      <c r="E106" s="1">
        <f ca="1">IF(DMRB5[[#This Row],[Move_out ]]="","",TODAY()-DMRB5[[#This Row],[Move_out ]])</f>
        <v>-12</v>
      </c>
      <c r="F106" s="90"/>
      <c r="G106" s="1" t="str">
        <f ca="1">IF(DMRB5[[#This Row],[Move_in]]="","",TODAY()-DMRB5[[#This Row],[Move_in]])</f>
        <v/>
      </c>
      <c r="H10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6" s="1" t="s">
        <v>38</v>
      </c>
      <c r="K10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6" s="1" t="s">
        <v>38</v>
      </c>
      <c r="M10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6" s="1" t="s">
        <v>38</v>
      </c>
      <c r="O10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6" s="1" t="s">
        <v>38</v>
      </c>
      <c r="Q10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6" s="1" t="s">
        <v>38</v>
      </c>
      <c r="S106" s="90"/>
      <c r="U106" s="1" t="s">
        <v>36</v>
      </c>
      <c r="V106" s="1" t="str">
        <f>IF(TRIM(CLEAN(A106))="","",_xlfn.TEXTBEFORE(_xlfn.TEXTAFTER(A106,"Unit "),"-"))</f>
        <v>8</v>
      </c>
      <c r="W106" s="1" t="str">
        <f>IF(TRIM(CLEAN(A106))="","",_xlfn.TEXTBEFORE(_xlfn.TEXTAFTER(A106,"-"),"-"))</f>
        <v>01</v>
      </c>
      <c r="X106" s="1" t="str">
        <f>IF(TRIM(CLEAN(A106))="","",_xlfn.TEXTAFTER(A106,"-",-1))</f>
        <v>3053</v>
      </c>
    </row>
    <row r="107" spans="1:24" x14ac:dyDescent="0.3">
      <c r="A107" s="88" t="s">
        <v>142</v>
      </c>
      <c r="B107" s="1" t="s">
        <v>34</v>
      </c>
      <c r="C107" s="3">
        <v>46111</v>
      </c>
      <c r="D107" s="3">
        <v>46123</v>
      </c>
      <c r="E107" s="1">
        <f ca="1">IF(DMRB5[[#This Row],[Move_out ]]="","",TODAY()-DMRB5[[#This Row],[Move_out ]])</f>
        <v>-14</v>
      </c>
      <c r="F107" s="2"/>
      <c r="G107" s="1" t="str">
        <f ca="1">IF(DMRB5[[#This Row],[Move_in]]="","",TODAY()-DMRB5[[#This Row],[Move_in]])</f>
        <v/>
      </c>
      <c r="H10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7" s="1" t="s">
        <v>38</v>
      </c>
      <c r="K10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7" s="1" t="s">
        <v>38</v>
      </c>
      <c r="M10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7" s="1" t="s">
        <v>38</v>
      </c>
      <c r="O10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7" s="1" t="s">
        <v>38</v>
      </c>
      <c r="Q10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7" s="1" t="s">
        <v>38</v>
      </c>
      <c r="S107" s="2" t="s">
        <v>42</v>
      </c>
      <c r="U107" s="1" t="s">
        <v>36</v>
      </c>
      <c r="V107" s="1" t="str">
        <f>IF(TRIM(CLEAN(A107))="","",_xlfn.TEXTBEFORE(_xlfn.TEXTAFTER(A107,"Unit "),"-"))</f>
        <v>8</v>
      </c>
      <c r="W107" s="1" t="str">
        <f>IF(TRIM(CLEAN(A107))="","",_xlfn.TEXTBEFORE(_xlfn.TEXTAFTER(A107,"-"),"-"))</f>
        <v>01</v>
      </c>
      <c r="X107" s="1" t="str">
        <f>IF(TRIM(CLEAN(A107))="","",_xlfn.TEXTAFTER(A107,"-",-1))</f>
        <v>4051</v>
      </c>
    </row>
    <row r="108" spans="1:24" x14ac:dyDescent="0.3">
      <c r="A108" s="95" t="s">
        <v>194</v>
      </c>
      <c r="B108" s="1" t="s">
        <v>34</v>
      </c>
      <c r="C108" s="3">
        <v>46111</v>
      </c>
      <c r="D108" s="3">
        <v>46123</v>
      </c>
      <c r="E108" s="1">
        <f ca="1">IF(DMRB5[[#This Row],[Move_out ]]="","",TODAY()-DMRB5[[#This Row],[Move_out ]])</f>
        <v>-14</v>
      </c>
      <c r="F108" s="90"/>
      <c r="G108" s="1" t="str">
        <f ca="1">IF(DMRB5[[#This Row],[Move_in]]="","",TODAY()-DMRB5[[#This Row],[Move_in]])</f>
        <v/>
      </c>
      <c r="H10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8" s="1" t="s">
        <v>38</v>
      </c>
      <c r="K10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8" s="1" t="s">
        <v>38</v>
      </c>
      <c r="M10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8" s="1" t="s">
        <v>38</v>
      </c>
      <c r="O10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8" s="1" t="s">
        <v>38</v>
      </c>
      <c r="Q10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8" s="1" t="s">
        <v>38</v>
      </c>
      <c r="S108" s="90"/>
      <c r="U108" s="1" t="s">
        <v>36</v>
      </c>
      <c r="V108" s="1" t="str">
        <f>IF(TRIM(CLEAN(A108))="","",_xlfn.TEXTBEFORE(_xlfn.TEXTAFTER(A108,"Unit "),"-"))</f>
        <v>8</v>
      </c>
      <c r="W108" s="1" t="str">
        <f>IF(TRIM(CLEAN(A108))="","",_xlfn.TEXTBEFORE(_xlfn.TEXTAFTER(A108,"-"),"-"))</f>
        <v>01</v>
      </c>
      <c r="X108" s="1" t="str">
        <f>IF(TRIM(CLEAN(A108))="","",_xlfn.TEXTAFTER(A108,"-",-1))</f>
        <v>4080</v>
      </c>
    </row>
    <row r="109" spans="1:24" x14ac:dyDescent="0.3">
      <c r="A109" s="88" t="s">
        <v>143</v>
      </c>
      <c r="B109" s="1" t="s">
        <v>34</v>
      </c>
      <c r="C109" s="3">
        <v>46112</v>
      </c>
      <c r="D109" s="3">
        <v>46126</v>
      </c>
      <c r="E109" s="1">
        <f ca="1">IF(DMRB5[[#This Row],[Move_out ]]="","",TODAY()-DMRB5[[#This Row],[Move_out ]])</f>
        <v>-15</v>
      </c>
      <c r="F109" s="2"/>
      <c r="G109" s="1" t="str">
        <f ca="1">IF(DMRB5[[#This Row],[Move_in]]="","",TODAY()-DMRB5[[#This Row],[Move_in]])</f>
        <v/>
      </c>
      <c r="H10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9" s="1" t="s">
        <v>38</v>
      </c>
      <c r="K10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9" s="1" t="s">
        <v>38</v>
      </c>
      <c r="M10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9" s="1" t="s">
        <v>38</v>
      </c>
      <c r="O10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9" s="1" t="s">
        <v>38</v>
      </c>
      <c r="Q10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9" s="1" t="s">
        <v>38</v>
      </c>
      <c r="S109" s="2" t="s">
        <v>42</v>
      </c>
      <c r="U109" s="1" t="s">
        <v>36</v>
      </c>
      <c r="V109" s="1" t="str">
        <f>IF(TRIM(CLEAN(A109))="","",_xlfn.TEXTBEFORE(_xlfn.TEXTAFTER(A109,"Unit "),"-"))</f>
        <v>8</v>
      </c>
      <c r="W109" s="1" t="str">
        <f>IF(TRIM(CLEAN(A109))="","",_xlfn.TEXTBEFORE(_xlfn.TEXTAFTER(A109,"-"),"-"))</f>
        <v>01</v>
      </c>
      <c r="X109" s="1" t="str">
        <f>IF(TRIM(CLEAN(A109))="","",_xlfn.TEXTAFTER(A109,"-",-1))</f>
        <v>4124</v>
      </c>
    </row>
    <row r="110" spans="1:24" x14ac:dyDescent="0.3">
      <c r="A110" s="88" t="s">
        <v>144</v>
      </c>
      <c r="B110" s="1" t="s">
        <v>34</v>
      </c>
      <c r="C110" s="3">
        <v>46113</v>
      </c>
      <c r="D110" s="3">
        <v>46127</v>
      </c>
      <c r="E110" s="1">
        <f ca="1">IF(DMRB5[[#This Row],[Move_out ]]="","",TODAY()-DMRB5[[#This Row],[Move_out ]])</f>
        <v>-16</v>
      </c>
      <c r="F110" s="2"/>
      <c r="G110" s="1" t="str">
        <f ca="1">IF(DMRB5[[#This Row],[Move_in]]="","",TODAY()-DMRB5[[#This Row],[Move_in]])</f>
        <v/>
      </c>
      <c r="H11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0" s="1" t="s">
        <v>38</v>
      </c>
      <c r="K11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0" s="1" t="s">
        <v>38</v>
      </c>
      <c r="M11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0" s="1" t="s">
        <v>38</v>
      </c>
      <c r="O11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0" s="1" t="s">
        <v>38</v>
      </c>
      <c r="Q11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0" s="1" t="s">
        <v>38</v>
      </c>
      <c r="S110" s="2" t="s">
        <v>2</v>
      </c>
      <c r="U110" s="1" t="s">
        <v>36</v>
      </c>
      <c r="V110" s="1" t="str">
        <f>IF(TRIM(CLEAN(A110))="","",_xlfn.TEXTBEFORE(_xlfn.TEXTAFTER(A110,"Unit "),"-"))</f>
        <v>5</v>
      </c>
      <c r="W110" s="1" t="str">
        <f>IF(TRIM(CLEAN(A110))="","",_xlfn.TEXTBEFORE(_xlfn.TEXTAFTER(A110,"-"),"-"))</f>
        <v>01</v>
      </c>
      <c r="X110" s="1" t="str">
        <f>IF(TRIM(CLEAN(A110))="","",_xlfn.TEXTAFTER(A110,"-",-1))</f>
        <v>0206</v>
      </c>
    </row>
    <row r="111" spans="1:24" x14ac:dyDescent="0.3">
      <c r="A111" s="88" t="s">
        <v>145</v>
      </c>
      <c r="B111" s="1" t="s">
        <v>34</v>
      </c>
      <c r="C111" s="3">
        <v>46114</v>
      </c>
      <c r="D111" s="3">
        <v>46128</v>
      </c>
      <c r="E111" s="1">
        <f ca="1">IF(DMRB5[[#This Row],[Move_out ]]="","",TODAY()-DMRB5[[#This Row],[Move_out ]])</f>
        <v>-17</v>
      </c>
      <c r="F111" s="2"/>
      <c r="G111" s="1" t="str">
        <f ca="1">IF(DMRB5[[#This Row],[Move_in]]="","",TODAY()-DMRB5[[#This Row],[Move_in]])</f>
        <v/>
      </c>
      <c r="H11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1" s="1" t="s">
        <v>38</v>
      </c>
      <c r="K11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1" s="1" t="s">
        <v>38</v>
      </c>
      <c r="M11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1" s="1" t="s">
        <v>38</v>
      </c>
      <c r="O11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1" s="1" t="s">
        <v>38</v>
      </c>
      <c r="Q11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1" s="1" t="s">
        <v>38</v>
      </c>
      <c r="S111" s="2" t="s">
        <v>39</v>
      </c>
      <c r="U111" s="1" t="s">
        <v>36</v>
      </c>
      <c r="V111" s="1" t="str">
        <f>IF(TRIM(CLEAN(A111))="","",_xlfn.TEXTBEFORE(_xlfn.TEXTAFTER(A111,"Unit "),"-"))</f>
        <v>7</v>
      </c>
      <c r="W111" s="1" t="str">
        <f>IF(TRIM(CLEAN(A111))="","",_xlfn.TEXTBEFORE(_xlfn.TEXTAFTER(A111,"-"),"-"))</f>
        <v>08</v>
      </c>
      <c r="X111" s="1" t="str">
        <f>IF(TRIM(CLEAN(A111))="","",_xlfn.TEXTAFTER(A111,"-",-1))</f>
        <v>0306</v>
      </c>
    </row>
    <row r="112" spans="1:24" x14ac:dyDescent="0.3">
      <c r="A112" s="97" t="s">
        <v>209</v>
      </c>
      <c r="B112" s="1" t="s">
        <v>34</v>
      </c>
      <c r="C112" s="3">
        <v>46116</v>
      </c>
      <c r="D112" s="3">
        <v>46130</v>
      </c>
      <c r="E112" s="1">
        <f ca="1">IF(DMRB5[[#This Row],[Move_out ]]="","",TODAY()-DMRB5[[#This Row],[Move_out ]])</f>
        <v>-19</v>
      </c>
      <c r="F112" s="90"/>
      <c r="G112" s="1" t="str">
        <f ca="1">IF(DMRB5[[#This Row],[Move_in]]="","",TODAY()-DMRB5[[#This Row],[Move_in]])</f>
        <v/>
      </c>
      <c r="H11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2" s="1" t="s">
        <v>38</v>
      </c>
      <c r="K11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2" s="1" t="s">
        <v>38</v>
      </c>
      <c r="M11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2" s="1" t="s">
        <v>38</v>
      </c>
      <c r="O11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2" s="1" t="s">
        <v>38</v>
      </c>
      <c r="Q11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2" s="1" t="s">
        <v>38</v>
      </c>
      <c r="S112" s="90"/>
      <c r="U112" s="1" t="s">
        <v>36</v>
      </c>
      <c r="V112" s="1" t="str">
        <f>IF(TRIM(CLEAN(A112))="","",_xlfn.TEXTBEFORE(_xlfn.TEXTAFTER(A112,"Unit "),"-"))</f>
        <v>7</v>
      </c>
      <c r="W112" s="1" t="str">
        <f>IF(TRIM(CLEAN(A112))="","",_xlfn.TEXTBEFORE(_xlfn.TEXTAFTER(A112,"-"),"-"))</f>
        <v>08</v>
      </c>
      <c r="X112" s="1" t="str">
        <f>IF(TRIM(CLEAN(A112))="","",_xlfn.TEXTAFTER(A112,"-",-1))</f>
        <v>0203</v>
      </c>
    </row>
    <row r="113" spans="1:24" x14ac:dyDescent="0.3">
      <c r="A113" s="88" t="s">
        <v>146</v>
      </c>
      <c r="B113" s="1" t="s">
        <v>34</v>
      </c>
      <c r="C113" s="3">
        <v>46118</v>
      </c>
      <c r="D113" s="3">
        <v>46130</v>
      </c>
      <c r="E113" s="1">
        <f ca="1">IF(DMRB5[[#This Row],[Move_out ]]="","",TODAY()-DMRB5[[#This Row],[Move_out ]])</f>
        <v>-21</v>
      </c>
      <c r="F113" s="2"/>
      <c r="G113" s="1" t="str">
        <f ca="1">IF(DMRB5[[#This Row],[Move_in]]="","",TODAY()-DMRB5[[#This Row],[Move_in]])</f>
        <v/>
      </c>
      <c r="H11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3" s="1" t="s">
        <v>38</v>
      </c>
      <c r="K11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3" s="1" t="s">
        <v>38</v>
      </c>
      <c r="M11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3" s="1" t="s">
        <v>38</v>
      </c>
      <c r="O11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3" s="1" t="s">
        <v>38</v>
      </c>
      <c r="Q11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3" s="1" t="s">
        <v>38</v>
      </c>
      <c r="S113" s="2" t="s">
        <v>2</v>
      </c>
      <c r="U113" s="1" t="s">
        <v>36</v>
      </c>
      <c r="V113" s="1" t="str">
        <f>IF(TRIM(CLEAN(A113))="","",_xlfn.TEXTBEFORE(_xlfn.TEXTAFTER(A113,"Unit "),"-"))</f>
        <v>5</v>
      </c>
      <c r="W113" s="1" t="str">
        <f>IF(TRIM(CLEAN(A113))="","",_xlfn.TEXTBEFORE(_xlfn.TEXTAFTER(A113,"-"),"-"))</f>
        <v>10</v>
      </c>
      <c r="X113" s="1" t="str">
        <f>IF(TRIM(CLEAN(A113))="","",_xlfn.TEXTAFTER(A113,"-",-1))</f>
        <v>0302</v>
      </c>
    </row>
    <row r="114" spans="1:24" x14ac:dyDescent="0.3">
      <c r="A114" s="97" t="s">
        <v>210</v>
      </c>
      <c r="B114" s="1" t="s">
        <v>34</v>
      </c>
      <c r="C114" s="3">
        <v>46119</v>
      </c>
      <c r="D114" s="3">
        <v>46133</v>
      </c>
      <c r="E114" s="1">
        <f ca="1">IF(DMRB5[[#This Row],[Move_out ]]="","",TODAY()-DMRB5[[#This Row],[Move_out ]])</f>
        <v>-22</v>
      </c>
      <c r="F114" s="90"/>
      <c r="G114" s="1" t="str">
        <f ca="1">IF(DMRB5[[#This Row],[Move_in]]="","",TODAY()-DMRB5[[#This Row],[Move_in]])</f>
        <v/>
      </c>
      <c r="H11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4" s="1" t="s">
        <v>38</v>
      </c>
      <c r="K11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4" s="1" t="s">
        <v>38</v>
      </c>
      <c r="M11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4" s="1" t="s">
        <v>38</v>
      </c>
      <c r="O11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4" s="1" t="s">
        <v>38</v>
      </c>
      <c r="Q11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4" s="1" t="s">
        <v>38</v>
      </c>
      <c r="S114" s="90"/>
      <c r="U114" s="1" t="s">
        <v>36</v>
      </c>
      <c r="V114" s="1" t="str">
        <f>IF(TRIM(CLEAN(A114))="","",_xlfn.TEXTBEFORE(_xlfn.TEXTAFTER(A114,"Unit "),"-"))</f>
        <v>7</v>
      </c>
      <c r="W114" s="1" t="str">
        <f>IF(TRIM(CLEAN(A114))="","",_xlfn.TEXTBEFORE(_xlfn.TEXTAFTER(A114,"-"),"-"))</f>
        <v>09</v>
      </c>
      <c r="X114" s="1" t="str">
        <f>IF(TRIM(CLEAN(A114))="","",_xlfn.TEXTAFTER(A114,"-",-1))</f>
        <v>0109</v>
      </c>
    </row>
    <row r="115" spans="1:24" x14ac:dyDescent="0.3">
      <c r="A115" s="88" t="s">
        <v>147</v>
      </c>
      <c r="B115" s="1" t="s">
        <v>34</v>
      </c>
      <c r="C115" s="3">
        <v>46119</v>
      </c>
      <c r="D115" s="3">
        <v>46133</v>
      </c>
      <c r="E115" s="1">
        <f ca="1">IF(DMRB5[[#This Row],[Move_out ]]="","",TODAY()-DMRB5[[#This Row],[Move_out ]])</f>
        <v>-22</v>
      </c>
      <c r="F115" s="2"/>
      <c r="G115" s="1" t="str">
        <f ca="1">IF(DMRB5[[#This Row],[Move_in]]="","",TODAY()-DMRB5[[#This Row],[Move_in]])</f>
        <v/>
      </c>
      <c r="H11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5" s="1" t="s">
        <v>38</v>
      </c>
      <c r="K11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5" s="1" t="s">
        <v>38</v>
      </c>
      <c r="M11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5" s="1" t="s">
        <v>38</v>
      </c>
      <c r="O11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5" s="1" t="s">
        <v>38</v>
      </c>
      <c r="Q11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5" s="1" t="s">
        <v>38</v>
      </c>
      <c r="S115" s="2" t="s">
        <v>42</v>
      </c>
      <c r="U115" s="1" t="s">
        <v>36</v>
      </c>
      <c r="V115" s="1" t="str">
        <f>IF(TRIM(CLEAN(A115))="","",_xlfn.TEXTBEFORE(_xlfn.TEXTAFTER(A115,"Unit "),"-"))</f>
        <v>8</v>
      </c>
      <c r="W115" s="1" t="str">
        <f>IF(TRIM(CLEAN(A115))="","",_xlfn.TEXTBEFORE(_xlfn.TEXTAFTER(A115,"-"),"-"))</f>
        <v>01</v>
      </c>
      <c r="X115" s="1" t="str">
        <f>IF(TRIM(CLEAN(A115))="","",_xlfn.TEXTAFTER(A115,"-",-1))</f>
        <v>1122</v>
      </c>
    </row>
    <row r="116" spans="1:24" x14ac:dyDescent="0.3">
      <c r="A116" s="88" t="s">
        <v>148</v>
      </c>
      <c r="B116" s="1" t="s">
        <v>34</v>
      </c>
      <c r="C116" s="3">
        <v>46119</v>
      </c>
      <c r="D116" s="3">
        <v>46133</v>
      </c>
      <c r="E116" s="1">
        <f ca="1">IF(DMRB5[[#This Row],[Move_out ]]="","",TODAY()-DMRB5[[#This Row],[Move_out ]])</f>
        <v>-22</v>
      </c>
      <c r="F116" s="2"/>
      <c r="G116" s="1" t="str">
        <f ca="1">IF(DMRB5[[#This Row],[Move_in]]="","",TODAY()-DMRB5[[#This Row],[Move_in]])</f>
        <v/>
      </c>
      <c r="H11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6" s="1" t="s">
        <v>38</v>
      </c>
      <c r="K11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6" s="1" t="s">
        <v>38</v>
      </c>
      <c r="M11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6" s="1" t="s">
        <v>38</v>
      </c>
      <c r="O11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6" s="1" t="s">
        <v>38</v>
      </c>
      <c r="Q11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6" s="1" t="s">
        <v>38</v>
      </c>
      <c r="S116" s="2" t="s">
        <v>42</v>
      </c>
      <c r="U116" s="1" t="s">
        <v>36</v>
      </c>
      <c r="V116" s="1" t="str">
        <f>IF(TRIM(CLEAN(A116))="","",_xlfn.TEXTBEFORE(_xlfn.TEXTAFTER(A116,"Unit "),"-"))</f>
        <v>8</v>
      </c>
      <c r="W116" s="1" t="str">
        <f>IF(TRIM(CLEAN(A116))="","",_xlfn.TEXTBEFORE(_xlfn.TEXTAFTER(A116,"-"),"-"))</f>
        <v>01</v>
      </c>
      <c r="X116" s="1" t="str">
        <f>IF(TRIM(CLEAN(A116))="","",_xlfn.TEXTAFTER(A116,"-",-1))</f>
        <v>2010</v>
      </c>
    </row>
    <row r="117" spans="1:24" x14ac:dyDescent="0.3">
      <c r="A117" s="88" t="s">
        <v>149</v>
      </c>
      <c r="B117" s="1" t="s">
        <v>34</v>
      </c>
      <c r="C117" s="3">
        <v>46119</v>
      </c>
      <c r="D117" s="3">
        <v>46133</v>
      </c>
      <c r="E117" s="1">
        <f ca="1">IF(DMRB5[[#This Row],[Move_out ]]="","",TODAY()-DMRB5[[#This Row],[Move_out ]])</f>
        <v>-22</v>
      </c>
      <c r="F117" s="2"/>
      <c r="G117" s="1" t="str">
        <f ca="1">IF(DMRB5[[#This Row],[Move_in]]="","",TODAY()-DMRB5[[#This Row],[Move_in]])</f>
        <v/>
      </c>
      <c r="H11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7" s="1" t="s">
        <v>38</v>
      </c>
      <c r="K11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7" s="1" t="s">
        <v>38</v>
      </c>
      <c r="M11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7" s="1" t="s">
        <v>38</v>
      </c>
      <c r="O11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7" s="1" t="s">
        <v>38</v>
      </c>
      <c r="Q11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7" s="1" t="s">
        <v>38</v>
      </c>
      <c r="S117" s="2" t="s">
        <v>42</v>
      </c>
      <c r="U117" s="1" t="s">
        <v>36</v>
      </c>
      <c r="V117" s="1" t="str">
        <f>IF(TRIM(CLEAN(A117))="","",_xlfn.TEXTBEFORE(_xlfn.TEXTAFTER(A117,"Unit "),"-"))</f>
        <v>8</v>
      </c>
      <c r="W117" s="1" t="str">
        <f>IF(TRIM(CLEAN(A117))="","",_xlfn.TEXTBEFORE(_xlfn.TEXTAFTER(A117,"-"),"-"))</f>
        <v>01</v>
      </c>
      <c r="X117" s="1" t="str">
        <f>IF(TRIM(CLEAN(A117))="","",_xlfn.TEXTAFTER(A117,"-",-1))</f>
        <v>2053</v>
      </c>
    </row>
    <row r="118" spans="1:24" x14ac:dyDescent="0.3">
      <c r="A118" s="88" t="s">
        <v>151</v>
      </c>
      <c r="B118" s="1" t="s">
        <v>34</v>
      </c>
      <c r="C118" s="3">
        <v>46122</v>
      </c>
      <c r="D118" s="3">
        <v>46136</v>
      </c>
      <c r="E118" s="1">
        <f ca="1">IF(DMRB5[[#This Row],[Move_out ]]="","",TODAY()-DMRB5[[#This Row],[Move_out ]])</f>
        <v>-25</v>
      </c>
      <c r="F118" s="2"/>
      <c r="G118" s="1" t="str">
        <f ca="1">IF(DMRB5[[#This Row],[Move_in]]="","",TODAY()-DMRB5[[#This Row],[Move_in]])</f>
        <v/>
      </c>
      <c r="H11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8" s="1" t="s">
        <v>38</v>
      </c>
      <c r="K11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8" s="1" t="s">
        <v>38</v>
      </c>
      <c r="M11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8" s="1" t="s">
        <v>38</v>
      </c>
      <c r="O11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8" s="1" t="s">
        <v>38</v>
      </c>
      <c r="Q11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8" s="1" t="s">
        <v>38</v>
      </c>
      <c r="S118" s="2" t="s">
        <v>39</v>
      </c>
      <c r="U118" s="1" t="s">
        <v>36</v>
      </c>
      <c r="V118" s="1" t="str">
        <f>IF(TRIM(CLEAN(A118))="","",_xlfn.TEXTBEFORE(_xlfn.TEXTAFTER(A118,"Unit "),"-"))</f>
        <v>7</v>
      </c>
      <c r="W118" s="1" t="str">
        <f>IF(TRIM(CLEAN(A118))="","",_xlfn.TEXTBEFORE(_xlfn.TEXTAFTER(A118,"-"),"-"))</f>
        <v>03</v>
      </c>
      <c r="X118" s="1" t="str">
        <f>IF(TRIM(CLEAN(A118))="","",_xlfn.TEXTAFTER(A118,"-",-1))</f>
        <v>0308</v>
      </c>
    </row>
    <row r="119" spans="1:24" x14ac:dyDescent="0.3">
      <c r="A119" s="91" t="s">
        <v>174</v>
      </c>
      <c r="B119" s="1" t="s">
        <v>34</v>
      </c>
      <c r="C119" s="3">
        <v>46123</v>
      </c>
      <c r="D119" s="3">
        <v>46137</v>
      </c>
      <c r="E119" s="1">
        <f ca="1">IF(DMRB5[[#This Row],[Move_out ]]="","",TODAY()-DMRB5[[#This Row],[Move_out ]])</f>
        <v>-26</v>
      </c>
      <c r="F119" s="90"/>
      <c r="G119" s="1" t="str">
        <f ca="1">IF(DMRB5[[#This Row],[Move_in]]="","",TODAY()-DMRB5[[#This Row],[Move_in]])</f>
        <v/>
      </c>
      <c r="H11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9" s="1" t="s">
        <v>38</v>
      </c>
      <c r="K11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9" s="1" t="s">
        <v>38</v>
      </c>
      <c r="M11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9" s="1" t="s">
        <v>38</v>
      </c>
      <c r="O11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9" s="1" t="s">
        <v>38</v>
      </c>
      <c r="Q11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9" s="1" t="s">
        <v>38</v>
      </c>
      <c r="S119" s="2" t="s">
        <v>2</v>
      </c>
      <c r="U119" s="1" t="s">
        <v>36</v>
      </c>
      <c r="V119" s="1" t="str">
        <f>IF(TRIM(CLEAN(A119))="","",_xlfn.TEXTBEFORE(_xlfn.TEXTAFTER(A119,"Unit "),"-"))</f>
        <v>5</v>
      </c>
      <c r="W119" s="1" t="str">
        <f>IF(TRIM(CLEAN(A119))="","",_xlfn.TEXTBEFORE(_xlfn.TEXTAFTER(A119,"-"),"-"))</f>
        <v>17</v>
      </c>
      <c r="X119" s="1" t="str">
        <f>IF(TRIM(CLEAN(A119))="","",_xlfn.TEXTAFTER(A119,"-",-1))</f>
        <v>0118</v>
      </c>
    </row>
    <row r="120" spans="1:24" x14ac:dyDescent="0.3">
      <c r="A120" s="88" t="s">
        <v>153</v>
      </c>
      <c r="B120" s="1" t="s">
        <v>34</v>
      </c>
      <c r="C120" s="3">
        <v>46126</v>
      </c>
      <c r="D120" s="3">
        <v>46140</v>
      </c>
      <c r="E120" s="1">
        <f ca="1">IF(DMRB5[[#This Row],[Move_out ]]="","",TODAY()-DMRB5[[#This Row],[Move_out ]])</f>
        <v>-29</v>
      </c>
      <c r="F120" s="2"/>
      <c r="G120" s="1" t="str">
        <f ca="1">IF(DMRB5[[#This Row],[Move_in]]="","",TODAY()-DMRB5[[#This Row],[Move_in]])</f>
        <v/>
      </c>
      <c r="H12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0" s="1" t="s">
        <v>38</v>
      </c>
      <c r="K12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0" s="1" t="s">
        <v>38</v>
      </c>
      <c r="M12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0" s="1" t="s">
        <v>38</v>
      </c>
      <c r="O12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0" s="1" t="s">
        <v>38</v>
      </c>
      <c r="Q12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0" s="1" t="s">
        <v>38</v>
      </c>
      <c r="S120" s="2" t="s">
        <v>2</v>
      </c>
      <c r="U120" s="1" t="s">
        <v>36</v>
      </c>
      <c r="V120" s="1" t="str">
        <f>IF(TRIM(CLEAN(A120))="","",_xlfn.TEXTBEFORE(_xlfn.TEXTAFTER(A120,"Unit "),"-"))</f>
        <v>5</v>
      </c>
      <c r="W120" s="1" t="str">
        <f>IF(TRIM(CLEAN(A120))="","",_xlfn.TEXTBEFORE(_xlfn.TEXTAFTER(A120,"-"),"-"))</f>
        <v>15</v>
      </c>
      <c r="X120" s="1" t="str">
        <f>IF(TRIM(CLEAN(A120))="","",_xlfn.TEXTAFTER(A120,"-",-1))</f>
        <v>0205</v>
      </c>
    </row>
    <row r="121" spans="1:24" x14ac:dyDescent="0.3">
      <c r="A121" s="88" t="s">
        <v>154</v>
      </c>
      <c r="B121" s="1" t="s">
        <v>34</v>
      </c>
      <c r="C121" s="3">
        <v>46126</v>
      </c>
      <c r="D121" s="3">
        <v>46140</v>
      </c>
      <c r="E121" s="1">
        <f ca="1">IF(DMRB5[[#This Row],[Move_out ]]="","",TODAY()-DMRB5[[#This Row],[Move_out ]])</f>
        <v>-29</v>
      </c>
      <c r="F121" s="2"/>
      <c r="G121" s="1" t="str">
        <f ca="1">IF(DMRB5[[#This Row],[Move_in]]="","",TODAY()-DMRB5[[#This Row],[Move_in]])</f>
        <v/>
      </c>
      <c r="H12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1" s="1" t="s">
        <v>38</v>
      </c>
      <c r="K12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1" s="1" t="s">
        <v>38</v>
      </c>
      <c r="M12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1" s="1" t="s">
        <v>38</v>
      </c>
      <c r="O12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1" s="1" t="s">
        <v>38</v>
      </c>
      <c r="Q12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1" s="1" t="s">
        <v>38</v>
      </c>
      <c r="S121" s="2" t="s">
        <v>2</v>
      </c>
      <c r="U121" s="1" t="s">
        <v>36</v>
      </c>
      <c r="V121" s="1" t="str">
        <f>IF(TRIM(CLEAN(A121))="","",_xlfn.TEXTBEFORE(_xlfn.TEXTAFTER(A121,"Unit "),"-"))</f>
        <v>5</v>
      </c>
      <c r="W121" s="1" t="str">
        <f>IF(TRIM(CLEAN(A121))="","",_xlfn.TEXTBEFORE(_xlfn.TEXTAFTER(A121,"-"),"-"))</f>
        <v>17</v>
      </c>
      <c r="X121" s="1" t="str">
        <f>IF(TRIM(CLEAN(A121))="","",_xlfn.TEXTAFTER(A121,"-",-1))</f>
        <v>0209</v>
      </c>
    </row>
    <row r="122" spans="1:24" x14ac:dyDescent="0.3">
      <c r="A122" s="91" t="s">
        <v>175</v>
      </c>
      <c r="B122" s="1" t="s">
        <v>34</v>
      </c>
      <c r="C122" s="3">
        <v>46126</v>
      </c>
      <c r="D122" s="3">
        <v>46140</v>
      </c>
      <c r="E122" s="1">
        <f ca="1">IF(DMRB5[[#This Row],[Move_out ]]="","",TODAY()-DMRB5[[#This Row],[Move_out ]])</f>
        <v>-29</v>
      </c>
      <c r="F122" s="90"/>
      <c r="G122" s="1" t="str">
        <f ca="1">IF(DMRB5[[#This Row],[Move_in]]="","",TODAY()-DMRB5[[#This Row],[Move_in]])</f>
        <v/>
      </c>
      <c r="H12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2" s="1" t="s">
        <v>38</v>
      </c>
      <c r="K12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2" s="1" t="s">
        <v>38</v>
      </c>
      <c r="M12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2" s="1" t="s">
        <v>38</v>
      </c>
      <c r="O12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2" s="1" t="s">
        <v>38</v>
      </c>
      <c r="Q12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2" s="1" t="s">
        <v>38</v>
      </c>
      <c r="S122" s="2" t="s">
        <v>2</v>
      </c>
      <c r="U122" s="1" t="s">
        <v>36</v>
      </c>
      <c r="V122" s="1" t="str">
        <f>IF(TRIM(CLEAN(A122))="","",_xlfn.TEXTBEFORE(_xlfn.TEXTAFTER(A122,"Unit "),"-"))</f>
        <v>5</v>
      </c>
      <c r="W122" s="1" t="str">
        <f>IF(TRIM(CLEAN(A122))="","",_xlfn.TEXTBEFORE(_xlfn.TEXTAFTER(A122,"-"),"-"))</f>
        <v>18</v>
      </c>
      <c r="X122" s="1" t="str">
        <f>IF(TRIM(CLEAN(A122))="","",_xlfn.TEXTAFTER(A122,"-",-1))</f>
        <v>0106</v>
      </c>
    </row>
    <row r="123" spans="1:24" x14ac:dyDescent="0.3">
      <c r="A123" s="92" t="s">
        <v>177</v>
      </c>
      <c r="B123" s="1" t="s">
        <v>34</v>
      </c>
      <c r="C123" s="3">
        <v>46126</v>
      </c>
      <c r="D123" s="3">
        <v>46140</v>
      </c>
      <c r="E123" s="1">
        <f ca="1">IF(DMRB5[[#This Row],[Move_out ]]="","",TODAY()-DMRB5[[#This Row],[Move_out ]])</f>
        <v>-29</v>
      </c>
      <c r="F123" s="90"/>
      <c r="G123" s="1" t="str">
        <f ca="1">IF(DMRB5[[#This Row],[Move_in]]="","",TODAY()-DMRB5[[#This Row],[Move_in]])</f>
        <v/>
      </c>
      <c r="H12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3" s="1" t="s">
        <v>38</v>
      </c>
      <c r="K12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3" s="1" t="s">
        <v>38</v>
      </c>
      <c r="M12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3" s="1" t="s">
        <v>38</v>
      </c>
      <c r="O12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3" s="1" t="s">
        <v>38</v>
      </c>
      <c r="Q12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3" s="1" t="s">
        <v>38</v>
      </c>
      <c r="S123" s="2" t="s">
        <v>2</v>
      </c>
      <c r="U123" s="1" t="s">
        <v>36</v>
      </c>
      <c r="V123" s="1" t="str">
        <f>IF(TRIM(CLEAN(A123))="","",_xlfn.TEXTBEFORE(_xlfn.TEXTAFTER(A123,"Unit "),"-"))</f>
        <v>5</v>
      </c>
      <c r="W123" s="1" t="str">
        <f>IF(TRIM(CLEAN(A123))="","",_xlfn.TEXTBEFORE(_xlfn.TEXTAFTER(A123,"-"),"-"))</f>
        <v>18</v>
      </c>
      <c r="X123" s="1" t="str">
        <f>IF(TRIM(CLEAN(A123))="","",_xlfn.TEXTAFTER(A123,"-",-1))</f>
        <v>0240</v>
      </c>
    </row>
    <row r="124" spans="1:24" x14ac:dyDescent="0.3">
      <c r="A124" s="96" t="s">
        <v>205</v>
      </c>
      <c r="B124" s="1" t="s">
        <v>34</v>
      </c>
      <c r="C124" s="3">
        <v>46128</v>
      </c>
      <c r="D124" s="3">
        <v>46142</v>
      </c>
      <c r="E124" s="1">
        <f ca="1">IF(DMRB5[[#This Row],[Move_out ]]="","",TODAY()-DMRB5[[#This Row],[Move_out ]])</f>
        <v>-31</v>
      </c>
      <c r="F124" s="90"/>
      <c r="G124" s="1" t="str">
        <f ca="1">IF(DMRB5[[#This Row],[Move_in]]="","",TODAY()-DMRB5[[#This Row],[Move_in]])</f>
        <v/>
      </c>
      <c r="H12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4" s="1" t="s">
        <v>38</v>
      </c>
      <c r="K12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4" s="1" t="s">
        <v>38</v>
      </c>
      <c r="M12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4" s="1" t="s">
        <v>38</v>
      </c>
      <c r="O12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4" s="1" t="s">
        <v>38</v>
      </c>
      <c r="Q12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4" s="1" t="s">
        <v>38</v>
      </c>
      <c r="S124" s="90"/>
      <c r="U124" s="1" t="s">
        <v>36</v>
      </c>
      <c r="V124" s="1" t="str">
        <f>IF(TRIM(CLEAN(A124))="","",_xlfn.TEXTBEFORE(_xlfn.TEXTAFTER(A124,"Unit "),"-"))</f>
        <v>8</v>
      </c>
      <c r="W124" s="1" t="str">
        <f>IF(TRIM(CLEAN(A124))="","",_xlfn.TEXTBEFORE(_xlfn.TEXTAFTER(A124,"-"),"-"))</f>
        <v>01</v>
      </c>
      <c r="X124" s="1" t="str">
        <f>IF(TRIM(CLEAN(A124))="","",_xlfn.TEXTAFTER(A124,"-",-1))</f>
        <v>3011</v>
      </c>
    </row>
    <row r="125" spans="1:24" x14ac:dyDescent="0.3">
      <c r="A125" s="88" t="s">
        <v>156</v>
      </c>
      <c r="B125" s="1" t="s">
        <v>34</v>
      </c>
      <c r="C125" s="3">
        <v>46131</v>
      </c>
      <c r="D125" s="3">
        <v>46144</v>
      </c>
      <c r="E125" s="1">
        <f ca="1">IF(DMRB5[[#This Row],[Move_out ]]="","",TODAY()-DMRB5[[#This Row],[Move_out ]])</f>
        <v>-34</v>
      </c>
      <c r="F125" s="2"/>
      <c r="G125" s="1" t="str">
        <f ca="1">IF(DMRB5[[#This Row],[Move_in]]="","",TODAY()-DMRB5[[#This Row],[Move_in]])</f>
        <v/>
      </c>
      <c r="H12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5" s="1" t="s">
        <v>38</v>
      </c>
      <c r="K12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5" s="1" t="s">
        <v>38</v>
      </c>
      <c r="M12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5" s="1" t="s">
        <v>38</v>
      </c>
      <c r="O12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5" s="1" t="s">
        <v>38</v>
      </c>
      <c r="Q12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5" s="1" t="s">
        <v>38</v>
      </c>
      <c r="S125" s="2" t="s">
        <v>42</v>
      </c>
      <c r="U125" s="1" t="s">
        <v>36</v>
      </c>
      <c r="V125" s="1" t="str">
        <f>IF(TRIM(CLEAN(A125))="","",_xlfn.TEXTBEFORE(_xlfn.TEXTAFTER(A125,"Unit "),"-"))</f>
        <v>8</v>
      </c>
      <c r="W125" s="1" t="str">
        <f>IF(TRIM(CLEAN(A125))="","",_xlfn.TEXTBEFORE(_xlfn.TEXTAFTER(A125,"-"),"-"))</f>
        <v>01</v>
      </c>
      <c r="X125" s="1" t="str">
        <f>IF(TRIM(CLEAN(A125))="","",_xlfn.TEXTAFTER(A125,"-",-1))</f>
        <v>4017</v>
      </c>
    </row>
    <row r="126" spans="1:24" x14ac:dyDescent="0.3">
      <c r="A126" s="94" t="s">
        <v>186</v>
      </c>
      <c r="B126" s="1" t="s">
        <v>34</v>
      </c>
      <c r="C126" s="3">
        <v>46131</v>
      </c>
      <c r="D126" s="3">
        <v>46144</v>
      </c>
      <c r="E126" s="1">
        <f ca="1">IF(DMRB5[[#This Row],[Move_out ]]="","",TODAY()-DMRB5[[#This Row],[Move_out ]])</f>
        <v>-34</v>
      </c>
      <c r="F126" s="90"/>
      <c r="G126" s="1" t="str">
        <f ca="1">IF(DMRB5[[#This Row],[Move_in]]="","",TODAY()-DMRB5[[#This Row],[Move_in]])</f>
        <v/>
      </c>
      <c r="H12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6" s="1" t="s">
        <v>38</v>
      </c>
      <c r="K12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6" s="1" t="s">
        <v>38</v>
      </c>
      <c r="M12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6" s="1" t="s">
        <v>38</v>
      </c>
      <c r="O12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6" s="1" t="s">
        <v>38</v>
      </c>
      <c r="Q12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6" s="1" t="s">
        <v>38</v>
      </c>
      <c r="S126" s="90"/>
      <c r="U126" s="1" t="s">
        <v>36</v>
      </c>
      <c r="V126" s="1" t="str">
        <f>IF(TRIM(CLEAN(A126))="","",_xlfn.TEXTBEFORE(_xlfn.TEXTAFTER(A126,"Unit "),"-"))</f>
        <v>7</v>
      </c>
      <c r="W126" s="1" t="str">
        <f>IF(TRIM(CLEAN(A126))="","",_xlfn.TEXTBEFORE(_xlfn.TEXTAFTER(A126,"-"),"-"))</f>
        <v>04</v>
      </c>
      <c r="X126" s="1" t="str">
        <f>IF(TRIM(CLEAN(A126))="","",_xlfn.TEXTAFTER(A126,"-",-1))</f>
        <v>0308</v>
      </c>
    </row>
    <row r="127" spans="1:24" x14ac:dyDescent="0.3">
      <c r="A127" s="94" t="s">
        <v>187</v>
      </c>
      <c r="B127" s="1" t="s">
        <v>34</v>
      </c>
      <c r="C127" s="3">
        <v>46133</v>
      </c>
      <c r="D127" s="3">
        <v>46147</v>
      </c>
      <c r="E127" s="1">
        <f ca="1">IF(DMRB5[[#This Row],[Move_out ]]="","",TODAY()-DMRB5[[#This Row],[Move_out ]])</f>
        <v>-36</v>
      </c>
      <c r="F127" s="90"/>
      <c r="G127" s="1" t="str">
        <f ca="1">IF(DMRB5[[#This Row],[Move_in]]="","",TODAY()-DMRB5[[#This Row],[Move_in]])</f>
        <v/>
      </c>
      <c r="H12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7" s="1" t="s">
        <v>38</v>
      </c>
      <c r="K12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7" s="1" t="s">
        <v>38</v>
      </c>
      <c r="M12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7" s="1" t="s">
        <v>38</v>
      </c>
      <c r="O12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7" s="1" t="s">
        <v>38</v>
      </c>
      <c r="Q12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7" s="1" t="s">
        <v>38</v>
      </c>
      <c r="S127" s="2" t="s">
        <v>2</v>
      </c>
      <c r="U127" s="1" t="s">
        <v>36</v>
      </c>
      <c r="V127" s="1" t="str">
        <f>IF(TRIM(CLEAN(A127))="","",_xlfn.TEXTBEFORE(_xlfn.TEXTAFTER(A127,"Unit "),"-"))</f>
        <v>5</v>
      </c>
      <c r="W127" s="1" t="str">
        <f>IF(TRIM(CLEAN(A127))="","",_xlfn.TEXTBEFORE(_xlfn.TEXTAFTER(A127,"-"),"-"))</f>
        <v>10</v>
      </c>
      <c r="X127" s="1" t="str">
        <f>IF(TRIM(CLEAN(A127))="","",_xlfn.TEXTAFTER(A127,"-",-1))</f>
        <v>0303</v>
      </c>
    </row>
    <row r="128" spans="1:24" x14ac:dyDescent="0.3">
      <c r="A128" s="88" t="s">
        <v>157</v>
      </c>
      <c r="B128" s="1" t="s">
        <v>34</v>
      </c>
      <c r="C128" s="3">
        <v>46135</v>
      </c>
      <c r="D128" s="3">
        <v>46149</v>
      </c>
      <c r="E128" s="1">
        <f ca="1">IF(DMRB5[[#This Row],[Move_out ]]="","",TODAY()-DMRB5[[#This Row],[Move_out ]])</f>
        <v>-38</v>
      </c>
      <c r="F128" s="2"/>
      <c r="G128" s="1" t="str">
        <f ca="1">IF(DMRB5[[#This Row],[Move_in]]="","",TODAY()-DMRB5[[#This Row],[Move_in]])</f>
        <v/>
      </c>
      <c r="H12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8" s="1" t="s">
        <v>38</v>
      </c>
      <c r="K12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8" s="1" t="s">
        <v>38</v>
      </c>
      <c r="M12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8" s="1" t="s">
        <v>38</v>
      </c>
      <c r="O12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8" s="1" t="s">
        <v>38</v>
      </c>
      <c r="Q12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8" s="1" t="s">
        <v>38</v>
      </c>
      <c r="S128" s="2" t="s">
        <v>2</v>
      </c>
      <c r="U128" s="1" t="s">
        <v>36</v>
      </c>
      <c r="V128" s="1" t="str">
        <f>IF(TRIM(CLEAN(A128))="","",_xlfn.TEXTBEFORE(_xlfn.TEXTAFTER(A128,"Unit "),"-"))</f>
        <v>5</v>
      </c>
      <c r="W128" s="1" t="str">
        <f>IF(TRIM(CLEAN(A128))="","",_xlfn.TEXTBEFORE(_xlfn.TEXTAFTER(A128,"-"),"-"))</f>
        <v>16</v>
      </c>
      <c r="X128" s="1" t="str">
        <f>IF(TRIM(CLEAN(A128))="","",_xlfn.TEXTAFTER(A128,"-",-1))</f>
        <v>0203</v>
      </c>
    </row>
    <row r="129" spans="1:24" x14ac:dyDescent="0.3">
      <c r="A129" s="95" t="s">
        <v>195</v>
      </c>
      <c r="B129" s="1" t="s">
        <v>34</v>
      </c>
      <c r="C129" s="3">
        <v>46135</v>
      </c>
      <c r="D129" s="3">
        <v>46149</v>
      </c>
      <c r="E129" s="1">
        <f ca="1">IF(DMRB5[[#This Row],[Move_out ]]="","",TODAY()-DMRB5[[#This Row],[Move_out ]])</f>
        <v>-38</v>
      </c>
      <c r="F129" s="90"/>
      <c r="G129" s="1" t="str">
        <f ca="1">IF(DMRB5[[#This Row],[Move_in]]="","",TODAY()-DMRB5[[#This Row],[Move_in]])</f>
        <v/>
      </c>
      <c r="H12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9" s="1" t="s">
        <v>38</v>
      </c>
      <c r="K12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9" s="1" t="s">
        <v>38</v>
      </c>
      <c r="M12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9" s="1" t="s">
        <v>38</v>
      </c>
      <c r="O12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9" s="1" t="s">
        <v>38</v>
      </c>
      <c r="Q12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9" s="1" t="s">
        <v>38</v>
      </c>
      <c r="S129" s="90"/>
      <c r="U129" s="1" t="s">
        <v>36</v>
      </c>
      <c r="V129" s="1" t="str">
        <f>IF(TRIM(CLEAN(A129))="","",_xlfn.TEXTBEFORE(_xlfn.TEXTAFTER(A129,"Unit "),"-"))</f>
        <v>8</v>
      </c>
      <c r="W129" s="1" t="str">
        <f>IF(TRIM(CLEAN(A129))="","",_xlfn.TEXTBEFORE(_xlfn.TEXTAFTER(A129,"-"),"-"))</f>
        <v>01</v>
      </c>
      <c r="X129" s="1" t="str">
        <f>IF(TRIM(CLEAN(A129))="","",_xlfn.TEXTAFTER(A129,"-",-1))</f>
        <v>2045</v>
      </c>
    </row>
    <row r="130" spans="1:24" x14ac:dyDescent="0.3">
      <c r="A130" s="95" t="s">
        <v>196</v>
      </c>
      <c r="B130" s="1" t="s">
        <v>34</v>
      </c>
      <c r="C130" s="3">
        <v>46138</v>
      </c>
      <c r="D130" s="3">
        <v>46151</v>
      </c>
      <c r="E130" s="1">
        <f ca="1">IF(DMRB5[[#This Row],[Move_out ]]="","",TODAY()-DMRB5[[#This Row],[Move_out ]])</f>
        <v>-41</v>
      </c>
      <c r="F130" s="90"/>
      <c r="G130" s="1" t="str">
        <f ca="1">IF(DMRB5[[#This Row],[Move_in]]="","",TODAY()-DMRB5[[#This Row],[Move_in]])</f>
        <v/>
      </c>
      <c r="H13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3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30" s="1" t="s">
        <v>38</v>
      </c>
      <c r="K13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30" s="1" t="s">
        <v>38</v>
      </c>
      <c r="M13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30" s="1" t="s">
        <v>38</v>
      </c>
      <c r="O13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30" s="1" t="s">
        <v>38</v>
      </c>
      <c r="Q13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30" s="1" t="s">
        <v>38</v>
      </c>
      <c r="S130" s="90"/>
      <c r="U130" s="1" t="s">
        <v>36</v>
      </c>
      <c r="V130" s="1" t="str">
        <f>IF(TRIM(CLEAN(A130))="","",_xlfn.TEXTBEFORE(_xlfn.TEXTAFTER(A130,"Unit "),"-"))</f>
        <v>7</v>
      </c>
      <c r="W130" s="1" t="str">
        <f>IF(TRIM(CLEAN(A130))="","",_xlfn.TEXTBEFORE(_xlfn.TEXTAFTER(A130,"-"),"-"))</f>
        <v>10</v>
      </c>
      <c r="X130" s="1" t="str">
        <f>IF(TRIM(CLEAN(A130))="","",_xlfn.TEXTAFTER(A130,"-",-1))</f>
        <v>0301</v>
      </c>
    </row>
    <row r="131" spans="1:24" x14ac:dyDescent="0.3">
      <c r="A131" s="88" t="s">
        <v>158</v>
      </c>
      <c r="B131" s="1" t="s">
        <v>34</v>
      </c>
      <c r="C131" s="3">
        <v>46139</v>
      </c>
      <c r="D131" s="3">
        <v>46151</v>
      </c>
      <c r="E131" s="1">
        <f ca="1">IF(DMRB5[[#This Row],[Move_out ]]="","",TODAY()-DMRB5[[#This Row],[Move_out ]])</f>
        <v>-42</v>
      </c>
      <c r="F131" s="2"/>
      <c r="G131" s="1" t="str">
        <f ca="1">IF(DMRB5[[#This Row],[Move_in]]="","",TODAY()-DMRB5[[#This Row],[Move_in]])</f>
        <v/>
      </c>
      <c r="H13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3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31" s="1" t="s">
        <v>38</v>
      </c>
      <c r="K13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31" s="1" t="s">
        <v>38</v>
      </c>
      <c r="M13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31" s="1" t="s">
        <v>38</v>
      </c>
      <c r="O13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31" s="1" t="s">
        <v>38</v>
      </c>
      <c r="Q13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31" s="1" t="s">
        <v>38</v>
      </c>
      <c r="S131" s="2" t="s">
        <v>39</v>
      </c>
      <c r="U131" s="1" t="s">
        <v>36</v>
      </c>
      <c r="V131" s="1" t="str">
        <f>IF(TRIM(CLEAN(A131))="","",_xlfn.TEXTBEFORE(_xlfn.TEXTAFTER(A131,"Unit "),"-"))</f>
        <v>7</v>
      </c>
      <c r="W131" s="1" t="str">
        <f>IF(TRIM(CLEAN(A131))="","",_xlfn.TEXTBEFORE(_xlfn.TEXTAFTER(A131,"-"),"-"))</f>
        <v>03</v>
      </c>
      <c r="X131" s="1" t="str">
        <f>IF(TRIM(CLEAN(A131))="","",_xlfn.TEXTAFTER(A131,"-",-1))</f>
        <v>0118</v>
      </c>
    </row>
    <row r="132" spans="1:24" x14ac:dyDescent="0.3">
      <c r="A132" s="94" t="s">
        <v>188</v>
      </c>
      <c r="B132" s="1" t="s">
        <v>34</v>
      </c>
      <c r="C132" s="3">
        <v>46139</v>
      </c>
      <c r="D132" s="3">
        <v>46151</v>
      </c>
      <c r="E132" s="1">
        <f ca="1">IF(DMRB5[[#This Row],[Move_out ]]="","",TODAY()-DMRB5[[#This Row],[Move_out ]])</f>
        <v>-42</v>
      </c>
      <c r="F132" s="90"/>
      <c r="G132" s="1" t="str">
        <f ca="1">IF(DMRB5[[#This Row],[Move_in]]="","",TODAY()-DMRB5[[#This Row],[Move_in]])</f>
        <v/>
      </c>
      <c r="H13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3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32" s="1" t="s">
        <v>38</v>
      </c>
      <c r="K13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32" s="1" t="s">
        <v>38</v>
      </c>
      <c r="M13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32" s="1" t="s">
        <v>38</v>
      </c>
      <c r="O13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32" s="1" t="s">
        <v>38</v>
      </c>
      <c r="Q13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32" s="1" t="s">
        <v>38</v>
      </c>
      <c r="S132" s="90"/>
      <c r="U132" s="1" t="s">
        <v>36</v>
      </c>
      <c r="V132" s="1" t="str">
        <f>IF(TRIM(CLEAN(A132))="","",_xlfn.TEXTBEFORE(_xlfn.TEXTAFTER(A132,"Unit "),"-"))</f>
        <v>8</v>
      </c>
      <c r="W132" s="1" t="str">
        <f>IF(TRIM(CLEAN(A132))="","",_xlfn.TEXTBEFORE(_xlfn.TEXTAFTER(A132,"-"),"-"))</f>
        <v>01</v>
      </c>
      <c r="X132" s="1" t="str">
        <f>IF(TRIM(CLEAN(A132))="","",_xlfn.TEXTAFTER(A132,"-",-1))</f>
        <v>4013</v>
      </c>
    </row>
    <row r="133" spans="1:24" x14ac:dyDescent="0.3">
      <c r="A133" s="95" t="s">
        <v>198</v>
      </c>
      <c r="B133" s="1" t="s">
        <v>34</v>
      </c>
      <c r="C133" s="3">
        <v>46139</v>
      </c>
      <c r="D133" s="3">
        <v>46151</v>
      </c>
      <c r="E133" s="1">
        <f ca="1">IF(DMRB5[[#This Row],[Move_out ]]="","",TODAY()-DMRB5[[#This Row],[Move_out ]])</f>
        <v>-42</v>
      </c>
      <c r="F133" s="90"/>
      <c r="G133" s="1" t="str">
        <f ca="1">IF(DMRB5[[#This Row],[Move_in]]="","",TODAY()-DMRB5[[#This Row],[Move_in]])</f>
        <v/>
      </c>
      <c r="H13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3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33" s="1" t="s">
        <v>38</v>
      </c>
      <c r="K13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33" s="1" t="s">
        <v>38</v>
      </c>
      <c r="M13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33" s="1" t="s">
        <v>38</v>
      </c>
      <c r="O13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33" s="1" t="s">
        <v>38</v>
      </c>
      <c r="Q13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33" s="1" t="s">
        <v>38</v>
      </c>
      <c r="S133" s="90"/>
      <c r="U133" s="1" t="s">
        <v>36</v>
      </c>
      <c r="V133" s="1" t="str">
        <f>IF(TRIM(CLEAN(A133))="","",_xlfn.TEXTBEFORE(_xlfn.TEXTAFTER(A133,"Unit "),"-"))</f>
        <v>7</v>
      </c>
      <c r="W133" s="1" t="str">
        <f>IF(TRIM(CLEAN(A133))="","",_xlfn.TEXTBEFORE(_xlfn.TEXTAFTER(A133,"-"),"-"))</f>
        <v>11</v>
      </c>
      <c r="X133" s="1" t="str">
        <f>IF(TRIM(CLEAN(A133))="","",_xlfn.TEXTAFTER(A133,"-",-1))</f>
        <v>0317</v>
      </c>
    </row>
    <row r="134" spans="1:24" x14ac:dyDescent="0.3">
      <c r="A134" s="95" t="s">
        <v>199</v>
      </c>
      <c r="B134" s="1" t="s">
        <v>34</v>
      </c>
      <c r="C134" s="3">
        <v>46139</v>
      </c>
      <c r="D134" s="3">
        <v>46151</v>
      </c>
      <c r="E134" s="1">
        <f ca="1">IF(DMRB5[[#This Row],[Move_out ]]="","",TODAY()-DMRB5[[#This Row],[Move_out ]])</f>
        <v>-42</v>
      </c>
      <c r="F134" s="90"/>
      <c r="G134" s="1" t="str">
        <f ca="1">IF(DMRB5[[#This Row],[Move_in]]="","",TODAY()-DMRB5[[#This Row],[Move_in]])</f>
        <v/>
      </c>
      <c r="H13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3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34" s="1" t="s">
        <v>38</v>
      </c>
      <c r="K13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34" s="1" t="s">
        <v>38</v>
      </c>
      <c r="M13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34" s="1" t="s">
        <v>38</v>
      </c>
      <c r="O13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34" s="1" t="s">
        <v>38</v>
      </c>
      <c r="Q13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34" s="1" t="s">
        <v>38</v>
      </c>
      <c r="S134" s="90"/>
      <c r="U134" s="1" t="s">
        <v>36</v>
      </c>
      <c r="V134" s="1" t="str">
        <f>IF(TRIM(CLEAN(A134))="","",_xlfn.TEXTBEFORE(_xlfn.TEXTAFTER(A134,"Unit "),"-"))</f>
        <v>8</v>
      </c>
      <c r="W134" s="1" t="str">
        <f>IF(TRIM(CLEAN(A134))="","",_xlfn.TEXTBEFORE(_xlfn.TEXTAFTER(A134,"-"),"-"))</f>
        <v>01</v>
      </c>
      <c r="X134" s="1" t="str">
        <f>IF(TRIM(CLEAN(A134))="","",_xlfn.TEXTAFTER(A134,"-",-1))</f>
        <v>4087</v>
      </c>
    </row>
    <row r="135" spans="1:24" x14ac:dyDescent="0.3">
      <c r="A135" s="88" t="s">
        <v>159</v>
      </c>
      <c r="B135" s="1" t="s">
        <v>34</v>
      </c>
      <c r="C135" s="3">
        <v>46140</v>
      </c>
      <c r="D135" s="3">
        <v>46154</v>
      </c>
      <c r="E135" s="1">
        <f ca="1">IF(DMRB5[[#This Row],[Move_out ]]="","",TODAY()-DMRB5[[#This Row],[Move_out ]])</f>
        <v>-43</v>
      </c>
      <c r="F135" s="2"/>
      <c r="G135" s="1" t="str">
        <f ca="1">IF(DMRB5[[#This Row],[Move_in]]="","",TODAY()-DMRB5[[#This Row],[Move_in]])</f>
        <v/>
      </c>
      <c r="H13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3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35" s="1" t="s">
        <v>38</v>
      </c>
      <c r="K13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35" s="1" t="s">
        <v>38</v>
      </c>
      <c r="M13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35" s="1" t="s">
        <v>38</v>
      </c>
      <c r="O13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35" s="1" t="s">
        <v>38</v>
      </c>
      <c r="Q13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35" s="1" t="s">
        <v>38</v>
      </c>
      <c r="S135" s="2" t="s">
        <v>42</v>
      </c>
      <c r="U135" s="1" t="s">
        <v>36</v>
      </c>
      <c r="V135" s="1" t="str">
        <f>IF(TRIM(CLEAN(A135))="","",_xlfn.TEXTBEFORE(_xlfn.TEXTAFTER(A135,"Unit "),"-"))</f>
        <v>8</v>
      </c>
      <c r="W135" s="1" t="str">
        <f>IF(TRIM(CLEAN(A135))="","",_xlfn.TEXTBEFORE(_xlfn.TEXTAFTER(A135,"-"),"-"))</f>
        <v>01</v>
      </c>
      <c r="X135" s="1" t="str">
        <f>IF(TRIM(CLEAN(A135))="","",_xlfn.TEXTAFTER(A135,"-",-1))</f>
        <v>2094</v>
      </c>
    </row>
    <row r="136" spans="1:24" x14ac:dyDescent="0.3">
      <c r="A136" s="95" t="s">
        <v>200</v>
      </c>
      <c r="B136" s="1" t="s">
        <v>34</v>
      </c>
      <c r="C136" s="3">
        <v>46140</v>
      </c>
      <c r="D136" s="3">
        <v>46154</v>
      </c>
      <c r="E136" s="1">
        <f ca="1">IF(DMRB5[[#This Row],[Move_out ]]="","",TODAY()-DMRB5[[#This Row],[Move_out ]])</f>
        <v>-43</v>
      </c>
      <c r="F136" s="90"/>
      <c r="G136" s="1" t="str">
        <f ca="1">IF(DMRB5[[#This Row],[Move_in]]="","",TODAY()-DMRB5[[#This Row],[Move_in]])</f>
        <v/>
      </c>
      <c r="H13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3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36" s="1" t="s">
        <v>38</v>
      </c>
      <c r="K13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36" s="1" t="s">
        <v>38</v>
      </c>
      <c r="M13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36" s="1" t="s">
        <v>38</v>
      </c>
      <c r="O13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36" s="1" t="s">
        <v>38</v>
      </c>
      <c r="Q13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36" s="1" t="s">
        <v>38</v>
      </c>
      <c r="S136" s="2" t="s">
        <v>2</v>
      </c>
      <c r="U136" s="1" t="s">
        <v>36</v>
      </c>
      <c r="V136" s="1" t="str">
        <f>IF(TRIM(CLEAN(A136))="","",_xlfn.TEXTBEFORE(_xlfn.TEXTAFTER(A136,"Unit "),"-"))</f>
        <v>5</v>
      </c>
      <c r="W136" s="1" t="str">
        <f>IF(TRIM(CLEAN(A136))="","",_xlfn.TEXTBEFORE(_xlfn.TEXTAFTER(A136,"-"),"-"))</f>
        <v>13</v>
      </c>
      <c r="X136" s="1" t="str">
        <f>IF(TRIM(CLEAN(A136))="","",_xlfn.TEXTAFTER(A136,"-",-1))</f>
        <v>0307</v>
      </c>
    </row>
    <row r="137" spans="1:24" x14ac:dyDescent="0.3">
      <c r="A137" s="96" t="s">
        <v>206</v>
      </c>
      <c r="B137" s="1" t="s">
        <v>34</v>
      </c>
      <c r="C137" s="3">
        <v>46141</v>
      </c>
      <c r="D137" s="3">
        <v>46155</v>
      </c>
      <c r="E137" s="1">
        <f ca="1">IF(DMRB5[[#This Row],[Move_out ]]="","",TODAY()-DMRB5[[#This Row],[Move_out ]])</f>
        <v>-44</v>
      </c>
      <c r="F137" s="90"/>
      <c r="G137" s="1" t="str">
        <f ca="1">IF(DMRB5[[#This Row],[Move_in]]="","",TODAY()-DMRB5[[#This Row],[Move_in]])</f>
        <v/>
      </c>
      <c r="H13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3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37" s="1" t="s">
        <v>38</v>
      </c>
      <c r="K13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37" s="1" t="s">
        <v>38</v>
      </c>
      <c r="M13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37" s="1" t="s">
        <v>38</v>
      </c>
      <c r="O13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37" s="1" t="s">
        <v>38</v>
      </c>
      <c r="Q13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37" s="1" t="s">
        <v>38</v>
      </c>
      <c r="S137" s="2" t="s">
        <v>2</v>
      </c>
      <c r="U137" s="1" t="s">
        <v>36</v>
      </c>
      <c r="V137" s="1" t="str">
        <f>IF(TRIM(CLEAN(A137))="","",_xlfn.TEXTBEFORE(_xlfn.TEXTAFTER(A137,"Unit "),"-"))</f>
        <v>5</v>
      </c>
      <c r="W137" s="1" t="str">
        <f>IF(TRIM(CLEAN(A137))="","",_xlfn.TEXTBEFORE(_xlfn.TEXTAFTER(A137,"-"),"-"))</f>
        <v>17</v>
      </c>
      <c r="X137" s="1" t="str">
        <f>IF(TRIM(CLEAN(A137))="","",_xlfn.TEXTAFTER(A137,"-",-1))</f>
        <v>0101</v>
      </c>
    </row>
    <row r="138" spans="1:24" x14ac:dyDescent="0.3">
      <c r="A138" s="88" t="s">
        <v>160</v>
      </c>
      <c r="B138" s="1" t="s">
        <v>34</v>
      </c>
      <c r="C138" s="3">
        <v>46153</v>
      </c>
      <c r="D138" s="3">
        <v>46165</v>
      </c>
      <c r="E138" s="1">
        <f ca="1">IF(DMRB5[[#This Row],[Move_out ]]="","",TODAY()-DMRB5[[#This Row],[Move_out ]])</f>
        <v>-56</v>
      </c>
      <c r="F138" s="2"/>
      <c r="G138" s="1" t="str">
        <f ca="1">IF(DMRB5[[#This Row],[Move_in]]="","",TODAY()-DMRB5[[#This Row],[Move_in]])</f>
        <v/>
      </c>
      <c r="H13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3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38" s="1" t="s">
        <v>38</v>
      </c>
      <c r="K13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38" s="1" t="s">
        <v>38</v>
      </c>
      <c r="M13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38" s="1" t="s">
        <v>38</v>
      </c>
      <c r="O13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38" s="1" t="s">
        <v>38</v>
      </c>
      <c r="Q13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38" s="1" t="s">
        <v>38</v>
      </c>
      <c r="S138" s="2" t="s">
        <v>39</v>
      </c>
      <c r="U138" s="1" t="s">
        <v>36</v>
      </c>
      <c r="V138" s="1" t="str">
        <f>IF(TRIM(CLEAN(A138))="","",_xlfn.TEXTBEFORE(_xlfn.TEXTAFTER(A138,"Unit "),"-"))</f>
        <v>7</v>
      </c>
      <c r="W138" s="1" t="str">
        <f>IF(TRIM(CLEAN(A138))="","",_xlfn.TEXTBEFORE(_xlfn.TEXTAFTER(A138,"-"),"-"))</f>
        <v>11</v>
      </c>
      <c r="X138" s="1" t="str">
        <f>IF(TRIM(CLEAN(A138))="","",_xlfn.TEXTAFTER(A138,"-",-1))</f>
        <v>0202</v>
      </c>
    </row>
    <row r="139" spans="1:24" x14ac:dyDescent="0.3">
      <c r="A139" s="91" t="s">
        <v>176</v>
      </c>
      <c r="B139" s="1" t="s">
        <v>34</v>
      </c>
      <c r="C139" s="3">
        <v>46164</v>
      </c>
      <c r="D139" s="3">
        <v>46178</v>
      </c>
      <c r="E139" s="1">
        <f ca="1">IF(DMRB5[[#This Row],[Move_out ]]="","",TODAY()-DMRB5[[#This Row],[Move_out ]])</f>
        <v>-67</v>
      </c>
      <c r="F139" s="90"/>
      <c r="G139" s="1" t="str">
        <f ca="1">IF(DMRB5[[#This Row],[Move_in]]="","",TODAY()-DMRB5[[#This Row],[Move_in]])</f>
        <v/>
      </c>
      <c r="H13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3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39" s="1" t="s">
        <v>38</v>
      </c>
      <c r="K13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39" s="1" t="s">
        <v>38</v>
      </c>
      <c r="M13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39" s="1" t="s">
        <v>38</v>
      </c>
      <c r="O13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39" s="1" t="s">
        <v>38</v>
      </c>
      <c r="Q13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39" s="1" t="s">
        <v>38</v>
      </c>
      <c r="S139" s="90"/>
      <c r="U139" s="1" t="s">
        <v>36</v>
      </c>
      <c r="V139" s="1" t="str">
        <f>IF(TRIM(CLEAN(A139))="","",_xlfn.TEXTBEFORE(_xlfn.TEXTAFTER(A139,"Unit "),"-"))</f>
        <v>7</v>
      </c>
      <c r="W139" s="1" t="str">
        <f>IF(TRIM(CLEAN(A139))="","",_xlfn.TEXTBEFORE(_xlfn.TEXTAFTER(A139,"-"),"-"))</f>
        <v>07</v>
      </c>
      <c r="X139" s="1" t="str">
        <f>IF(TRIM(CLEAN(A139))="","",_xlfn.TEXTAFTER(A139,"-",-1))</f>
        <v>0209</v>
      </c>
    </row>
    <row r="140" spans="1:24" x14ac:dyDescent="0.3">
      <c r="A140" s="88" t="s">
        <v>162</v>
      </c>
      <c r="B140" s="1" t="s">
        <v>34</v>
      </c>
      <c r="C140" s="3">
        <v>46174</v>
      </c>
      <c r="D140" s="3">
        <v>46186</v>
      </c>
      <c r="E140" s="1">
        <f ca="1">IF(DMRB5[[#This Row],[Move_out ]]="","",TODAY()-DMRB5[[#This Row],[Move_out ]])</f>
        <v>-77</v>
      </c>
      <c r="F140" s="2"/>
      <c r="G140" s="1" t="str">
        <f ca="1">IF(DMRB5[[#This Row],[Move_in]]="","",TODAY()-DMRB5[[#This Row],[Move_in]])</f>
        <v/>
      </c>
      <c r="H14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4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40" s="1" t="s">
        <v>38</v>
      </c>
      <c r="K14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40" s="1" t="s">
        <v>38</v>
      </c>
      <c r="M14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40" s="1" t="s">
        <v>38</v>
      </c>
      <c r="O14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40" s="1" t="s">
        <v>38</v>
      </c>
      <c r="Q14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40" s="1" t="s">
        <v>38</v>
      </c>
      <c r="S140" s="2" t="s">
        <v>39</v>
      </c>
      <c r="U140" s="1" t="s">
        <v>36</v>
      </c>
      <c r="V140" s="1" t="str">
        <f>IF(TRIM(CLEAN(A140))="","",_xlfn.TEXTBEFORE(_xlfn.TEXTAFTER(A140,"Unit "),"-"))</f>
        <v>7</v>
      </c>
      <c r="W140" s="1" t="str">
        <f>IF(TRIM(CLEAN(A140))="","",_xlfn.TEXTBEFORE(_xlfn.TEXTAFTER(A140,"-"),"-"))</f>
        <v>04</v>
      </c>
      <c r="X140" s="1" t="str">
        <f>IF(TRIM(CLEAN(A140))="","",_xlfn.TEXTAFTER(A140,"-",-1))</f>
        <v>0201</v>
      </c>
    </row>
    <row r="141" spans="1:24" x14ac:dyDescent="0.3">
      <c r="A141" s="98" t="s">
        <v>202</v>
      </c>
      <c r="B141" s="1" t="s">
        <v>34</v>
      </c>
      <c r="C141" s="3">
        <v>46085</v>
      </c>
      <c r="D141" s="3">
        <v>46099</v>
      </c>
      <c r="E141" s="1">
        <f ca="1">IF(DMRB5[[#This Row],[Move_out ]]="","",TODAY()-DMRB5[[#This Row],[Move_out ]])</f>
        <v>12</v>
      </c>
      <c r="F141" s="90"/>
      <c r="G141" s="1" t="str">
        <f ca="1">IF(DMRB5[[#This Row],[Move_in]]="","",TODAY()-DMRB5[[#This Row],[Move_in]])</f>
        <v/>
      </c>
      <c r="H14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14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4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4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4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4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41" s="90"/>
      <c r="V141" s="1" t="str">
        <f>IF(TRIM(CLEAN(A141))="","",_xlfn.TEXTBEFORE(_xlfn.TEXTAFTER(A141,"Unit "),"-"))</f>
        <v>5</v>
      </c>
      <c r="W141" s="1" t="str">
        <f>IF(TRIM(CLEAN(A141))="","",_xlfn.TEXTBEFORE(_xlfn.TEXTAFTER(A141,"-"),"-"))</f>
        <v>03</v>
      </c>
      <c r="X141" s="1" t="str">
        <f>IF(TRIM(CLEAN(A141))="","",_xlfn.TEXTAFTER(A141,"-",-1))</f>
        <v>0327</v>
      </c>
    </row>
    <row r="142" spans="1:24" x14ac:dyDescent="0.3">
      <c r="A142" s="98" t="s">
        <v>203</v>
      </c>
      <c r="B142" s="1" t="s">
        <v>34</v>
      </c>
      <c r="C142" s="3">
        <v>46109</v>
      </c>
      <c r="D142" s="3">
        <v>46123</v>
      </c>
      <c r="E142" s="1">
        <f ca="1">IF(DMRB5[[#This Row],[Move_out ]]="","",TODAY()-DMRB5[[#This Row],[Move_out ]])</f>
        <v>-12</v>
      </c>
      <c r="F142" s="90"/>
      <c r="G142" s="1" t="str">
        <f ca="1">IF(DMRB5[[#This Row],[Move_in]]="","",TODAY()-DMRB5[[#This Row],[Move_in]])</f>
        <v/>
      </c>
      <c r="H14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4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4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4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4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4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42" s="90"/>
      <c r="V142" s="1" t="str">
        <f>IF(TRIM(CLEAN(A142))="","",_xlfn.TEXTBEFORE(_xlfn.TEXTAFTER(A142,"Unit "),"-"))</f>
        <v>8</v>
      </c>
      <c r="W142" s="1" t="str">
        <f>IF(TRIM(CLEAN(A142))="","",_xlfn.TEXTBEFORE(_xlfn.TEXTAFTER(A142,"-"),"-"))</f>
        <v>01</v>
      </c>
      <c r="X142" s="1" t="str">
        <f>IF(TRIM(CLEAN(A142))="","",_xlfn.TEXTAFTER(A142,"-",-1))</f>
        <v>3053</v>
      </c>
    </row>
    <row r="143" spans="1:24" x14ac:dyDescent="0.3">
      <c r="A143" s="98" t="s">
        <v>205</v>
      </c>
      <c r="B143" s="1" t="s">
        <v>34</v>
      </c>
      <c r="C143" s="3">
        <v>46128</v>
      </c>
      <c r="D143" s="3">
        <v>46142</v>
      </c>
      <c r="E143" s="1">
        <f ca="1">IF(DMRB5[[#This Row],[Move_out ]]="","",TODAY()-DMRB5[[#This Row],[Move_out ]])</f>
        <v>-31</v>
      </c>
      <c r="F143" s="90"/>
      <c r="G143" s="1" t="str">
        <f ca="1">IF(DMRB5[[#This Row],[Move_in]]="","",TODAY()-DMRB5[[#This Row],[Move_in]])</f>
        <v/>
      </c>
      <c r="H14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4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4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4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4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4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43" s="90"/>
      <c r="V143" s="1" t="str">
        <f>IF(TRIM(CLEAN(A143))="","",_xlfn.TEXTBEFORE(_xlfn.TEXTAFTER(A143,"Unit "),"-"))</f>
        <v>8</v>
      </c>
      <c r="W143" s="1" t="str">
        <f>IF(TRIM(CLEAN(A143))="","",_xlfn.TEXTBEFORE(_xlfn.TEXTAFTER(A143,"-"),"-"))</f>
        <v>01</v>
      </c>
      <c r="X143" s="1" t="str">
        <f>IF(TRIM(CLEAN(A143))="","",_xlfn.TEXTAFTER(A143,"-",-1))</f>
        <v>3011</v>
      </c>
    </row>
    <row r="144" spans="1:24" x14ac:dyDescent="0.3">
      <c r="A144" s="98" t="s">
        <v>206</v>
      </c>
      <c r="B144" s="1" t="s">
        <v>34</v>
      </c>
      <c r="C144" s="3">
        <v>46141</v>
      </c>
      <c r="D144" s="3">
        <v>46155</v>
      </c>
      <c r="E144" s="1">
        <f ca="1">IF(DMRB5[[#This Row],[Move_out ]]="","",TODAY()-DMRB5[[#This Row],[Move_out ]])</f>
        <v>-44</v>
      </c>
      <c r="F144" s="90"/>
      <c r="G144" s="1" t="str">
        <f ca="1">IF(DMRB5[[#This Row],[Move_in]]="","",TODAY()-DMRB5[[#This Row],[Move_in]])</f>
        <v/>
      </c>
      <c r="H14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4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4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4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4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4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44" s="90"/>
      <c r="V144" s="1" t="str">
        <f>IF(TRIM(CLEAN(A144))="","",_xlfn.TEXTBEFORE(_xlfn.TEXTAFTER(A144,"Unit "),"-"))</f>
        <v>5</v>
      </c>
      <c r="W144" s="1" t="str">
        <f>IF(TRIM(CLEAN(A144))="","",_xlfn.TEXTBEFORE(_xlfn.TEXTAFTER(A144,"-"),"-"))</f>
        <v>17</v>
      </c>
      <c r="X144" s="1" t="str">
        <f>IF(TRIM(CLEAN(A144))="","",_xlfn.TEXTAFTER(A144,"-",-1))</f>
        <v>0101</v>
      </c>
    </row>
    <row r="145" spans="1:24" x14ac:dyDescent="0.3">
      <c r="A145" s="99" t="s">
        <v>211</v>
      </c>
      <c r="B145" s="1" t="s">
        <v>41</v>
      </c>
      <c r="C145" s="3">
        <v>46026</v>
      </c>
      <c r="D145" s="3">
        <v>46041</v>
      </c>
      <c r="E145" s="1">
        <f ca="1">IF(DMRB5[[#This Row],[Move_out ]]="","",TODAY()-DMRB5[[#This Row],[Move_out ]])</f>
        <v>71</v>
      </c>
      <c r="F145" s="90"/>
      <c r="G145" s="1" t="str">
        <f ca="1">IF(DMRB5[[#This Row],[Move_in]]="","",TODAY()-DMRB5[[#This Row],[Move_in]])</f>
        <v/>
      </c>
      <c r="H14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14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4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4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4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4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45" s="90"/>
      <c r="V145" s="1" t="str">
        <f>IF(TRIM(CLEAN(A145))="","",_xlfn.TEXTBEFORE(_xlfn.TEXTAFTER(A145,"Unit "),"-"))</f>
        <v>7</v>
      </c>
      <c r="W145" s="1" t="str">
        <f>IF(TRIM(CLEAN(A145))="","",_xlfn.TEXTBEFORE(_xlfn.TEXTAFTER(A145,"-"),"-"))</f>
        <v>09</v>
      </c>
      <c r="X145" s="1" t="str">
        <f>IF(TRIM(CLEAN(A145))="","",_xlfn.TEXTAFTER(A145,"-",-1))</f>
        <v>0111</v>
      </c>
    </row>
    <row r="146" spans="1:24" x14ac:dyDescent="0.3">
      <c r="A146" s="99" t="s">
        <v>212</v>
      </c>
      <c r="B146" s="1" t="s">
        <v>34</v>
      </c>
      <c r="C146" s="3">
        <v>46109</v>
      </c>
      <c r="D146" s="3">
        <v>46123</v>
      </c>
      <c r="E146" s="1">
        <f ca="1">IF(DMRB5[[#This Row],[Move_out ]]="","",TODAY()-DMRB5[[#This Row],[Move_out ]])</f>
        <v>-12</v>
      </c>
      <c r="F146" s="90"/>
      <c r="G146" s="1" t="str">
        <f ca="1">IF(DMRB5[[#This Row],[Move_in]]="","",TODAY()-DMRB5[[#This Row],[Move_in]])</f>
        <v/>
      </c>
      <c r="H14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4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4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4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4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4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46" s="90"/>
      <c r="V146" s="1" t="str">
        <f>IF(TRIM(CLEAN(A146))="","",_xlfn.TEXTBEFORE(_xlfn.TEXTAFTER(A146,"Unit "),"-"))</f>
        <v>7</v>
      </c>
      <c r="W146" s="1" t="str">
        <f>IF(TRIM(CLEAN(A146))="","",_xlfn.TEXTBEFORE(_xlfn.TEXTAFTER(A146,"-"),"-"))</f>
        <v>11</v>
      </c>
      <c r="X146" s="1" t="str">
        <f>IF(TRIM(CLEAN(A146))="","",_xlfn.TEXTAFTER(A146,"-",-1))</f>
        <v>0407</v>
      </c>
    </row>
    <row r="147" spans="1:24" x14ac:dyDescent="0.3">
      <c r="A147" s="99" t="s">
        <v>213</v>
      </c>
      <c r="B147" s="1" t="s">
        <v>34</v>
      </c>
      <c r="C147" s="3">
        <v>46126</v>
      </c>
      <c r="D147" s="3">
        <v>46140</v>
      </c>
      <c r="E147" s="1">
        <f ca="1">IF(DMRB5[[#This Row],[Move_out ]]="","",TODAY()-DMRB5[[#This Row],[Move_out ]])</f>
        <v>-29</v>
      </c>
      <c r="F147" s="90"/>
      <c r="G147" s="1" t="str">
        <f ca="1">IF(DMRB5[[#This Row],[Move_in]]="","",TODAY()-DMRB5[[#This Row],[Move_in]])</f>
        <v/>
      </c>
      <c r="H14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4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4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4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4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4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47" s="90"/>
      <c r="V147" s="1" t="str">
        <f>IF(TRIM(CLEAN(A147))="","",_xlfn.TEXTBEFORE(_xlfn.TEXTAFTER(A147,"Unit "),"-"))</f>
        <v>5</v>
      </c>
      <c r="W147" s="1" t="str">
        <f>IF(TRIM(CLEAN(A147))="","",_xlfn.TEXTBEFORE(_xlfn.TEXTAFTER(A147,"-"),"-"))</f>
        <v>03</v>
      </c>
      <c r="X147" s="1" t="str">
        <f>IF(TRIM(CLEAN(A147))="","",_xlfn.TEXTAFTER(A147,"-",-1))</f>
        <v>0230</v>
      </c>
    </row>
    <row r="148" spans="1:24" x14ac:dyDescent="0.3">
      <c r="A148" s="99" t="s">
        <v>214</v>
      </c>
      <c r="B148" s="1" t="s">
        <v>34</v>
      </c>
      <c r="C148" s="3">
        <v>46128</v>
      </c>
      <c r="D148" s="3">
        <v>46142</v>
      </c>
      <c r="E148" s="1">
        <f ca="1">IF(DMRB5[[#This Row],[Move_out ]]="","",TODAY()-DMRB5[[#This Row],[Move_out ]])</f>
        <v>-31</v>
      </c>
      <c r="F148" s="90"/>
      <c r="G148" s="1" t="str">
        <f ca="1">IF(DMRB5[[#This Row],[Move_in]]="","",TODAY()-DMRB5[[#This Row],[Move_in]])</f>
        <v/>
      </c>
      <c r="H14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4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4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4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4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4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48" s="90"/>
      <c r="V148" s="1" t="str">
        <f>IF(TRIM(CLEAN(A148))="","",_xlfn.TEXTBEFORE(_xlfn.TEXTAFTER(A148,"Unit "),"-"))</f>
        <v>5</v>
      </c>
      <c r="W148" s="1" t="str">
        <f>IF(TRIM(CLEAN(A148))="","",_xlfn.TEXTBEFORE(_xlfn.TEXTAFTER(A148,"-"),"-"))</f>
        <v>16</v>
      </c>
      <c r="X148" s="1" t="str">
        <f>IF(TRIM(CLEAN(A148))="","",_xlfn.TEXTAFTER(A148,"-",-1))</f>
        <v>0207</v>
      </c>
    </row>
    <row r="149" spans="1:24" x14ac:dyDescent="0.3">
      <c r="A149" s="99" t="s">
        <v>215</v>
      </c>
      <c r="B149" s="1" t="s">
        <v>34</v>
      </c>
      <c r="C149" s="3">
        <v>46132</v>
      </c>
      <c r="D149" s="3">
        <v>46144</v>
      </c>
      <c r="E149" s="1">
        <f ca="1">IF(DMRB5[[#This Row],[Move_out ]]="","",TODAY()-DMRB5[[#This Row],[Move_out ]])</f>
        <v>-35</v>
      </c>
      <c r="F149" s="90"/>
      <c r="G149" s="1" t="str">
        <f ca="1">IF(DMRB5[[#This Row],[Move_in]]="","",TODAY()-DMRB5[[#This Row],[Move_in]])</f>
        <v/>
      </c>
      <c r="H14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4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4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4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4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4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49" s="90"/>
      <c r="V149" s="1" t="str">
        <f>IF(TRIM(CLEAN(A149))="","",_xlfn.TEXTBEFORE(_xlfn.TEXTAFTER(A149,"Unit "),"-"))</f>
        <v>8</v>
      </c>
      <c r="W149" s="1" t="str">
        <f>IF(TRIM(CLEAN(A149))="","",_xlfn.TEXTBEFORE(_xlfn.TEXTAFTER(A149,"-"),"-"))</f>
        <v>01</v>
      </c>
      <c r="X149" s="1" t="str">
        <f>IF(TRIM(CLEAN(A149))="","",_xlfn.TEXTAFTER(A149,"-",-1))</f>
        <v>1120</v>
      </c>
    </row>
    <row r="150" spans="1:24" x14ac:dyDescent="0.3">
      <c r="A150" s="99" t="s">
        <v>216</v>
      </c>
      <c r="B150" s="1" t="s">
        <v>34</v>
      </c>
      <c r="C150" s="3">
        <v>46136</v>
      </c>
      <c r="D150" s="3">
        <v>46150</v>
      </c>
      <c r="E150" s="1">
        <f ca="1">IF(DMRB5[[#This Row],[Move_out ]]="","",TODAY()-DMRB5[[#This Row],[Move_out ]])</f>
        <v>-39</v>
      </c>
      <c r="F150" s="90"/>
      <c r="G150" s="1" t="str">
        <f ca="1">IF(DMRB5[[#This Row],[Move_in]]="","",TODAY()-DMRB5[[#This Row],[Move_in]])</f>
        <v/>
      </c>
      <c r="H15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5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5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5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5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5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50" s="90"/>
      <c r="V150" s="1" t="str">
        <f>IF(TRIM(CLEAN(A150))="","",_xlfn.TEXTBEFORE(_xlfn.TEXTAFTER(A150,"Unit "),"-"))</f>
        <v>8</v>
      </c>
      <c r="W150" s="1" t="str">
        <f>IF(TRIM(CLEAN(A150))="","",_xlfn.TEXTBEFORE(_xlfn.TEXTAFTER(A150,"-"),"-"))</f>
        <v>01</v>
      </c>
      <c r="X150" s="1" t="str">
        <f>IF(TRIM(CLEAN(A150))="","",_xlfn.TEXTAFTER(A150,"-",-1))</f>
        <v>4037</v>
      </c>
    </row>
    <row r="151" spans="1:24" x14ac:dyDescent="0.3">
      <c r="A151" s="99" t="s">
        <v>217</v>
      </c>
      <c r="B151" s="1" t="s">
        <v>34</v>
      </c>
      <c r="C151" s="3">
        <v>46145</v>
      </c>
      <c r="D151" s="3">
        <v>46158</v>
      </c>
      <c r="E151" s="1">
        <f ca="1">IF(DMRB5[[#This Row],[Move_out ]]="","",TODAY()-DMRB5[[#This Row],[Move_out ]])</f>
        <v>-48</v>
      </c>
      <c r="F151" s="90"/>
      <c r="G151" s="1" t="str">
        <f ca="1">IF(DMRB5[[#This Row],[Move_in]]="","",TODAY()-DMRB5[[#This Row],[Move_in]])</f>
        <v/>
      </c>
      <c r="H15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5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5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5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5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5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51" s="90"/>
      <c r="V151" s="1" t="str">
        <f>IF(TRIM(CLEAN(A151))="","",_xlfn.TEXTBEFORE(_xlfn.TEXTAFTER(A151,"Unit "),"-"))</f>
        <v>7</v>
      </c>
      <c r="W151" s="1" t="str">
        <f>IF(TRIM(CLEAN(A151))="","",_xlfn.TEXTBEFORE(_xlfn.TEXTAFTER(A151,"-"),"-"))</f>
        <v>03</v>
      </c>
      <c r="X151" s="1" t="str">
        <f>IF(TRIM(CLEAN(A151))="","",_xlfn.TEXTAFTER(A151,"-",-1))</f>
        <v>0213</v>
      </c>
    </row>
    <row r="152" spans="1:24" x14ac:dyDescent="0.3">
      <c r="A152" s="99" t="s">
        <v>218</v>
      </c>
      <c r="B152" s="1" t="s">
        <v>34</v>
      </c>
      <c r="C152" s="3">
        <v>46146</v>
      </c>
      <c r="D152" s="3">
        <v>46158</v>
      </c>
      <c r="E152" s="1">
        <f ca="1">IF(DMRB5[[#This Row],[Move_out ]]="","",TODAY()-DMRB5[[#This Row],[Move_out ]])</f>
        <v>-49</v>
      </c>
      <c r="F152" s="90"/>
      <c r="G152" s="1" t="str">
        <f ca="1">IF(DMRB5[[#This Row],[Move_in]]="","",TODAY()-DMRB5[[#This Row],[Move_in]])</f>
        <v/>
      </c>
      <c r="H15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5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5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5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5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5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52" s="90"/>
      <c r="V152" s="1" t="str">
        <f>IF(TRIM(CLEAN(A152))="","",_xlfn.TEXTBEFORE(_xlfn.TEXTAFTER(A152,"Unit "),"-"))</f>
        <v>8</v>
      </c>
      <c r="W152" s="1" t="str">
        <f>IF(TRIM(CLEAN(A152))="","",_xlfn.TEXTBEFORE(_xlfn.TEXTAFTER(A152,"-"),"-"))</f>
        <v>01</v>
      </c>
      <c r="X152" s="1" t="str">
        <f>IF(TRIM(CLEAN(A152))="","",_xlfn.TEXTAFTER(A152,"-",-1))</f>
        <v>3035</v>
      </c>
    </row>
    <row r="153" spans="1:24" x14ac:dyDescent="0.3">
      <c r="A153" s="99" t="s">
        <v>219</v>
      </c>
      <c r="B153" s="1" t="s">
        <v>34</v>
      </c>
      <c r="C153" s="3">
        <v>46148</v>
      </c>
      <c r="D153" s="3">
        <v>46162</v>
      </c>
      <c r="E153" s="1">
        <f ca="1">IF(DMRB5[[#This Row],[Move_out ]]="","",TODAY()-DMRB5[[#This Row],[Move_out ]])</f>
        <v>-51</v>
      </c>
      <c r="F153" s="90"/>
      <c r="G153" s="1" t="str">
        <f ca="1">IF(DMRB5[[#This Row],[Move_in]]="","",TODAY()-DMRB5[[#This Row],[Move_in]])</f>
        <v/>
      </c>
      <c r="H15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5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5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5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5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5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53" s="90"/>
      <c r="V153" s="1" t="str">
        <f>IF(TRIM(CLEAN(A153))="","",_xlfn.TEXTBEFORE(_xlfn.TEXTAFTER(A153,"Unit "),"-"))</f>
        <v>8</v>
      </c>
      <c r="W153" s="1" t="str">
        <f>IF(TRIM(CLEAN(A153))="","",_xlfn.TEXTBEFORE(_xlfn.TEXTAFTER(A153,"-"),"-"))</f>
        <v>01</v>
      </c>
      <c r="X153" s="1" t="str">
        <f>IF(TRIM(CLEAN(A153))="","",_xlfn.TEXTAFTER(A153,"-",-1))</f>
        <v>3114</v>
      </c>
    </row>
    <row r="154" spans="1:24" x14ac:dyDescent="0.3">
      <c r="A154" s="99" t="s">
        <v>220</v>
      </c>
      <c r="B154" s="1" t="s">
        <v>34</v>
      </c>
      <c r="C154" s="3">
        <v>46150</v>
      </c>
      <c r="D154" s="3">
        <v>46164</v>
      </c>
      <c r="E154" s="1">
        <f ca="1">IF(DMRB5[[#This Row],[Move_out ]]="","",TODAY()-DMRB5[[#This Row],[Move_out ]])</f>
        <v>-53</v>
      </c>
      <c r="F154" s="90"/>
      <c r="G154" s="1" t="str">
        <f ca="1">IF(DMRB5[[#This Row],[Move_in]]="","",TODAY()-DMRB5[[#This Row],[Move_in]])</f>
        <v/>
      </c>
      <c r="H15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5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5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5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5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5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54" s="90"/>
      <c r="V154" s="1" t="str">
        <f>IF(TRIM(CLEAN(A154))="","",_xlfn.TEXTBEFORE(_xlfn.TEXTAFTER(A154,"Unit "),"-"))</f>
        <v>5</v>
      </c>
      <c r="W154" s="1" t="str">
        <f>IF(TRIM(CLEAN(A154))="","",_xlfn.TEXTBEFORE(_xlfn.TEXTAFTER(A154,"-"),"-"))</f>
        <v>02</v>
      </c>
      <c r="X154" s="1" t="str">
        <f>IF(TRIM(CLEAN(A154))="","",_xlfn.TEXTAFTER(A154,"-",-1))</f>
        <v>0214</v>
      </c>
    </row>
    <row r="155" spans="1:24" x14ac:dyDescent="0.3">
      <c r="A155" s="99" t="s">
        <v>221</v>
      </c>
      <c r="B155" s="1" t="s">
        <v>34</v>
      </c>
      <c r="C155" s="3">
        <v>46154</v>
      </c>
      <c r="D155" s="3">
        <v>46168</v>
      </c>
      <c r="E155" s="1">
        <f ca="1">IF(DMRB5[[#This Row],[Move_out ]]="","",TODAY()-DMRB5[[#This Row],[Move_out ]])</f>
        <v>-57</v>
      </c>
      <c r="F155" s="90"/>
      <c r="G155" s="1" t="str">
        <f ca="1">IF(DMRB5[[#This Row],[Move_in]]="","",TODAY()-DMRB5[[#This Row],[Move_in]])</f>
        <v/>
      </c>
      <c r="H15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5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5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5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5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5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55" s="90"/>
      <c r="V155" s="1" t="str">
        <f>IF(TRIM(CLEAN(A155))="","",_xlfn.TEXTBEFORE(_xlfn.TEXTAFTER(A155,"Unit "),"-"))</f>
        <v>7</v>
      </c>
      <c r="W155" s="1" t="str">
        <f>IF(TRIM(CLEAN(A155))="","",_xlfn.TEXTBEFORE(_xlfn.TEXTAFTER(A155,"-"),"-"))</f>
        <v>03</v>
      </c>
      <c r="X155" s="1" t="str">
        <f>IF(TRIM(CLEAN(A155))="","",_xlfn.TEXTAFTER(A155,"-",-1))</f>
        <v>0310</v>
      </c>
    </row>
    <row r="156" spans="1:24" x14ac:dyDescent="0.3">
      <c r="A156" s="99" t="s">
        <v>222</v>
      </c>
      <c r="B156" s="1" t="s">
        <v>34</v>
      </c>
      <c r="C156" s="3">
        <v>46157</v>
      </c>
      <c r="D156" s="3">
        <v>46171</v>
      </c>
      <c r="E156" s="1">
        <f ca="1">IF(DMRB5[[#This Row],[Move_out ]]="","",TODAY()-DMRB5[[#This Row],[Move_out ]])</f>
        <v>-60</v>
      </c>
      <c r="F156" s="90"/>
      <c r="G156" s="1" t="str">
        <f ca="1">IF(DMRB5[[#This Row],[Move_in]]="","",TODAY()-DMRB5[[#This Row],[Move_in]])</f>
        <v/>
      </c>
      <c r="H15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5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5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5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5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5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56" s="90"/>
      <c r="V156" s="1" t="str">
        <f>IF(TRIM(CLEAN(A156))="","",_xlfn.TEXTBEFORE(_xlfn.TEXTAFTER(A156,"Unit "),"-"))</f>
        <v>7</v>
      </c>
      <c r="W156" s="1" t="str">
        <f>IF(TRIM(CLEAN(A156))="","",_xlfn.TEXTBEFORE(_xlfn.TEXTAFTER(A156,"-"),"-"))</f>
        <v>11</v>
      </c>
      <c r="X156" s="1" t="str">
        <f>IF(TRIM(CLEAN(A156))="","",_xlfn.TEXTAFTER(A156,"-",-1))</f>
        <v>0212</v>
      </c>
    </row>
    <row r="157" spans="1:24" x14ac:dyDescent="0.3">
      <c r="A157" s="99" t="s">
        <v>223</v>
      </c>
      <c r="B157" s="1" t="s">
        <v>34</v>
      </c>
      <c r="C157" s="3">
        <v>46167</v>
      </c>
      <c r="D157" s="3">
        <v>46179</v>
      </c>
      <c r="E157" s="1">
        <f ca="1">IF(DMRB5[[#This Row],[Move_out ]]="","",TODAY()-DMRB5[[#This Row],[Move_out ]])</f>
        <v>-70</v>
      </c>
      <c r="F157" s="90"/>
      <c r="G157" s="1" t="str">
        <f ca="1">IF(DMRB5[[#This Row],[Move_in]]="","",TODAY()-DMRB5[[#This Row],[Move_in]])</f>
        <v/>
      </c>
      <c r="H15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5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5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M15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O15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Q15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S157" s="90"/>
      <c r="V157" s="1" t="str">
        <f>IF(TRIM(CLEAN(A157))="","",_xlfn.TEXTBEFORE(_xlfn.TEXTAFTER(A157,"Unit "),"-"))</f>
        <v>5</v>
      </c>
      <c r="W157" s="1" t="str">
        <f>IF(TRIM(CLEAN(A157))="","",_xlfn.TEXTBEFORE(_xlfn.TEXTAFTER(A157,"-"),"-"))</f>
        <v>18</v>
      </c>
      <c r="X157" s="1" t="str">
        <f>IF(TRIM(CLEAN(A157))="","",_xlfn.TEXTAFTER(A157,"-",-1))</f>
        <v>0114</v>
      </c>
    </row>
  </sheetData>
  <phoneticPr fontId="25" type="noConversion"/>
  <dataValidations count="5">
    <dataValidation type="list" allowBlank="1" showInputMessage="1" showErrorMessage="1" sqref="B1 N2:N157 L2:L157 J2:J157 P2:P157 R2:R157" xr:uid="{5FDD7C31-C6D1-3E42-9F16-1EE2D9DA2334}">
      <formula1>TS</formula1>
    </dataValidation>
    <dataValidation type="list" allowBlank="1" showInputMessage="1" showErrorMessage="1" sqref="T97:T98 T2:T49" xr:uid="{4669EDF1-171E-F441-8ADB-B1D6C390AB07}">
      <formula1>W_D</formula1>
    </dataValidation>
    <dataValidation type="list" allowBlank="1" showInputMessage="1" showErrorMessage="1" sqref="B2:B157" xr:uid="{5A41FC8D-2F04-AD43-8DC4-C383ACF876D8}">
      <formula1>Status</formula1>
    </dataValidation>
    <dataValidation type="list" allowBlank="1" showInputMessage="1" showErrorMessage="1" sqref="U2:U157" xr:uid="{FBC45699-2895-5242-866F-682F54A7B232}">
      <formula1>QC</formula1>
    </dataValidation>
    <dataValidation type="list" allowBlank="1" showInputMessage="1" showErrorMessage="1" sqref="S2:S157" xr:uid="{8EB731CD-1A3B-3D4F-A8B4-D77D9D619382}">
      <formula1>Assign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4935-E292-5944-8A73-0303E2A1390B}">
  <dimension ref="A1:H34"/>
  <sheetViews>
    <sheetView workbookViewId="0">
      <selection activeCell="C1" sqref="C1:C1048576"/>
    </sheetView>
  </sheetViews>
  <sheetFormatPr defaultColWidth="10.69921875" defaultRowHeight="15.6" x14ac:dyDescent="0.3"/>
  <cols>
    <col min="1" max="1" width="18" style="1" customWidth="1"/>
    <col min="2" max="2" width="20.5" style="1" customWidth="1"/>
    <col min="3" max="3" width="28.19921875" style="1" customWidth="1"/>
    <col min="4" max="4" width="25.19921875" style="1" customWidth="1"/>
    <col min="5" max="5" width="16.69921875" style="1" customWidth="1"/>
    <col min="6" max="6" width="27.296875" style="1" customWidth="1"/>
    <col min="7" max="7" width="18.69921875" style="1" customWidth="1"/>
    <col min="8" max="8" width="14.296875" bestFit="1" customWidth="1"/>
    <col min="9" max="9" width="14.69921875" bestFit="1" customWidth="1"/>
    <col min="10" max="10" width="10.5" bestFit="1" customWidth="1"/>
    <col min="11" max="11" width="11" bestFit="1" customWidth="1"/>
    <col min="12" max="12" width="4.19921875" bestFit="1" customWidth="1"/>
    <col min="13" max="13" width="10.5" bestFit="1" customWidth="1"/>
    <col min="14" max="14" width="5.69921875" bestFit="1" customWidth="1"/>
    <col min="15" max="15" width="12.19921875" bestFit="1" customWidth="1"/>
    <col min="16" max="18" width="10.5" bestFit="1" customWidth="1"/>
    <col min="19" max="19" width="11.19921875" bestFit="1" customWidth="1"/>
    <col min="20" max="25" width="10.5" bestFit="1" customWidth="1"/>
    <col min="26" max="26" width="8.19921875" bestFit="1" customWidth="1"/>
    <col min="27" max="27" width="9" bestFit="1" customWidth="1"/>
    <col min="28" max="28" width="3.796875" bestFit="1" customWidth="1"/>
    <col min="29" max="29" width="2.19921875" bestFit="1" customWidth="1"/>
    <col min="30" max="30" width="4.296875" bestFit="1" customWidth="1"/>
    <col min="31" max="31" width="5.19921875" bestFit="1" customWidth="1"/>
    <col min="32" max="32" width="33.796875" bestFit="1" customWidth="1"/>
    <col min="33" max="33" width="9" bestFit="1" customWidth="1"/>
    <col min="34" max="34" width="16.296875" bestFit="1" customWidth="1"/>
    <col min="35" max="35" width="16.796875" bestFit="1" customWidth="1"/>
    <col min="36" max="36" width="9" bestFit="1" customWidth="1"/>
    <col min="37" max="37" width="15.296875" bestFit="1" customWidth="1"/>
    <col min="38" max="38" width="16.296875" bestFit="1" customWidth="1"/>
    <col min="39" max="39" width="17.19921875" bestFit="1" customWidth="1"/>
    <col min="40" max="40" width="14.5" bestFit="1" customWidth="1"/>
    <col min="41" max="41" width="16.69921875" bestFit="1" customWidth="1"/>
    <col min="42" max="42" width="10.796875" bestFit="1" customWidth="1"/>
    <col min="43" max="43" width="14.296875" bestFit="1" customWidth="1"/>
    <col min="44" max="44" width="7" bestFit="1" customWidth="1"/>
    <col min="45" max="45" width="12.5" bestFit="1" customWidth="1"/>
    <col min="46" max="46" width="16.5" bestFit="1" customWidth="1"/>
    <col min="47" max="47" width="24.5" bestFit="1" customWidth="1"/>
    <col min="48" max="48" width="14.796875" bestFit="1" customWidth="1"/>
    <col min="49" max="49" width="21.796875" bestFit="1" customWidth="1"/>
    <col min="50" max="50" width="15.5" bestFit="1" customWidth="1"/>
    <col min="51" max="52" width="13.296875" bestFit="1" customWidth="1"/>
    <col min="53" max="54" width="17.69921875" bestFit="1" customWidth="1"/>
    <col min="55" max="55" width="35.69921875" bestFit="1" customWidth="1"/>
    <col min="56" max="56" width="13.296875" bestFit="1" customWidth="1"/>
    <col min="57" max="57" width="9.69921875" bestFit="1" customWidth="1"/>
    <col min="58" max="58" width="19.5" bestFit="1" customWidth="1"/>
    <col min="59" max="59" width="14.5" bestFit="1" customWidth="1"/>
    <col min="60" max="60" width="47.69921875" bestFit="1" customWidth="1"/>
    <col min="61" max="61" width="20.796875" bestFit="1" customWidth="1"/>
    <col min="62" max="62" width="21.5" bestFit="1" customWidth="1"/>
    <col min="63" max="63" width="20.296875" bestFit="1" customWidth="1"/>
    <col min="64" max="64" width="34.19921875" bestFit="1" customWidth="1"/>
    <col min="65" max="65" width="18" bestFit="1" customWidth="1"/>
    <col min="66" max="66" width="15.69921875" bestFit="1" customWidth="1"/>
    <col min="67" max="67" width="17" bestFit="1" customWidth="1"/>
    <col min="68" max="68" width="18.296875" bestFit="1" customWidth="1"/>
    <col min="69" max="69" width="22.19921875" bestFit="1" customWidth="1"/>
    <col min="70" max="70" width="50.296875" bestFit="1" customWidth="1"/>
  </cols>
  <sheetData>
    <row r="1" spans="1:8" x14ac:dyDescent="0.3">
      <c r="A1" s="34" t="e" cm="1" vm="1">
        <f t="array" aca="1" ref="A1" ca="1">_xlfn._xlws.PY(0,1,DMRB5[])</f>
        <v>#VALUE!</v>
      </c>
      <c r="B1" s="34" t="e" cm="1" vm="1">
        <f t="array" aca="1" ref="B1" ca="1">_xlfn._xlws.PY(1,1,Core_Facts)</f>
        <v>#VALUE!</v>
      </c>
      <c r="C1" s="34" t="e" cm="1" vm="1">
        <f t="array" aca="1" ref="C1" ca="1">_xlfn._xlws.PY(2,0,Intelligence_Layer)</f>
        <v>#VALUE!</v>
      </c>
      <c r="D1" s="34"/>
      <c r="E1" s="34"/>
      <c r="F1" s="34"/>
      <c r="G1" s="34"/>
      <c r="H1" s="34"/>
    </row>
    <row r="3" spans="1:8" x14ac:dyDescent="0.3">
      <c r="A3"/>
      <c r="B3"/>
    </row>
    <row r="6" spans="1:8" x14ac:dyDescent="0.3">
      <c r="C6" s="34"/>
    </row>
    <row r="32" spans="3:3" x14ac:dyDescent="0.3">
      <c r="C32" s="34"/>
    </row>
    <row r="33" spans="3:3" x14ac:dyDescent="0.3">
      <c r="C33" s="34"/>
    </row>
    <row r="34" spans="3:3" x14ac:dyDescent="0.3">
      <c r="C34" s="34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E389-0888-7548-982B-E02EB1F1E4FB}">
  <dimension ref="A1:X45"/>
  <sheetViews>
    <sheetView topLeftCell="A3" zoomScale="80" zoomScaleNormal="80" workbookViewId="0">
      <selection activeCell="R4" sqref="R4"/>
    </sheetView>
  </sheetViews>
  <sheetFormatPr defaultColWidth="10.796875" defaultRowHeight="15.6" x14ac:dyDescent="0.3"/>
  <cols>
    <col min="1" max="1" width="2.5" style="1" customWidth="1"/>
    <col min="2" max="2" width="15" style="38" customWidth="1"/>
    <col min="3" max="3" width="16.796875" style="36" customWidth="1"/>
    <col min="4" max="4" width="11.19921875" style="36" bestFit="1" customWidth="1"/>
    <col min="5" max="5" width="11" style="36" customWidth="1"/>
    <col min="6" max="6" width="22.69921875" style="39" customWidth="1"/>
    <col min="7" max="7" width="3.19921875" style="1" customWidth="1"/>
    <col min="8" max="8" width="14.296875" style="38" bestFit="1" customWidth="1"/>
    <col min="9" max="9" width="11.5" style="36" customWidth="1"/>
    <col min="10" max="10" width="19" style="36" customWidth="1"/>
    <col min="11" max="11" width="22.796875" style="85" customWidth="1"/>
    <col min="12" max="12" width="16.296875" style="39" bestFit="1" customWidth="1"/>
    <col min="13" max="13" width="4" style="1" customWidth="1"/>
    <col min="14" max="14" width="21.796875" style="1" customWidth="1"/>
    <col min="15" max="15" width="21.5" style="1" customWidth="1"/>
    <col min="16" max="16" width="23.19921875" style="1" customWidth="1"/>
    <col min="17" max="17" width="3.296875" style="1" customWidth="1"/>
    <col min="18" max="18" width="37.296875" style="1" customWidth="1"/>
    <col min="19" max="19" width="37" style="1" customWidth="1"/>
    <col min="20" max="20" width="39.296875" style="1" customWidth="1"/>
    <col min="21" max="21" width="35.796875" style="1" bestFit="1" customWidth="1"/>
    <col min="22" max="22" width="37" style="1" bestFit="1" customWidth="1"/>
    <col min="23" max="23" width="38.796875" style="1" customWidth="1"/>
    <col min="24" max="24" width="15" style="1" bestFit="1" customWidth="1"/>
    <col min="25" max="16384" width="10.796875" style="1"/>
  </cols>
  <sheetData>
    <row r="1" spans="1:24" s="50" customFormat="1" x14ac:dyDescent="0.3">
      <c r="A1" s="35"/>
      <c r="B1" s="35"/>
      <c r="C1" s="35"/>
      <c r="D1" s="35"/>
      <c r="E1" s="35"/>
      <c r="K1" s="49"/>
    </row>
    <row r="2" spans="1:24" ht="16.2" thickBot="1" x14ac:dyDescent="0.35">
      <c r="B2" s="1"/>
      <c r="C2" s="1"/>
      <c r="D2" s="1"/>
      <c r="E2" s="1"/>
      <c r="F2" s="1"/>
      <c r="H2" s="1"/>
      <c r="I2" s="1"/>
      <c r="J2" s="1"/>
      <c r="K2"/>
      <c r="L2" s="1"/>
    </row>
    <row r="3" spans="1:24" ht="25.05" customHeight="1" thickBot="1" x14ac:dyDescent="0.5">
      <c r="B3" s="46" t="s">
        <v>29</v>
      </c>
      <c r="C3" s="46" t="s">
        <v>52</v>
      </c>
      <c r="D3" s="82" t="s">
        <v>106</v>
      </c>
      <c r="E3" s="107" t="s">
        <v>54</v>
      </c>
      <c r="F3" s="108"/>
      <c r="G3" s="51"/>
      <c r="H3" s="46" t="s">
        <v>29</v>
      </c>
      <c r="I3" s="48" t="s">
        <v>52</v>
      </c>
      <c r="J3" s="83" t="s">
        <v>106</v>
      </c>
      <c r="K3" s="111" t="s">
        <v>55</v>
      </c>
      <c r="L3" s="112"/>
      <c r="O3" s="44" t="s">
        <v>103</v>
      </c>
      <c r="P3" s="38">
        <f>$B$6</f>
        <v>0</v>
      </c>
      <c r="R3" s="46" t="s">
        <v>29</v>
      </c>
      <c r="S3" s="46" t="s">
        <v>52</v>
      </c>
      <c r="T3" s="101" t="s">
        <v>105</v>
      </c>
      <c r="U3" s="102"/>
      <c r="V3" s="103"/>
    </row>
    <row r="4" spans="1:24" ht="16.95" customHeight="1" thickBot="1" x14ac:dyDescent="0.35">
      <c r="B4" s="44" t="s">
        <v>118</v>
      </c>
      <c r="C4" s="44" t="s">
        <v>32</v>
      </c>
      <c r="D4" s="54" t="s">
        <v>32</v>
      </c>
      <c r="E4" s="109"/>
      <c r="F4" s="110"/>
      <c r="G4" s="51"/>
      <c r="H4" s="40" t="s">
        <v>118</v>
      </c>
      <c r="I4" s="41" t="s">
        <v>32</v>
      </c>
      <c r="J4" s="54" t="s">
        <v>32</v>
      </c>
      <c r="K4" s="113"/>
      <c r="L4" s="114"/>
      <c r="R4" s="44" t="s">
        <v>5</v>
      </c>
      <c r="S4" s="44" t="s">
        <v>32</v>
      </c>
      <c r="T4" s="104"/>
      <c r="U4" s="105"/>
      <c r="V4" s="106"/>
    </row>
    <row r="5" spans="1:24" x14ac:dyDescent="0.3">
      <c r="B5" s="45" t="e" cm="1" vm="1">
        <f t="array" aca="1" ref="B5" ca="1">_xlfn._xlws.PY(3,0,C4,B4,D4)</f>
        <v>#VALUE!</v>
      </c>
      <c r="C5" s="42"/>
      <c r="D5" s="42"/>
      <c r="E5" s="42"/>
      <c r="F5" s="43"/>
      <c r="H5" s="47" t="e" cm="1" vm="1">
        <f t="array" aca="1" ref="H5" ca="1">_xlfn._xlws.PY(4,0,I4,H4,J4)</f>
        <v>#VALUE!</v>
      </c>
      <c r="I5" s="37"/>
      <c r="J5" s="42"/>
      <c r="K5" s="84"/>
      <c r="L5" s="43"/>
      <c r="N5" s="55" t="e" cm="1" vm="1">
        <f t="array" aca="1" ref="N5" ca="1">_xlfn._xlws.PY(5,0,P3)</f>
        <v>#VALUE!</v>
      </c>
      <c r="O5" s="56"/>
      <c r="P5" s="57"/>
      <c r="R5" s="73" t="e" cm="1" vm="1">
        <f t="array" aca="1" ref="R5" ca="1">_xlfn._xlws.PY(6,0,S4,R4)</f>
        <v>#VALUE!</v>
      </c>
      <c r="S5" s="73"/>
      <c r="T5" s="73"/>
      <c r="U5" s="73"/>
      <c r="V5" s="73"/>
      <c r="W5" s="73"/>
      <c r="X5" s="73"/>
    </row>
    <row r="6" spans="1:24" x14ac:dyDescent="0.3">
      <c r="N6" s="58"/>
      <c r="P6" s="59"/>
    </row>
    <row r="7" spans="1:24" x14ac:dyDescent="0.3">
      <c r="N7" s="60"/>
      <c r="O7" s="52"/>
      <c r="P7" s="61"/>
    </row>
    <row r="8" spans="1:24" ht="16.2" thickBot="1" x14ac:dyDescent="0.35">
      <c r="N8" s="58"/>
      <c r="P8" s="59"/>
    </row>
    <row r="9" spans="1:24" ht="16.2" thickBot="1" x14ac:dyDescent="0.35">
      <c r="N9" s="44"/>
      <c r="P9" s="59"/>
    </row>
    <row r="10" spans="1:24" ht="16.2" thickBot="1" x14ac:dyDescent="0.35">
      <c r="N10" s="58"/>
      <c r="P10" s="59"/>
    </row>
    <row r="11" spans="1:24" ht="16.2" thickBot="1" x14ac:dyDescent="0.35">
      <c r="N11" s="67"/>
      <c r="O11" s="68"/>
      <c r="P11" s="69"/>
    </row>
    <row r="12" spans="1:24" ht="16.2" thickBot="1" x14ac:dyDescent="0.35">
      <c r="N12" s="58"/>
      <c r="P12" s="59"/>
      <c r="R12" s="73" t="e" cm="1" vm="1">
        <f t="array" aca="1" ref="R12" ca="1">_xlfn._xlws.PY(7,0,S4,R4)</f>
        <v>#VALUE!</v>
      </c>
      <c r="S12" s="73"/>
      <c r="T12" s="73"/>
      <c r="U12" s="73"/>
      <c r="V12" s="73"/>
      <c r="W12" s="73"/>
    </row>
    <row r="13" spans="1:24" x14ac:dyDescent="0.3">
      <c r="N13" s="65"/>
      <c r="P13" s="65"/>
    </row>
    <row r="14" spans="1:24" ht="16.2" thickBot="1" x14ac:dyDescent="0.35">
      <c r="N14" s="66"/>
      <c r="P14" s="66"/>
    </row>
    <row r="15" spans="1:24" ht="16.2" thickBot="1" x14ac:dyDescent="0.35">
      <c r="N15" s="58"/>
      <c r="P15" s="59"/>
    </row>
    <row r="16" spans="1:24" ht="16.2" thickBot="1" x14ac:dyDescent="0.35">
      <c r="N16" s="58"/>
      <c r="O16" s="44"/>
      <c r="P16" s="59"/>
    </row>
    <row r="17" spans="14:16" ht="16.2" thickBot="1" x14ac:dyDescent="0.35">
      <c r="N17" s="58"/>
      <c r="P17" s="59"/>
    </row>
    <row r="18" spans="14:16" ht="16.2" thickBot="1" x14ac:dyDescent="0.35">
      <c r="N18" s="44"/>
      <c r="P18" s="44"/>
    </row>
    <row r="19" spans="14:16" ht="16.2" thickBot="1" x14ac:dyDescent="0.35">
      <c r="N19" s="58"/>
      <c r="P19" s="59"/>
    </row>
    <row r="20" spans="14:16" x14ac:dyDescent="0.3">
      <c r="N20" s="58"/>
      <c r="O20" s="65"/>
      <c r="P20" s="59"/>
    </row>
    <row r="21" spans="14:16" ht="16.2" thickBot="1" x14ac:dyDescent="0.35">
      <c r="N21" s="58"/>
      <c r="O21" s="66"/>
      <c r="P21" s="59"/>
    </row>
    <row r="22" spans="14:16" ht="16.2" thickBot="1" x14ac:dyDescent="0.35">
      <c r="N22" s="58"/>
      <c r="P22" s="59"/>
    </row>
    <row r="23" spans="14:16" x14ac:dyDescent="0.3">
      <c r="N23" s="65"/>
      <c r="P23" s="65"/>
    </row>
    <row r="24" spans="14:16" ht="16.2" thickBot="1" x14ac:dyDescent="0.35">
      <c r="N24" s="70"/>
      <c r="P24" s="66"/>
    </row>
    <row r="25" spans="14:16" x14ac:dyDescent="0.3">
      <c r="N25" s="58"/>
      <c r="P25" s="59"/>
    </row>
    <row r="26" spans="14:16" x14ac:dyDescent="0.3">
      <c r="N26" s="60"/>
      <c r="O26" s="52"/>
      <c r="P26" s="61"/>
    </row>
    <row r="27" spans="14:16" x14ac:dyDescent="0.3">
      <c r="N27" s="58"/>
      <c r="P27" s="59"/>
    </row>
    <row r="28" spans="14:16" x14ac:dyDescent="0.3">
      <c r="N28" s="60"/>
      <c r="O28" s="52"/>
      <c r="P28" s="61"/>
    </row>
    <row r="29" spans="14:16" x14ac:dyDescent="0.3">
      <c r="N29" s="58"/>
      <c r="P29" s="59"/>
    </row>
    <row r="30" spans="14:16" x14ac:dyDescent="0.3">
      <c r="N30" s="58"/>
      <c r="P30" s="59"/>
    </row>
    <row r="31" spans="14:16" ht="16.2" thickBot="1" x14ac:dyDescent="0.35">
      <c r="N31" s="58"/>
      <c r="P31" s="59"/>
    </row>
    <row r="32" spans="14:16" x14ac:dyDescent="0.3">
      <c r="N32" s="65"/>
      <c r="O32" s="65"/>
      <c r="P32" s="65"/>
    </row>
    <row r="33" spans="2:22" x14ac:dyDescent="0.3">
      <c r="N33" s="71"/>
      <c r="O33" s="71"/>
      <c r="P33" s="71"/>
    </row>
    <row r="34" spans="2:22" x14ac:dyDescent="0.3">
      <c r="N34" s="71"/>
      <c r="O34" s="71"/>
      <c r="P34" s="71"/>
    </row>
    <row r="35" spans="2:22" x14ac:dyDescent="0.3">
      <c r="N35" s="71"/>
      <c r="O35" s="71"/>
      <c r="P35" s="71"/>
    </row>
    <row r="36" spans="2:22" ht="16.2" thickBot="1" x14ac:dyDescent="0.35">
      <c r="N36" s="66"/>
      <c r="O36" s="66"/>
      <c r="P36" s="66"/>
    </row>
    <row r="37" spans="2:22" x14ac:dyDescent="0.3">
      <c r="N37" s="58"/>
      <c r="P37" s="59"/>
    </row>
    <row r="38" spans="2:22" x14ac:dyDescent="0.3">
      <c r="N38" s="60"/>
      <c r="O38" s="52"/>
      <c r="P38" s="61"/>
    </row>
    <row r="39" spans="2:22" x14ac:dyDescent="0.3">
      <c r="N39" s="58"/>
      <c r="P39" s="59"/>
    </row>
    <row r="40" spans="2:22" x14ac:dyDescent="0.3">
      <c r="N40" s="60"/>
      <c r="O40" s="52"/>
      <c r="P40" s="61"/>
    </row>
    <row r="41" spans="2:22" ht="16.05" customHeight="1" x14ac:dyDescent="0.3">
      <c r="N41" s="72"/>
      <c r="P41" s="59"/>
    </row>
    <row r="42" spans="2:22" x14ac:dyDescent="0.3">
      <c r="N42" s="58"/>
      <c r="P42" s="59"/>
    </row>
    <row r="43" spans="2:22" s="79" customFormat="1" ht="16.95" customHeight="1" x14ac:dyDescent="0.3">
      <c r="B43" s="76"/>
      <c r="C43" s="77"/>
      <c r="D43" s="77"/>
      <c r="E43" s="77"/>
      <c r="F43" s="78"/>
      <c r="H43" s="76"/>
      <c r="I43" s="77"/>
      <c r="J43" s="77"/>
      <c r="K43" s="86"/>
      <c r="L43" s="78"/>
      <c r="N43" s="80"/>
      <c r="P43" s="81"/>
      <c r="R43" s="87"/>
      <c r="S43" s="87"/>
      <c r="T43" s="100"/>
      <c r="U43" s="100"/>
      <c r="V43" s="100"/>
    </row>
    <row r="44" spans="2:22" ht="16.2" thickBot="1" x14ac:dyDescent="0.35">
      <c r="N44" s="62"/>
      <c r="O44" s="63"/>
      <c r="P44" s="64"/>
      <c r="T44" s="100"/>
      <c r="U44" s="100"/>
      <c r="V44" s="100"/>
    </row>
    <row r="45" spans="2:22" x14ac:dyDescent="0.3">
      <c r="R45" s="50"/>
      <c r="S45" s="50"/>
      <c r="T45" s="50"/>
      <c r="U45" s="50"/>
      <c r="V45" s="50"/>
    </row>
  </sheetData>
  <mergeCells count="4">
    <mergeCell ref="T43:V44"/>
    <mergeCell ref="T3:V4"/>
    <mergeCell ref="E3:F4"/>
    <mergeCell ref="K3:L4"/>
  </mergeCells>
  <dataValidations count="3">
    <dataValidation type="list" allowBlank="1" showInputMessage="1" showErrorMessage="1" sqref="C4 I4 S44 S4" xr:uid="{E12B6019-946F-184C-BACE-2B227D60F63D}">
      <formula1>PH</formula1>
    </dataValidation>
    <dataValidation type="list" allowBlank="1" showInputMessage="1" showErrorMessage="1" sqref="B4 H4 R44 R4" xr:uid="{BEB7FA7A-4D5B-094E-94F5-0905F518BC14}">
      <formula1>Status_apt</formula1>
    </dataValidation>
    <dataValidation type="list" allowBlank="1" showInputMessage="1" showErrorMessage="1" sqref="D4 J4" xr:uid="{1E2E421F-35DD-4D64-89D7-5AE28D28CAC0}">
      <formula1>Alert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6B24-43F6-784C-99FF-41A84F3BA4E4}">
  <dimension ref="B2:BR164"/>
  <sheetViews>
    <sheetView zoomScale="99" workbookViewId="0">
      <selection activeCell="U6" sqref="U6"/>
    </sheetView>
  </sheetViews>
  <sheetFormatPr defaultColWidth="10.69921875" defaultRowHeight="15.6" x14ac:dyDescent="0.3"/>
  <cols>
    <col min="1" max="1" width="5.19921875" customWidth="1"/>
    <col min="2" max="2" width="14.69921875" customWidth="1"/>
    <col min="3" max="3" width="24.69921875" customWidth="1"/>
    <col min="4" max="4" width="3.796875" customWidth="1"/>
    <col min="5" max="5" width="15.296875" style="9" bestFit="1" customWidth="1"/>
    <col min="6" max="6" width="16.5" bestFit="1" customWidth="1"/>
    <col min="7" max="7" width="3.796875" customWidth="1"/>
    <col min="8" max="8" width="13.296875" bestFit="1" customWidth="1"/>
    <col min="9" max="9" width="14.796875" bestFit="1" customWidth="1"/>
    <col min="10" max="10" width="2.19921875" customWidth="1"/>
    <col min="11" max="11" width="17.69921875" customWidth="1"/>
    <col min="12" max="12" width="11.296875" bestFit="1" customWidth="1"/>
    <col min="13" max="13" width="2.19921875" customWidth="1"/>
    <col min="14" max="14" width="14.19921875" bestFit="1" customWidth="1"/>
    <col min="15" max="15" width="7.69921875" bestFit="1" customWidth="1"/>
    <col min="16" max="16" width="2.19921875" customWidth="1"/>
    <col min="17" max="17" width="11.296875" bestFit="1" customWidth="1"/>
    <col min="18" max="18" width="2.19921875" customWidth="1"/>
    <col min="19" max="19" width="9.5" style="1" bestFit="1" customWidth="1"/>
    <col min="20" max="20" width="2.19921875" customWidth="1"/>
    <col min="21" max="21" width="16.19921875" style="1" customWidth="1"/>
    <col min="22" max="22" width="2.19921875" customWidth="1"/>
    <col min="23" max="23" width="14" bestFit="1" customWidth="1"/>
    <col min="24" max="24" width="2.19921875" customWidth="1"/>
    <col min="25" max="25" width="17.296875" bestFit="1" customWidth="1"/>
    <col min="26" max="26" width="11" bestFit="1" customWidth="1"/>
    <col min="27" max="27" width="8.796875" bestFit="1" customWidth="1"/>
    <col min="28" max="28" width="10.19921875" style="8" bestFit="1" customWidth="1"/>
    <col min="29" max="29" width="14.19921875" style="8" bestFit="1" customWidth="1"/>
    <col min="30" max="30" width="12.5" style="8" bestFit="1" customWidth="1"/>
    <col min="31" max="31" width="37.5" style="8" bestFit="1" customWidth="1"/>
    <col min="32" max="32" width="10.69921875" style="8" bestFit="1" customWidth="1"/>
    <col min="33" max="33" width="9.69921875" style="8" bestFit="1" customWidth="1"/>
    <col min="34" max="34" width="43.19921875" style="8" bestFit="1" customWidth="1"/>
    <col min="35" max="35" width="5.5" style="8" bestFit="1" customWidth="1"/>
    <col min="36" max="36" width="9.796875" style="8" bestFit="1" customWidth="1"/>
    <col min="37" max="37" width="9.296875" style="8" bestFit="1" customWidth="1"/>
    <col min="38" max="38" width="8" style="8" bestFit="1" customWidth="1"/>
    <col min="39" max="39" width="35.296875" style="8" bestFit="1" customWidth="1"/>
    <col min="40" max="40" width="9.796875" style="8" bestFit="1" customWidth="1"/>
    <col min="41" max="41" width="8.19921875" style="8" bestFit="1" customWidth="1"/>
    <col min="42" max="42" width="10.19921875" style="8" bestFit="1" customWidth="1"/>
    <col min="43" max="43" width="8.19921875" style="8" bestFit="1" customWidth="1"/>
    <col min="44" max="44" width="9.296875" style="8" bestFit="1" customWidth="1"/>
    <col min="45" max="45" width="8.19921875" style="8" bestFit="1" customWidth="1"/>
    <col min="46" max="46" width="9.296875" style="8" bestFit="1" customWidth="1"/>
    <col min="47" max="47" width="8.19921875" style="4" bestFit="1" customWidth="1"/>
    <col min="48" max="48" width="9.296875" style="4" bestFit="1" customWidth="1"/>
    <col min="49" max="49" width="7.796875" style="4" bestFit="1" customWidth="1"/>
    <col min="50" max="50" width="8.19921875" style="4" bestFit="1" customWidth="1"/>
    <col min="51" max="51" width="3.5" style="4" bestFit="1" customWidth="1"/>
    <col min="52" max="52" width="23.5" style="4" bestFit="1" customWidth="1"/>
    <col min="53" max="53" width="15.69921875" style="4" bestFit="1" customWidth="1"/>
    <col min="54" max="54" width="15.296875" style="4" bestFit="1" customWidth="1"/>
    <col min="55" max="55" width="8" style="4" bestFit="1" customWidth="1"/>
    <col min="56" max="56" width="44" style="4" bestFit="1" customWidth="1"/>
    <col min="57" max="57" width="27.19921875" style="4" bestFit="1" customWidth="1"/>
    <col min="58" max="58" width="13.19921875" style="4" bestFit="1" customWidth="1"/>
    <col min="59" max="59" width="8.296875" style="4" bestFit="1" customWidth="1"/>
    <col min="60" max="60" width="15.19921875" style="4" bestFit="1" customWidth="1"/>
    <col min="61" max="61" width="13.69921875" style="4" bestFit="1" customWidth="1"/>
    <col min="62" max="62" width="14.19921875" style="4" bestFit="1" customWidth="1"/>
    <col min="63" max="63" width="12.296875" style="4" bestFit="1" customWidth="1"/>
    <col min="64" max="64" width="12.69921875" style="4" bestFit="1" customWidth="1"/>
    <col min="65" max="65" width="12.796875" style="4" bestFit="1" customWidth="1"/>
    <col min="66" max="66" width="11.796875" style="4" bestFit="1" customWidth="1"/>
    <col min="67" max="67" width="10.19921875" style="4" bestFit="1" customWidth="1"/>
    <col min="68" max="68" width="13.19921875" style="4" bestFit="1" customWidth="1"/>
    <col min="69" max="69" width="34.5" style="4" bestFit="1" customWidth="1"/>
    <col min="70" max="70" width="46.796875" style="4" bestFit="1" customWidth="1"/>
  </cols>
  <sheetData>
    <row r="2" spans="2:70" s="31" customFormat="1" ht="21" x14ac:dyDescent="0.4">
      <c r="B2" s="32"/>
      <c r="C2" s="32"/>
      <c r="D2" s="32"/>
      <c r="E2" s="33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AB2" s="4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</row>
    <row r="3" spans="2:70" s="31" customFormat="1" ht="21" x14ac:dyDescent="0.4">
      <c r="B3" s="30" t="s">
        <v>51</v>
      </c>
      <c r="C3" s="30" t="s">
        <v>50</v>
      </c>
      <c r="D3" s="32"/>
      <c r="E3" s="29" t="s">
        <v>51</v>
      </c>
      <c r="F3" s="28" t="s">
        <v>50</v>
      </c>
      <c r="G3" s="32"/>
      <c r="H3" s="27" t="s">
        <v>53</v>
      </c>
      <c r="I3" s="25"/>
      <c r="J3" s="32"/>
      <c r="K3" s="26" t="s">
        <v>29</v>
      </c>
      <c r="L3" s="25"/>
      <c r="M3" s="32"/>
      <c r="N3" s="26" t="s">
        <v>49</v>
      </c>
      <c r="O3" s="25"/>
      <c r="P3" s="32"/>
      <c r="Q3" s="24" t="s">
        <v>48</v>
      </c>
      <c r="R3" s="32"/>
      <c r="S3" s="23" t="s">
        <v>12</v>
      </c>
      <c r="T3" s="32"/>
      <c r="U3" s="22" t="s">
        <v>47</v>
      </c>
      <c r="V3" s="32"/>
      <c r="W3" s="21" t="s">
        <v>46</v>
      </c>
      <c r="X3" s="32"/>
      <c r="Y3" s="21" t="s">
        <v>45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</row>
    <row r="4" spans="2:70" x14ac:dyDescent="0.3">
      <c r="B4" t="str">
        <f t="shared" ref="B4:B35" si="0">IF(TRIM(CLEAN(C4))="","",
IF(LEFT(TRIM(C4),4)="Unit",C4,"Unit "&amp;C4))</f>
        <v/>
      </c>
      <c r="E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4" s="11" t="s">
        <v>0</v>
      </c>
      <c r="I4" s="20"/>
      <c r="K4" s="11" t="s">
        <v>41</v>
      </c>
      <c r="L4" s="20"/>
      <c r="N4" s="11" t="s">
        <v>44</v>
      </c>
      <c r="O4" s="19"/>
      <c r="Q4" s="10" t="s">
        <v>43</v>
      </c>
      <c r="S4" s="10" t="s">
        <v>42</v>
      </c>
      <c r="U4" s="11" t="s">
        <v>41</v>
      </c>
      <c r="W4" s="13">
        <v>5</v>
      </c>
      <c r="Y4" s="13" t="s">
        <v>0</v>
      </c>
    </row>
    <row r="5" spans="2:70" ht="21" x14ac:dyDescent="0.4">
      <c r="B5" t="str">
        <f t="shared" si="0"/>
        <v/>
      </c>
      <c r="D5" s="32"/>
      <c r="E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G5" s="32"/>
      <c r="H5" s="11" t="s">
        <v>4</v>
      </c>
      <c r="I5" s="18"/>
      <c r="J5" s="32"/>
      <c r="K5" s="11" t="s">
        <v>5</v>
      </c>
      <c r="L5" s="18"/>
      <c r="M5" s="32"/>
      <c r="N5" s="11" t="s">
        <v>40</v>
      </c>
      <c r="O5" s="18"/>
      <c r="P5" s="32"/>
      <c r="Q5" s="10" t="s">
        <v>1</v>
      </c>
      <c r="R5" s="32"/>
      <c r="S5" s="10" t="s">
        <v>39</v>
      </c>
      <c r="T5" s="32"/>
      <c r="U5" s="11" t="s">
        <v>118</v>
      </c>
      <c r="V5" s="32"/>
      <c r="W5" s="13">
        <v>7</v>
      </c>
      <c r="X5" s="32"/>
      <c r="Y5" s="13" t="s">
        <v>36</v>
      </c>
    </row>
    <row r="6" spans="2:70" ht="21" x14ac:dyDescent="0.4">
      <c r="B6" t="str">
        <f t="shared" si="0"/>
        <v/>
      </c>
      <c r="D6" s="32"/>
      <c r="E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G6" s="32"/>
      <c r="H6" s="11" t="s">
        <v>38</v>
      </c>
      <c r="I6" s="17"/>
      <c r="J6" s="32"/>
      <c r="K6" s="11" t="s">
        <v>34</v>
      </c>
      <c r="L6" s="16"/>
      <c r="M6" s="32"/>
      <c r="N6" s="11" t="s">
        <v>37</v>
      </c>
      <c r="O6" s="15"/>
      <c r="P6" s="32"/>
      <c r="Q6" s="10" t="s">
        <v>36</v>
      </c>
      <c r="R6" s="32"/>
      <c r="S6" s="10" t="s">
        <v>35</v>
      </c>
      <c r="T6" s="32"/>
      <c r="U6" s="11" t="s">
        <v>5</v>
      </c>
      <c r="V6" s="32"/>
      <c r="W6" s="13">
        <v>8</v>
      </c>
      <c r="X6" s="32"/>
    </row>
    <row r="7" spans="2:70" x14ac:dyDescent="0.3">
      <c r="B7" t="str">
        <f t="shared" si="0"/>
        <v/>
      </c>
      <c r="E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7" s="11" t="s">
        <v>3</v>
      </c>
      <c r="I7" s="14" t="s">
        <v>33</v>
      </c>
      <c r="S7" s="10" t="s">
        <v>102</v>
      </c>
      <c r="U7" s="11" t="s">
        <v>34</v>
      </c>
      <c r="W7" s="13" t="s">
        <v>32</v>
      </c>
    </row>
    <row r="8" spans="2:70" x14ac:dyDescent="0.3">
      <c r="B8" t="str">
        <f t="shared" si="0"/>
        <v/>
      </c>
      <c r="E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8" s="11" t="s">
        <v>31</v>
      </c>
      <c r="I8" s="12"/>
      <c r="S8" s="10" t="s">
        <v>32</v>
      </c>
      <c r="U8" s="11" t="s">
        <v>32</v>
      </c>
    </row>
    <row r="9" spans="2:70" x14ac:dyDescent="0.3">
      <c r="B9" t="str">
        <f t="shared" si="0"/>
        <v/>
      </c>
      <c r="E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S9" s="10" t="s">
        <v>2</v>
      </c>
    </row>
    <row r="10" spans="2:70" x14ac:dyDescent="0.3">
      <c r="B10" t="str">
        <f t="shared" si="0"/>
        <v/>
      </c>
      <c r="E1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T10" s="1"/>
      <c r="V10" s="1"/>
      <c r="W10" s="1"/>
      <c r="X10" s="1"/>
      <c r="Y10" s="1"/>
      <c r="Z10" s="1"/>
      <c r="AA10" s="1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2:70" x14ac:dyDescent="0.3">
      <c r="B11" t="str">
        <f t="shared" si="0"/>
        <v/>
      </c>
      <c r="E1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T11" s="1"/>
      <c r="V11" s="1"/>
      <c r="W11" s="1"/>
      <c r="X11" s="1"/>
      <c r="Y11" s="1"/>
      <c r="Z11" s="1"/>
      <c r="AA11" s="1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2:70" x14ac:dyDescent="0.3">
      <c r="B12" t="str">
        <f t="shared" si="0"/>
        <v/>
      </c>
      <c r="E1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2" s="1"/>
      <c r="I12" s="1"/>
      <c r="J12" s="1"/>
      <c r="K12" s="1" t="s">
        <v>106</v>
      </c>
      <c r="L12" s="1"/>
      <c r="M12" s="1"/>
      <c r="N12" s="1"/>
      <c r="O12" s="1"/>
      <c r="P12" s="1"/>
      <c r="Q12" s="1"/>
      <c r="R12" s="1"/>
      <c r="T12" s="1"/>
      <c r="V12" s="1"/>
      <c r="W12" s="1"/>
      <c r="X12" s="1"/>
      <c r="Y12" s="1"/>
      <c r="Z12" s="1"/>
      <c r="AA12" s="1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2:70" x14ac:dyDescent="0.3">
      <c r="B13" t="str">
        <f t="shared" si="0"/>
        <v/>
      </c>
      <c r="E1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3" s="1"/>
      <c r="I13" s="1"/>
      <c r="J13" s="1"/>
      <c r="K13" s="1" t="s">
        <v>32</v>
      </c>
      <c r="L13" s="1"/>
      <c r="M13" s="1"/>
      <c r="N13" s="1"/>
      <c r="O13" s="1"/>
      <c r="P13" s="1"/>
      <c r="Q13" s="1"/>
      <c r="R13" s="1"/>
      <c r="T13" s="1"/>
      <c r="V13" s="1"/>
      <c r="W13" s="1"/>
      <c r="X13" s="1"/>
      <c r="Y13" s="1"/>
      <c r="Z13" s="1"/>
      <c r="AA13" s="1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2:70" x14ac:dyDescent="0.3">
      <c r="B14" t="str">
        <f t="shared" si="0"/>
        <v/>
      </c>
      <c r="E1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4" s="1"/>
      <c r="I14" s="1"/>
      <c r="J14" s="1"/>
      <c r="K14" s="1" t="s">
        <v>107</v>
      </c>
      <c r="L14" s="1"/>
      <c r="M14" s="1"/>
      <c r="N14" s="1"/>
      <c r="O14" s="1"/>
      <c r="P14" s="1"/>
      <c r="Q14" s="1"/>
      <c r="R14" s="1"/>
      <c r="T14" s="1"/>
      <c r="V14" s="1"/>
      <c r="W14" s="1"/>
      <c r="X14" s="1"/>
      <c r="Y14" s="1"/>
      <c r="Z14" s="1"/>
      <c r="AA14" s="1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2:70" x14ac:dyDescent="0.3">
      <c r="B15" t="str">
        <f t="shared" si="0"/>
        <v/>
      </c>
      <c r="E1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5" s="1"/>
      <c r="I15" s="1"/>
      <c r="J15" s="1"/>
      <c r="K15" s="1" t="s">
        <v>108</v>
      </c>
      <c r="L15" s="1"/>
      <c r="M15" s="1"/>
      <c r="N15" s="1"/>
      <c r="O15" s="1"/>
      <c r="P15" s="1"/>
      <c r="Q15" s="1"/>
      <c r="R15" s="1"/>
      <c r="T15" s="1"/>
      <c r="V15" s="1"/>
      <c r="W15" s="1"/>
      <c r="X15" s="1"/>
      <c r="Y15" s="1"/>
      <c r="Z15" s="1"/>
      <c r="AA15" s="1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2:70" x14ac:dyDescent="0.3">
      <c r="B16" t="str">
        <f t="shared" si="0"/>
        <v/>
      </c>
      <c r="E1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6" s="1"/>
      <c r="I16" s="1"/>
      <c r="J16" s="1"/>
      <c r="K16" s="1" t="s">
        <v>109</v>
      </c>
      <c r="L16" s="1"/>
      <c r="M16" s="1"/>
      <c r="N16" s="1"/>
      <c r="O16" s="1"/>
      <c r="P16" s="1"/>
      <c r="Q16" s="1"/>
      <c r="R16" s="1"/>
      <c r="T16" s="1"/>
      <c r="V16" s="1"/>
      <c r="W16" s="1"/>
      <c r="X16" s="1"/>
      <c r="Y16" s="1"/>
      <c r="Z16" s="1"/>
      <c r="AA16" s="1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2:39" x14ac:dyDescent="0.3">
      <c r="B17" t="str">
        <f t="shared" si="0"/>
        <v/>
      </c>
      <c r="E1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7" s="1"/>
      <c r="I17" s="1"/>
      <c r="J17" s="1"/>
      <c r="K17" s="1" t="s">
        <v>110</v>
      </c>
      <c r="L17" s="1"/>
      <c r="M17" s="1"/>
      <c r="N17" s="1"/>
      <c r="O17" s="1"/>
      <c r="P17" s="1"/>
      <c r="Q17" s="1"/>
      <c r="R17" s="1"/>
      <c r="T17" s="1"/>
      <c r="V17" s="1"/>
      <c r="W17" s="1"/>
      <c r="X17" s="1"/>
      <c r="Y17" s="1"/>
      <c r="Z17" s="1"/>
      <c r="AA17" s="1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2:39" x14ac:dyDescent="0.3">
      <c r="B18" t="str">
        <f t="shared" si="0"/>
        <v/>
      </c>
      <c r="E1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8" s="1"/>
      <c r="I18" s="1"/>
      <c r="J18" s="1"/>
      <c r="K18" s="1" t="s">
        <v>111</v>
      </c>
      <c r="L18" s="1"/>
      <c r="M18" s="1"/>
      <c r="N18" s="1"/>
      <c r="O18" s="1"/>
      <c r="P18" s="1"/>
      <c r="Q18" s="1"/>
      <c r="R18" s="1"/>
      <c r="T18" s="1"/>
      <c r="V18" s="1"/>
      <c r="W18" s="1"/>
      <c r="X18" s="1"/>
      <c r="Y18" s="1"/>
      <c r="Z18" s="1"/>
      <c r="AA18" s="1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2:39" x14ac:dyDescent="0.3">
      <c r="B19" t="str">
        <f t="shared" si="0"/>
        <v/>
      </c>
      <c r="E1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9" s="1"/>
      <c r="I19" s="1"/>
      <c r="J19" s="1"/>
      <c r="K19" s="1" t="s">
        <v>112</v>
      </c>
      <c r="L19" s="1"/>
      <c r="M19" s="1"/>
      <c r="N19" s="1"/>
      <c r="O19" s="1"/>
      <c r="P19" s="1"/>
      <c r="Q19" s="1"/>
      <c r="R19" s="1"/>
      <c r="T19" s="1"/>
      <c r="V19" s="1"/>
      <c r="W19" s="1"/>
      <c r="X19" s="1"/>
      <c r="Y19" s="1"/>
      <c r="Z19" s="1"/>
      <c r="AA19" s="1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2:39" x14ac:dyDescent="0.3">
      <c r="B20" t="str">
        <f t="shared" si="0"/>
        <v/>
      </c>
      <c r="E2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20" s="1"/>
      <c r="I20" s="1"/>
      <c r="J20" s="1"/>
      <c r="K20" s="1" t="s">
        <v>113</v>
      </c>
      <c r="L20" s="1"/>
      <c r="M20" s="1"/>
      <c r="N20" s="1"/>
      <c r="O20" s="1"/>
      <c r="P20" s="1"/>
      <c r="Q20" s="1"/>
      <c r="R20" s="1"/>
      <c r="T20" s="1"/>
      <c r="V20" s="1"/>
      <c r="W20" s="1"/>
      <c r="X20" s="1"/>
      <c r="Y20" s="1"/>
      <c r="Z20" s="1"/>
      <c r="AA20" s="1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2:39" x14ac:dyDescent="0.3">
      <c r="B21" t="str">
        <f t="shared" si="0"/>
        <v/>
      </c>
      <c r="E2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K21" s="1" t="s">
        <v>114</v>
      </c>
    </row>
    <row r="22" spans="2:39" x14ac:dyDescent="0.3">
      <c r="B22" t="str">
        <f t="shared" si="0"/>
        <v/>
      </c>
      <c r="E2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K22" s="1" t="s">
        <v>115</v>
      </c>
    </row>
    <row r="23" spans="2:39" x14ac:dyDescent="0.3">
      <c r="B23" t="str">
        <f t="shared" si="0"/>
        <v/>
      </c>
      <c r="E2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K23" s="1" t="s">
        <v>116</v>
      </c>
    </row>
    <row r="24" spans="2:39" x14ac:dyDescent="0.3">
      <c r="B24" t="str">
        <f t="shared" si="0"/>
        <v/>
      </c>
      <c r="E2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K24" s="1" t="s">
        <v>117</v>
      </c>
    </row>
    <row r="25" spans="2:39" x14ac:dyDescent="0.3">
      <c r="B25" t="str">
        <f t="shared" si="0"/>
        <v/>
      </c>
      <c r="E2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26" spans="2:39" x14ac:dyDescent="0.3">
      <c r="B26" t="str">
        <f t="shared" si="0"/>
        <v/>
      </c>
      <c r="E2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27" spans="2:39" x14ac:dyDescent="0.3">
      <c r="B27" t="str">
        <f t="shared" si="0"/>
        <v/>
      </c>
      <c r="E2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28" spans="2:39" x14ac:dyDescent="0.3">
      <c r="B28" t="str">
        <f t="shared" si="0"/>
        <v/>
      </c>
      <c r="E2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29" spans="2:39" x14ac:dyDescent="0.3">
      <c r="B29" t="str">
        <f t="shared" si="0"/>
        <v/>
      </c>
      <c r="E2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0" spans="2:39" x14ac:dyDescent="0.3">
      <c r="B30" t="str">
        <f t="shared" si="0"/>
        <v/>
      </c>
      <c r="E3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1" spans="2:39" x14ac:dyDescent="0.3">
      <c r="B31" t="str">
        <f t="shared" si="0"/>
        <v/>
      </c>
      <c r="E3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2" spans="2:39" x14ac:dyDescent="0.3">
      <c r="B32" t="str">
        <f t="shared" si="0"/>
        <v/>
      </c>
      <c r="E3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3" spans="2:5" x14ac:dyDescent="0.3">
      <c r="B33" t="str">
        <f t="shared" si="0"/>
        <v/>
      </c>
      <c r="E3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4" spans="2:5" x14ac:dyDescent="0.3">
      <c r="B34" t="str">
        <f t="shared" si="0"/>
        <v/>
      </c>
      <c r="E3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5" spans="2:5" x14ac:dyDescent="0.3">
      <c r="B35" t="str">
        <f t="shared" si="0"/>
        <v/>
      </c>
      <c r="E3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6" spans="2:5" x14ac:dyDescent="0.3">
      <c r="B36" t="str">
        <f t="shared" ref="B36:B67" si="1">IF(TRIM(CLEAN(C36))="","",
IF(LEFT(TRIM(C36),4)="Unit",C36,"Unit "&amp;C36))</f>
        <v/>
      </c>
      <c r="E3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7" spans="2:5" x14ac:dyDescent="0.3">
      <c r="B37" t="str">
        <f t="shared" si="1"/>
        <v/>
      </c>
      <c r="E3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8" spans="2:5" x14ac:dyDescent="0.3">
      <c r="B38" t="str">
        <f t="shared" si="1"/>
        <v/>
      </c>
      <c r="E3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9" spans="2:5" x14ac:dyDescent="0.3">
      <c r="B39" t="str">
        <f t="shared" si="1"/>
        <v/>
      </c>
      <c r="E3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0" spans="2:5" x14ac:dyDescent="0.3">
      <c r="B40" t="str">
        <f t="shared" si="1"/>
        <v/>
      </c>
      <c r="E4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1" spans="2:5" x14ac:dyDescent="0.3">
      <c r="B41" t="str">
        <f t="shared" si="1"/>
        <v/>
      </c>
      <c r="E4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2" spans="2:5" x14ac:dyDescent="0.3">
      <c r="B42" t="str">
        <f t="shared" si="1"/>
        <v/>
      </c>
      <c r="E4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3" spans="2:5" x14ac:dyDescent="0.3">
      <c r="B43" t="str">
        <f t="shared" si="1"/>
        <v/>
      </c>
      <c r="E4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4" spans="2:5" x14ac:dyDescent="0.3">
      <c r="B44" t="str">
        <f t="shared" si="1"/>
        <v/>
      </c>
      <c r="E4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5" spans="2:5" x14ac:dyDescent="0.3">
      <c r="B45" t="str">
        <f t="shared" si="1"/>
        <v/>
      </c>
      <c r="E4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6" spans="2:5" x14ac:dyDescent="0.3">
      <c r="B46" t="str">
        <f t="shared" si="1"/>
        <v/>
      </c>
      <c r="E4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7" spans="2:5" x14ac:dyDescent="0.3">
      <c r="B47" t="str">
        <f t="shared" si="1"/>
        <v/>
      </c>
      <c r="E4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8" spans="2:5" x14ac:dyDescent="0.3">
      <c r="B48" t="str">
        <f t="shared" si="1"/>
        <v/>
      </c>
      <c r="E4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9" spans="2:5" x14ac:dyDescent="0.3">
      <c r="B49" t="str">
        <f t="shared" si="1"/>
        <v/>
      </c>
      <c r="E4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0" spans="2:5" x14ac:dyDescent="0.3">
      <c r="B50" t="str">
        <f t="shared" si="1"/>
        <v/>
      </c>
      <c r="E5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1" spans="2:5" x14ac:dyDescent="0.3">
      <c r="B51" t="str">
        <f t="shared" si="1"/>
        <v/>
      </c>
      <c r="E5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2" spans="2:5" x14ac:dyDescent="0.3">
      <c r="B52" t="str">
        <f t="shared" si="1"/>
        <v/>
      </c>
      <c r="E5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3" spans="2:5" x14ac:dyDescent="0.3">
      <c r="B53" t="str">
        <f t="shared" si="1"/>
        <v/>
      </c>
      <c r="E5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4" spans="2:5" x14ac:dyDescent="0.3">
      <c r="B54" t="str">
        <f t="shared" si="1"/>
        <v/>
      </c>
      <c r="E5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5" spans="2:5" x14ac:dyDescent="0.3">
      <c r="B55" t="str">
        <f t="shared" si="1"/>
        <v/>
      </c>
      <c r="E5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6" spans="2:5" x14ac:dyDescent="0.3">
      <c r="B56" t="str">
        <f t="shared" si="1"/>
        <v/>
      </c>
      <c r="E5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7" spans="2:5" x14ac:dyDescent="0.3">
      <c r="B57" t="str">
        <f t="shared" si="1"/>
        <v/>
      </c>
      <c r="E5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8" spans="2:5" x14ac:dyDescent="0.3">
      <c r="B58" t="str">
        <f t="shared" si="1"/>
        <v/>
      </c>
      <c r="E5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9" spans="2:5" x14ac:dyDescent="0.3">
      <c r="B59" t="str">
        <f t="shared" si="1"/>
        <v/>
      </c>
      <c r="E5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0" spans="2:5" x14ac:dyDescent="0.3">
      <c r="B60" t="str">
        <f t="shared" si="1"/>
        <v/>
      </c>
      <c r="E6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1" spans="2:5" x14ac:dyDescent="0.3">
      <c r="B61" t="str">
        <f t="shared" si="1"/>
        <v/>
      </c>
      <c r="E6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2" spans="2:5" x14ac:dyDescent="0.3">
      <c r="B62" t="str">
        <f t="shared" si="1"/>
        <v/>
      </c>
      <c r="E6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3" spans="2:5" x14ac:dyDescent="0.3">
      <c r="B63" t="str">
        <f t="shared" si="1"/>
        <v/>
      </c>
      <c r="E6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4" spans="2:5" x14ac:dyDescent="0.3">
      <c r="B64" t="str">
        <f t="shared" si="1"/>
        <v/>
      </c>
      <c r="E6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5" spans="2:5" x14ac:dyDescent="0.3">
      <c r="B65" t="str">
        <f t="shared" si="1"/>
        <v/>
      </c>
      <c r="E6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6" spans="2:5" x14ac:dyDescent="0.3">
      <c r="B66" t="str">
        <f t="shared" si="1"/>
        <v/>
      </c>
      <c r="E6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7" spans="2:5" x14ac:dyDescent="0.3">
      <c r="B67" t="str">
        <f t="shared" si="1"/>
        <v/>
      </c>
      <c r="E6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8" spans="2:5" x14ac:dyDescent="0.3">
      <c r="B68" t="str">
        <f t="shared" ref="B68:B99" si="2">IF(TRIM(CLEAN(C68))="","",
IF(LEFT(TRIM(C68),4)="Unit",C68,"Unit "&amp;C68))</f>
        <v/>
      </c>
      <c r="E6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9" spans="2:5" x14ac:dyDescent="0.3">
      <c r="B69" t="str">
        <f t="shared" si="2"/>
        <v/>
      </c>
      <c r="E6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0" spans="2:5" x14ac:dyDescent="0.3">
      <c r="B70" t="str">
        <f t="shared" si="2"/>
        <v/>
      </c>
      <c r="E7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1" spans="2:5" x14ac:dyDescent="0.3">
      <c r="B71" t="str">
        <f t="shared" si="2"/>
        <v/>
      </c>
      <c r="E7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2" spans="2:5" x14ac:dyDescent="0.3">
      <c r="B72" t="str">
        <f t="shared" si="2"/>
        <v/>
      </c>
      <c r="E7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3" spans="2:5" x14ac:dyDescent="0.3">
      <c r="B73" t="str">
        <f t="shared" si="2"/>
        <v/>
      </c>
      <c r="E7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4" spans="2:5" x14ac:dyDescent="0.3">
      <c r="B74" t="str">
        <f t="shared" si="2"/>
        <v/>
      </c>
      <c r="E7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5" spans="2:5" x14ac:dyDescent="0.3">
      <c r="B75" t="str">
        <f t="shared" si="2"/>
        <v/>
      </c>
      <c r="E7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6" spans="2:5" x14ac:dyDescent="0.3">
      <c r="B76" t="str">
        <f t="shared" si="2"/>
        <v/>
      </c>
      <c r="E7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7" spans="2:5" x14ac:dyDescent="0.3">
      <c r="B77" t="str">
        <f t="shared" si="2"/>
        <v/>
      </c>
      <c r="E7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8" spans="2:5" x14ac:dyDescent="0.3">
      <c r="B78" t="str">
        <f t="shared" si="2"/>
        <v/>
      </c>
      <c r="E7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9" spans="2:5" x14ac:dyDescent="0.3">
      <c r="B79" t="str">
        <f t="shared" si="2"/>
        <v/>
      </c>
      <c r="E7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0" spans="2:5" x14ac:dyDescent="0.3">
      <c r="B80" t="str">
        <f t="shared" si="2"/>
        <v/>
      </c>
      <c r="E8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1" spans="2:5" x14ac:dyDescent="0.3">
      <c r="B81" t="str">
        <f t="shared" si="2"/>
        <v/>
      </c>
      <c r="E8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2" spans="2:5" x14ac:dyDescent="0.3">
      <c r="B82" t="str">
        <f t="shared" si="2"/>
        <v/>
      </c>
      <c r="E8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3" spans="2:5" x14ac:dyDescent="0.3">
      <c r="B83" t="str">
        <f t="shared" si="2"/>
        <v/>
      </c>
      <c r="E8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4" spans="2:5" x14ac:dyDescent="0.3">
      <c r="B84" t="str">
        <f t="shared" si="2"/>
        <v/>
      </c>
      <c r="E8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5" spans="2:5" x14ac:dyDescent="0.3">
      <c r="B85" t="str">
        <f t="shared" si="2"/>
        <v/>
      </c>
      <c r="E8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6" spans="2:5" x14ac:dyDescent="0.3">
      <c r="B86" t="str">
        <f t="shared" si="2"/>
        <v/>
      </c>
      <c r="E8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7" spans="2:5" x14ac:dyDescent="0.3">
      <c r="B87" t="str">
        <f t="shared" si="2"/>
        <v/>
      </c>
      <c r="E8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8" spans="2:5" x14ac:dyDescent="0.3">
      <c r="B88" t="str">
        <f t="shared" si="2"/>
        <v/>
      </c>
      <c r="E8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9" spans="2:5" x14ac:dyDescent="0.3">
      <c r="B89" t="str">
        <f t="shared" si="2"/>
        <v/>
      </c>
      <c r="E8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0" spans="2:5" x14ac:dyDescent="0.3">
      <c r="B90" t="str">
        <f t="shared" si="2"/>
        <v/>
      </c>
      <c r="E9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1" spans="2:5" x14ac:dyDescent="0.3">
      <c r="B91" t="str">
        <f t="shared" si="2"/>
        <v/>
      </c>
      <c r="E9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2" spans="2:5" x14ac:dyDescent="0.3">
      <c r="B92" t="str">
        <f t="shared" si="2"/>
        <v/>
      </c>
      <c r="E9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3" spans="2:5" x14ac:dyDescent="0.3">
      <c r="B93" t="str">
        <f t="shared" si="2"/>
        <v/>
      </c>
      <c r="E9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4" spans="2:5" x14ac:dyDescent="0.3">
      <c r="B94" t="str">
        <f t="shared" si="2"/>
        <v/>
      </c>
      <c r="E9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5" spans="2:5" x14ac:dyDescent="0.3">
      <c r="B95" t="str">
        <f t="shared" si="2"/>
        <v/>
      </c>
      <c r="E9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6" spans="2:5" x14ac:dyDescent="0.3">
      <c r="B96" t="str">
        <f t="shared" si="2"/>
        <v/>
      </c>
      <c r="E9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7" spans="2:5" x14ac:dyDescent="0.3">
      <c r="B97" t="str">
        <f t="shared" si="2"/>
        <v/>
      </c>
      <c r="E9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8" spans="2:5" x14ac:dyDescent="0.3">
      <c r="B98" t="str">
        <f t="shared" si="2"/>
        <v/>
      </c>
      <c r="E9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9" spans="2:5" x14ac:dyDescent="0.3">
      <c r="B99" t="str">
        <f t="shared" si="2"/>
        <v/>
      </c>
      <c r="E9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0" spans="2:5" x14ac:dyDescent="0.3">
      <c r="B100" t="str">
        <f t="shared" ref="B100:B131" si="3">IF(TRIM(CLEAN(C100))="","",
IF(LEFT(TRIM(C100),4)="Unit",C100,"Unit "&amp;C100))</f>
        <v/>
      </c>
      <c r="E10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1" spans="2:5" x14ac:dyDescent="0.3">
      <c r="B101" t="str">
        <f t="shared" si="3"/>
        <v/>
      </c>
      <c r="E10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2" spans="2:5" x14ac:dyDescent="0.3">
      <c r="B102" t="str">
        <f t="shared" si="3"/>
        <v/>
      </c>
      <c r="E10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3" spans="2:5" x14ac:dyDescent="0.3">
      <c r="B103" t="str">
        <f t="shared" si="3"/>
        <v/>
      </c>
      <c r="E10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4" spans="2:5" x14ac:dyDescent="0.3">
      <c r="B104" t="str">
        <f t="shared" si="3"/>
        <v/>
      </c>
      <c r="E10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5" spans="2:5" x14ac:dyDescent="0.3">
      <c r="B105" t="str">
        <f t="shared" si="3"/>
        <v/>
      </c>
      <c r="E10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6" spans="2:5" x14ac:dyDescent="0.3">
      <c r="B106" t="str">
        <f t="shared" si="3"/>
        <v/>
      </c>
      <c r="E10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7" spans="2:5" x14ac:dyDescent="0.3">
      <c r="B107" t="str">
        <f t="shared" si="3"/>
        <v/>
      </c>
      <c r="E10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8" spans="2:5" x14ac:dyDescent="0.3">
      <c r="B108" t="str">
        <f t="shared" si="3"/>
        <v/>
      </c>
      <c r="E10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9" spans="2:5" x14ac:dyDescent="0.3">
      <c r="B109" t="str">
        <f t="shared" si="3"/>
        <v/>
      </c>
      <c r="E10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0" spans="2:5" x14ac:dyDescent="0.3">
      <c r="B110" t="str">
        <f t="shared" si="3"/>
        <v/>
      </c>
      <c r="E11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1" spans="2:5" x14ac:dyDescent="0.3">
      <c r="B111" t="str">
        <f t="shared" si="3"/>
        <v/>
      </c>
      <c r="E11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2" spans="2:5" x14ac:dyDescent="0.3">
      <c r="B112" t="str">
        <f t="shared" si="3"/>
        <v/>
      </c>
      <c r="E11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3" spans="2:5" x14ac:dyDescent="0.3">
      <c r="B113" t="str">
        <f t="shared" si="3"/>
        <v/>
      </c>
      <c r="E11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4" spans="2:5" x14ac:dyDescent="0.3">
      <c r="B114" t="str">
        <f t="shared" si="3"/>
        <v/>
      </c>
      <c r="E11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5" spans="2:5" x14ac:dyDescent="0.3">
      <c r="B115" t="str">
        <f t="shared" si="3"/>
        <v/>
      </c>
      <c r="E11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6" spans="2:5" x14ac:dyDescent="0.3">
      <c r="B116" t="str">
        <f t="shared" si="3"/>
        <v/>
      </c>
      <c r="E11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7" spans="2:5" x14ac:dyDescent="0.3">
      <c r="B117" t="str">
        <f t="shared" si="3"/>
        <v/>
      </c>
      <c r="E11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8" spans="2:5" x14ac:dyDescent="0.3">
      <c r="B118" t="str">
        <f t="shared" si="3"/>
        <v/>
      </c>
      <c r="E11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9" spans="2:5" x14ac:dyDescent="0.3">
      <c r="B119" t="str">
        <f t="shared" si="3"/>
        <v/>
      </c>
      <c r="E11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0" spans="2:5" x14ac:dyDescent="0.3">
      <c r="B120" t="str">
        <f t="shared" si="3"/>
        <v/>
      </c>
      <c r="E12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1" spans="2:5" x14ac:dyDescent="0.3">
      <c r="B121" t="str">
        <f t="shared" si="3"/>
        <v/>
      </c>
      <c r="E12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2" spans="2:5" x14ac:dyDescent="0.3">
      <c r="B122" t="str">
        <f t="shared" si="3"/>
        <v/>
      </c>
      <c r="E12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3" spans="2:5" x14ac:dyDescent="0.3">
      <c r="B123" t="str">
        <f t="shared" si="3"/>
        <v/>
      </c>
      <c r="E12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4" spans="2:5" x14ac:dyDescent="0.3">
      <c r="B124" t="str">
        <f t="shared" si="3"/>
        <v/>
      </c>
      <c r="E12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5" spans="2:5" x14ac:dyDescent="0.3">
      <c r="B125" t="str">
        <f t="shared" si="3"/>
        <v/>
      </c>
      <c r="E12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6" spans="2:5" x14ac:dyDescent="0.3">
      <c r="B126" t="str">
        <f t="shared" si="3"/>
        <v/>
      </c>
      <c r="E12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7" spans="2:5" x14ac:dyDescent="0.3">
      <c r="B127" t="str">
        <f t="shared" si="3"/>
        <v/>
      </c>
      <c r="E12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8" spans="2:5" x14ac:dyDescent="0.3">
      <c r="B128" t="str">
        <f t="shared" si="3"/>
        <v/>
      </c>
      <c r="E12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9" spans="2:5" x14ac:dyDescent="0.3">
      <c r="B129" t="str">
        <f t="shared" si="3"/>
        <v/>
      </c>
      <c r="E12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0" spans="2:5" x14ac:dyDescent="0.3">
      <c r="B130" t="str">
        <f t="shared" si="3"/>
        <v/>
      </c>
      <c r="E13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1" spans="2:5" x14ac:dyDescent="0.3">
      <c r="B131" t="str">
        <f t="shared" si="3"/>
        <v/>
      </c>
      <c r="E13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2" spans="2:5" x14ac:dyDescent="0.3">
      <c r="B132" t="str">
        <f t="shared" ref="B132:B163" si="4">IF(TRIM(CLEAN(C132))="","",
IF(LEFT(TRIM(C132),4)="Unit",C132,"Unit "&amp;C132))</f>
        <v/>
      </c>
      <c r="E13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3" spans="2:5" x14ac:dyDescent="0.3">
      <c r="B133" t="str">
        <f t="shared" si="4"/>
        <v/>
      </c>
      <c r="E13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4" spans="2:5" x14ac:dyDescent="0.3">
      <c r="B134" t="str">
        <f t="shared" si="4"/>
        <v/>
      </c>
      <c r="E13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5" spans="2:5" x14ac:dyDescent="0.3">
      <c r="B135" t="str">
        <f t="shared" si="4"/>
        <v/>
      </c>
      <c r="E13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6" spans="2:5" x14ac:dyDescent="0.3">
      <c r="B136" t="str">
        <f t="shared" si="4"/>
        <v/>
      </c>
      <c r="E13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7" spans="2:5" x14ac:dyDescent="0.3">
      <c r="B137" t="str">
        <f t="shared" si="4"/>
        <v/>
      </c>
      <c r="E13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8" spans="2:5" x14ac:dyDescent="0.3">
      <c r="B138" t="str">
        <f t="shared" si="4"/>
        <v/>
      </c>
      <c r="E13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9" spans="2:5" x14ac:dyDescent="0.3">
      <c r="B139" t="str">
        <f t="shared" si="4"/>
        <v/>
      </c>
      <c r="E13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0" spans="2:5" x14ac:dyDescent="0.3">
      <c r="B140" t="str">
        <f t="shared" si="4"/>
        <v/>
      </c>
      <c r="E14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1" spans="2:5" x14ac:dyDescent="0.3">
      <c r="B141" t="str">
        <f t="shared" si="4"/>
        <v/>
      </c>
      <c r="E14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2" spans="2:5" x14ac:dyDescent="0.3">
      <c r="B142" t="str">
        <f t="shared" si="4"/>
        <v/>
      </c>
      <c r="E14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3" spans="2:5" x14ac:dyDescent="0.3">
      <c r="B143" t="str">
        <f t="shared" si="4"/>
        <v/>
      </c>
      <c r="E14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4" spans="2:5" x14ac:dyDescent="0.3">
      <c r="B144" t="str">
        <f t="shared" si="4"/>
        <v/>
      </c>
      <c r="E14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5" spans="2:5" x14ac:dyDescent="0.3">
      <c r="B145" t="str">
        <f t="shared" si="4"/>
        <v/>
      </c>
      <c r="E14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6" spans="2:5" x14ac:dyDescent="0.3">
      <c r="B146" t="str">
        <f t="shared" si="4"/>
        <v/>
      </c>
      <c r="E14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7" spans="2:5" x14ac:dyDescent="0.3">
      <c r="B147" t="str">
        <f t="shared" si="4"/>
        <v/>
      </c>
      <c r="E14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8" spans="2:5" x14ac:dyDescent="0.3">
      <c r="B148" t="str">
        <f t="shared" si="4"/>
        <v/>
      </c>
      <c r="E14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9" spans="2:5" x14ac:dyDescent="0.3">
      <c r="B149" t="str">
        <f t="shared" si="4"/>
        <v/>
      </c>
      <c r="E14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0" spans="2:5" x14ac:dyDescent="0.3">
      <c r="B150" t="str">
        <f t="shared" si="4"/>
        <v/>
      </c>
      <c r="E15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1" spans="2:5" x14ac:dyDescent="0.3">
      <c r="B151" t="str">
        <f t="shared" si="4"/>
        <v/>
      </c>
      <c r="E15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2" spans="2:5" x14ac:dyDescent="0.3">
      <c r="B152" t="str">
        <f t="shared" si="4"/>
        <v/>
      </c>
      <c r="E15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3" spans="2:5" x14ac:dyDescent="0.3">
      <c r="B153" t="str">
        <f t="shared" si="4"/>
        <v/>
      </c>
      <c r="E15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4" spans="2:5" x14ac:dyDescent="0.3">
      <c r="B154" t="str">
        <f t="shared" si="4"/>
        <v/>
      </c>
      <c r="E15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5" spans="2:5" x14ac:dyDescent="0.3">
      <c r="B155" t="str">
        <f t="shared" si="4"/>
        <v/>
      </c>
      <c r="E15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6" spans="2:5" x14ac:dyDescent="0.3">
      <c r="B156" t="str">
        <f t="shared" si="4"/>
        <v/>
      </c>
      <c r="E15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7" spans="2:5" x14ac:dyDescent="0.3">
      <c r="B157" t="str">
        <f t="shared" si="4"/>
        <v/>
      </c>
      <c r="E15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8" spans="2:5" x14ac:dyDescent="0.3">
      <c r="B158" t="str">
        <f t="shared" si="4"/>
        <v/>
      </c>
      <c r="E15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9" spans="2:5" x14ac:dyDescent="0.3">
      <c r="B159" t="str">
        <f t="shared" si="4"/>
        <v/>
      </c>
      <c r="E15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60" spans="2:5" x14ac:dyDescent="0.3">
      <c r="B160" t="str">
        <f t="shared" si="4"/>
        <v/>
      </c>
      <c r="E16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61" spans="2:5" x14ac:dyDescent="0.3">
      <c r="B161" t="str">
        <f t="shared" si="4"/>
        <v/>
      </c>
      <c r="E16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62" spans="2:5" x14ac:dyDescent="0.3">
      <c r="B162" t="str">
        <f t="shared" si="4"/>
        <v/>
      </c>
      <c r="E16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63" spans="2:5" x14ac:dyDescent="0.3">
      <c r="B163" t="str">
        <f t="shared" si="4"/>
        <v/>
      </c>
      <c r="E16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64" spans="2:5" x14ac:dyDescent="0.3">
      <c r="B164" t="str">
        <f>IF(TRIM(CLEAN(C164))="","",
IF(LEFT(TRIM(C164),4)="Unit",C164,"Unit "&amp;C164))</f>
        <v/>
      </c>
      <c r="E16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DMRB </vt:lpstr>
      <vt:lpstr>Engine</vt:lpstr>
      <vt:lpstr>Dashboard </vt:lpstr>
      <vt:lpstr>Data_Validation</vt:lpstr>
      <vt:lpstr>Alert</vt:lpstr>
      <vt:lpstr>Assign</vt:lpstr>
      <vt:lpstr>Core_Facts</vt:lpstr>
      <vt:lpstr>Intelligence_Layer</vt:lpstr>
      <vt:lpstr>PH</vt:lpstr>
      <vt:lpstr>QC</vt:lpstr>
      <vt:lpstr>Status</vt:lpstr>
      <vt:lpstr>Status_apt</vt:lpstr>
      <vt:lpstr>TS</vt:lpstr>
      <vt:lpstr>W_D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gonzalez</dc:creator>
  <cp:lastModifiedBy>Miguel Gonzalez</cp:lastModifiedBy>
  <dcterms:created xsi:type="dcterms:W3CDTF">2026-01-30T19:10:11Z</dcterms:created>
  <dcterms:modified xsi:type="dcterms:W3CDTF">2026-03-16T14:18:28Z</dcterms:modified>
</cp:coreProperties>
</file>