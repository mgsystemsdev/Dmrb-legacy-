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miguelgonzalez/Library/CloudStorage/GoogleDrive-mg.systems.dev@gmail.com/My Drive/"/>
    </mc:Choice>
  </mc:AlternateContent>
  <xr:revisionPtr revIDLastSave="0" documentId="13_ncr:1_{EC3E496A-D25F-C84A-A4B7-4B3F891EF132}" xr6:coauthVersionLast="47" xr6:coauthVersionMax="47" xr10:uidLastSave="{00000000-0000-0000-0000-000000000000}"/>
  <bookViews>
    <workbookView xWindow="-76800" yWindow="0" windowWidth="38400" windowHeight="21600" xr2:uid="{00000000-000D-0000-FFFF-FFFF00000000}"/>
  </bookViews>
  <sheets>
    <sheet name="ServiceRequest" sheetId="2" r:id="rId1"/>
    <sheet name="Full_unassign" sheetId="3" r:id="rId2"/>
    <sheet name="By tech " sheetId="4" r:id="rId3"/>
    <sheet name="unassign" sheetId="6" r:id="rId4"/>
    <sheet name="Phase 5" sheetId="7" r:id="rId5"/>
    <sheet name="Phase 7" sheetId="8" r:id="rId6"/>
    <sheet name="Phase 8" sheetId="9" r:id="rId7"/>
    <sheet name="Staff " sheetId="5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7" i="2" l="1"/>
  <c r="C188" i="2"/>
  <c r="C189" i="2"/>
  <c r="C190" i="2"/>
  <c r="C191" i="2"/>
  <c r="C192" i="2"/>
  <c r="C193" i="2"/>
  <c r="C194" i="2"/>
  <c r="C112" i="2"/>
  <c r="C195" i="2"/>
  <c r="C24" i="2"/>
  <c r="C196" i="2"/>
  <c r="C7" i="2"/>
  <c r="C197" i="2"/>
  <c r="C198" i="2"/>
  <c r="C199" i="2"/>
  <c r="C200" i="2"/>
  <c r="C25" i="2"/>
  <c r="C201" i="2"/>
  <c r="C202" i="2"/>
  <c r="C26" i="2"/>
  <c r="C77" i="2"/>
  <c r="C35" i="2"/>
  <c r="C5" i="2"/>
  <c r="C175" i="2"/>
  <c r="C176" i="2"/>
  <c r="C224" i="2"/>
  <c r="C177" i="2"/>
  <c r="C20" i="2"/>
  <c r="C178" i="2"/>
  <c r="C179" i="2"/>
  <c r="C180" i="2"/>
  <c r="C56" i="2"/>
  <c r="C225" i="2"/>
  <c r="C226" i="2"/>
  <c r="C21" i="2"/>
  <c r="C62" i="2"/>
  <c r="C29" i="2"/>
  <c r="C181" i="2"/>
  <c r="C227" i="2"/>
  <c r="C228" i="2"/>
  <c r="C92" i="2"/>
  <c r="C36" i="2"/>
  <c r="C93" i="2"/>
  <c r="C78" i="2"/>
  <c r="C182" i="2"/>
  <c r="C79" i="2"/>
  <c r="C80" i="2"/>
  <c r="C183" i="2"/>
  <c r="C184" i="2"/>
  <c r="C229" i="2"/>
  <c r="C22" i="2"/>
  <c r="C185" i="2"/>
  <c r="C23" i="2"/>
  <c r="C186" i="2"/>
  <c r="C214" i="2"/>
  <c r="C221" i="2"/>
  <c r="C167" i="2"/>
  <c r="C168" i="2"/>
  <c r="C84" i="2"/>
  <c r="C222" i="2"/>
  <c r="C28" i="2"/>
  <c r="C223" i="2"/>
  <c r="C85" i="2"/>
  <c r="C17" i="2"/>
  <c r="C18" i="2"/>
  <c r="C19" i="2"/>
  <c r="C169" i="2"/>
  <c r="C170" i="2"/>
  <c r="C171" i="2"/>
  <c r="C172" i="2"/>
  <c r="C173" i="2"/>
  <c r="C174" i="2"/>
  <c r="C3" i="2"/>
  <c r="C215" i="2"/>
  <c r="C86" i="2"/>
  <c r="C54" i="2"/>
  <c r="C55" i="2"/>
  <c r="C219" i="2"/>
  <c r="C213" i="2"/>
  <c r="C83" i="2"/>
  <c r="C72" i="2"/>
  <c r="C34" i="2"/>
  <c r="C220" i="2"/>
  <c r="C73" i="2"/>
  <c r="C165" i="2"/>
  <c r="C166" i="2"/>
  <c r="C70" i="2"/>
  <c r="C212" i="2"/>
  <c r="C162" i="2"/>
  <c r="C163" i="2"/>
  <c r="C164" i="2"/>
  <c r="C71" i="2"/>
  <c r="C161" i="2"/>
  <c r="C61" i="2"/>
  <c r="C210" i="2"/>
  <c r="C76" i="2"/>
  <c r="C218" i="2"/>
  <c r="C32" i="2"/>
  <c r="C53" i="2"/>
  <c r="C16" i="2"/>
  <c r="C33" i="2"/>
  <c r="C211" i="2"/>
  <c r="C231" i="2"/>
  <c r="C52" i="2"/>
  <c r="C160" i="2"/>
  <c r="C209" i="2"/>
  <c r="C82" i="2"/>
  <c r="C69" i="2"/>
  <c r="C113" i="2"/>
  <c r="C2" i="2"/>
  <c r="C109" i="2"/>
  <c r="C51" i="2"/>
  <c r="C106" i="2"/>
  <c r="C107" i="2"/>
  <c r="C108" i="2"/>
  <c r="C159" i="2"/>
  <c r="C105" i="2"/>
  <c r="C68" i="2"/>
  <c r="C156" i="2"/>
  <c r="C208" i="2"/>
  <c r="C50" i="2"/>
  <c r="C91" i="2"/>
  <c r="C15" i="2"/>
  <c r="C157" i="2"/>
  <c r="C158" i="2"/>
  <c r="C150" i="2"/>
  <c r="C151" i="2"/>
  <c r="C152" i="2"/>
  <c r="C153" i="2"/>
  <c r="C154" i="2"/>
  <c r="C155" i="2"/>
  <c r="C143" i="2"/>
  <c r="C144" i="2"/>
  <c r="C145" i="2"/>
  <c r="C111" i="2"/>
  <c r="C146" i="2"/>
  <c r="C147" i="2"/>
  <c r="C148" i="2"/>
  <c r="C149" i="2"/>
  <c r="C14" i="2"/>
  <c r="C217" i="2"/>
  <c r="C207" i="2"/>
  <c r="C139" i="2"/>
  <c r="C140" i="2"/>
  <c r="C90" i="2"/>
  <c r="C141" i="2"/>
  <c r="C142" i="2"/>
  <c r="C104" i="2"/>
  <c r="C136" i="2"/>
  <c r="C137" i="2"/>
  <c r="C138" i="2"/>
  <c r="C13" i="2"/>
  <c r="C101" i="2"/>
  <c r="C102" i="2"/>
  <c r="C49" i="2"/>
  <c r="C103" i="2"/>
  <c r="C75" i="2"/>
  <c r="C81" i="2"/>
  <c r="C135" i="2"/>
  <c r="C89" i="2"/>
  <c r="C67" i="2"/>
  <c r="C206" i="2"/>
  <c r="C4" i="2"/>
  <c r="C31" i="2"/>
  <c r="C134" i="2"/>
  <c r="C74" i="2"/>
  <c r="C127" i="2"/>
  <c r="C128" i="2"/>
  <c r="C129" i="2"/>
  <c r="C130" i="2"/>
  <c r="C131" i="2"/>
  <c r="C132" i="2"/>
  <c r="C133" i="2"/>
  <c r="C30" i="2"/>
  <c r="C12" i="2"/>
  <c r="C11" i="2"/>
  <c r="C126" i="2"/>
  <c r="C205" i="2"/>
  <c r="C10" i="2"/>
  <c r="C27" i="2"/>
  <c r="C125" i="2"/>
  <c r="C204" i="2"/>
  <c r="C47" i="2"/>
  <c r="C48" i="2"/>
  <c r="C124" i="2"/>
  <c r="C100" i="2"/>
  <c r="C88" i="2"/>
  <c r="C46" i="2"/>
  <c r="C45" i="2"/>
  <c r="C44" i="2"/>
  <c r="C9" i="2"/>
  <c r="C43" i="2"/>
  <c r="C59" i="2"/>
  <c r="C60" i="2"/>
  <c r="C42" i="2"/>
  <c r="C122" i="2"/>
  <c r="C123" i="2"/>
  <c r="C6" i="2"/>
  <c r="C41" i="2"/>
  <c r="C99" i="2"/>
  <c r="C121" i="2"/>
  <c r="C119" i="2"/>
  <c r="C120" i="2"/>
  <c r="C216" i="2"/>
  <c r="C98" i="2"/>
  <c r="C118" i="2"/>
  <c r="C40" i="2"/>
  <c r="C66" i="2"/>
  <c r="C58" i="2"/>
  <c r="C97" i="2"/>
  <c r="C203" i="2"/>
  <c r="C117" i="2"/>
  <c r="C116" i="2"/>
  <c r="C115" i="2"/>
  <c r="C64" i="2"/>
  <c r="C65" i="2"/>
  <c r="C57" i="2"/>
  <c r="C8" i="2"/>
  <c r="C39" i="2"/>
  <c r="C96" i="2"/>
  <c r="C95" i="2"/>
  <c r="C38" i="2"/>
  <c r="C114" i="2"/>
  <c r="C63" i="2"/>
  <c r="C87" i="2"/>
  <c r="C94" i="2"/>
  <c r="C37" i="2"/>
  <c r="C230" i="2"/>
  <c r="C110" i="2"/>
  <c r="A187" i="2"/>
  <c r="A188" i="2"/>
  <c r="A189" i="2"/>
  <c r="A190" i="2"/>
  <c r="A191" i="2"/>
  <c r="A192" i="2"/>
  <c r="A193" i="2"/>
  <c r="A194" i="2"/>
  <c r="A112" i="2"/>
  <c r="A195" i="2"/>
  <c r="A24" i="2"/>
  <c r="A196" i="2"/>
  <c r="A7" i="2"/>
  <c r="A197" i="2"/>
  <c r="A198" i="2"/>
  <c r="A199" i="2"/>
  <c r="A200" i="2"/>
  <c r="A25" i="2"/>
  <c r="A201" i="2"/>
  <c r="A202" i="2"/>
  <c r="A26" i="2"/>
  <c r="A77" i="2"/>
  <c r="A35" i="2"/>
  <c r="A5" i="2"/>
  <c r="A175" i="2"/>
  <c r="A176" i="2"/>
  <c r="A224" i="2"/>
  <c r="A177" i="2"/>
  <c r="A20" i="2"/>
  <c r="A178" i="2"/>
  <c r="A179" i="2"/>
  <c r="A180" i="2"/>
  <c r="A56" i="2"/>
  <c r="A225" i="2"/>
  <c r="A226" i="2"/>
  <c r="A21" i="2"/>
  <c r="A62" i="2"/>
  <c r="A29" i="2"/>
  <c r="A181" i="2"/>
  <c r="A227" i="2"/>
  <c r="A228" i="2"/>
  <c r="A92" i="2"/>
  <c r="A36" i="2"/>
  <c r="A93" i="2"/>
  <c r="A78" i="2"/>
  <c r="A182" i="2"/>
  <c r="A79" i="2"/>
  <c r="A80" i="2"/>
  <c r="A183" i="2"/>
  <c r="A184" i="2"/>
  <c r="A229" i="2"/>
  <c r="A22" i="2"/>
  <c r="A185" i="2"/>
  <c r="A23" i="2"/>
  <c r="A186" i="2"/>
  <c r="A214" i="2"/>
  <c r="A221" i="2"/>
  <c r="A167" i="2"/>
  <c r="A168" i="2"/>
  <c r="A84" i="2"/>
  <c r="A222" i="2"/>
  <c r="A28" i="2"/>
  <c r="A223" i="2"/>
  <c r="A85" i="2"/>
  <c r="A17" i="2"/>
  <c r="A18" i="2"/>
  <c r="A19" i="2"/>
  <c r="A169" i="2"/>
  <c r="A170" i="2"/>
  <c r="A171" i="2"/>
  <c r="A172" i="2"/>
  <c r="A173" i="2"/>
  <c r="A174" i="2"/>
  <c r="A3" i="2"/>
  <c r="A215" i="2"/>
  <c r="A86" i="2"/>
  <c r="A54" i="2"/>
  <c r="A55" i="2"/>
  <c r="A219" i="2"/>
  <c r="A213" i="2"/>
  <c r="A83" i="2"/>
  <c r="A72" i="2"/>
  <c r="A34" i="2"/>
  <c r="A220" i="2"/>
  <c r="A73" i="2"/>
  <c r="A165" i="2"/>
  <c r="A166" i="2"/>
  <c r="A70" i="2"/>
  <c r="A212" i="2"/>
  <c r="A162" i="2"/>
  <c r="A163" i="2"/>
  <c r="A164" i="2"/>
  <c r="A71" i="2"/>
  <c r="A161" i="2"/>
  <c r="A61" i="2"/>
  <c r="A210" i="2"/>
  <c r="A76" i="2"/>
  <c r="A218" i="2"/>
  <c r="A32" i="2"/>
  <c r="A53" i="2"/>
  <c r="A16" i="2"/>
  <c r="A33" i="2"/>
  <c r="A211" i="2"/>
  <c r="A231" i="2"/>
  <c r="A52" i="2"/>
  <c r="A160" i="2"/>
  <c r="A209" i="2"/>
  <c r="A82" i="2"/>
  <c r="A69" i="2"/>
  <c r="A113" i="2"/>
  <c r="A2" i="2"/>
  <c r="A109" i="2"/>
  <c r="A51" i="2"/>
  <c r="A106" i="2"/>
  <c r="A107" i="2"/>
  <c r="A108" i="2"/>
  <c r="A159" i="2"/>
  <c r="A105" i="2"/>
  <c r="A68" i="2"/>
  <c r="A156" i="2"/>
  <c r="A208" i="2"/>
  <c r="A50" i="2"/>
  <c r="A91" i="2"/>
  <c r="A15" i="2"/>
  <c r="A157" i="2"/>
  <c r="A158" i="2"/>
  <c r="A150" i="2"/>
  <c r="A151" i="2"/>
  <c r="A152" i="2"/>
  <c r="A153" i="2"/>
  <c r="A154" i="2"/>
  <c r="A155" i="2"/>
  <c r="A143" i="2"/>
  <c r="A144" i="2"/>
  <c r="A145" i="2"/>
  <c r="A111" i="2"/>
  <c r="A146" i="2"/>
  <c r="A147" i="2"/>
  <c r="A148" i="2"/>
  <c r="A149" i="2"/>
  <c r="A14" i="2"/>
  <c r="A217" i="2"/>
  <c r="A207" i="2"/>
  <c r="A139" i="2"/>
  <c r="A140" i="2"/>
  <c r="A90" i="2"/>
  <c r="A141" i="2"/>
  <c r="A142" i="2"/>
  <c r="A104" i="2"/>
  <c r="A136" i="2"/>
  <c r="A137" i="2"/>
  <c r="A138" i="2"/>
  <c r="A13" i="2"/>
  <c r="A101" i="2"/>
  <c r="A102" i="2"/>
  <c r="A49" i="2"/>
  <c r="A103" i="2"/>
  <c r="A75" i="2"/>
  <c r="A81" i="2"/>
  <c r="A135" i="2"/>
  <c r="A89" i="2"/>
  <c r="A67" i="2"/>
  <c r="A206" i="2"/>
  <c r="A4" i="2"/>
  <c r="A31" i="2"/>
  <c r="A134" i="2"/>
  <c r="A74" i="2"/>
  <c r="A127" i="2"/>
  <c r="A128" i="2"/>
  <c r="A129" i="2"/>
  <c r="A130" i="2"/>
  <c r="A131" i="2"/>
  <c r="A132" i="2"/>
  <c r="A133" i="2"/>
  <c r="A30" i="2"/>
  <c r="A12" i="2"/>
  <c r="A11" i="2"/>
  <c r="A126" i="2"/>
  <c r="A205" i="2"/>
  <c r="A10" i="2"/>
  <c r="A27" i="2"/>
  <c r="A125" i="2"/>
  <c r="A204" i="2"/>
  <c r="A47" i="2"/>
  <c r="A48" i="2"/>
  <c r="A124" i="2"/>
  <c r="A100" i="2"/>
  <c r="A88" i="2"/>
  <c r="A46" i="2"/>
  <c r="A45" i="2"/>
  <c r="A44" i="2"/>
  <c r="A9" i="2"/>
  <c r="A43" i="2"/>
  <c r="A59" i="2"/>
  <c r="A60" i="2"/>
  <c r="A42" i="2"/>
  <c r="A122" i="2"/>
  <c r="A123" i="2"/>
  <c r="A6" i="2"/>
  <c r="A41" i="2"/>
  <c r="A99" i="2"/>
  <c r="A121" i="2"/>
  <c r="A119" i="2"/>
  <c r="A120" i="2"/>
  <c r="A216" i="2"/>
  <c r="A98" i="2"/>
  <c r="A118" i="2"/>
  <c r="A40" i="2"/>
  <c r="A66" i="2"/>
  <c r="A58" i="2"/>
  <c r="A97" i="2"/>
  <c r="A203" i="2"/>
  <c r="A117" i="2"/>
  <c r="A116" i="2"/>
  <c r="A115" i="2"/>
  <c r="A64" i="2"/>
  <c r="A65" i="2"/>
  <c r="A57" i="2"/>
  <c r="A8" i="2"/>
  <c r="A39" i="2"/>
  <c r="A96" i="2"/>
  <c r="A95" i="2"/>
  <c r="A38" i="2"/>
  <c r="A114" i="2"/>
  <c r="A63" i="2"/>
  <c r="A87" i="2"/>
  <c r="A94" i="2"/>
  <c r="A37" i="2"/>
  <c r="A230" i="2"/>
  <c r="A110" i="2"/>
  <c r="B187" i="2"/>
  <c r="B188" i="2"/>
  <c r="B189" i="2"/>
  <c r="B190" i="2"/>
  <c r="B191" i="2"/>
  <c r="B192" i="2"/>
  <c r="B193" i="2"/>
  <c r="B194" i="2"/>
  <c r="B112" i="2"/>
  <c r="B195" i="2"/>
  <c r="B24" i="2"/>
  <c r="B196" i="2"/>
  <c r="B7" i="2"/>
  <c r="B197" i="2"/>
  <c r="B198" i="2"/>
  <c r="B199" i="2"/>
  <c r="B200" i="2"/>
  <c r="B25" i="2"/>
  <c r="B201" i="2"/>
  <c r="B202" i="2"/>
  <c r="B26" i="2"/>
  <c r="B77" i="2"/>
  <c r="B35" i="2"/>
  <c r="B5" i="2"/>
  <c r="B175" i="2"/>
  <c r="B176" i="2"/>
  <c r="B224" i="2"/>
  <c r="B177" i="2"/>
  <c r="B20" i="2"/>
  <c r="B178" i="2"/>
  <c r="B179" i="2"/>
  <c r="B180" i="2"/>
  <c r="B56" i="2"/>
  <c r="B225" i="2"/>
  <c r="B226" i="2"/>
  <c r="B21" i="2"/>
  <c r="B62" i="2"/>
  <c r="B29" i="2"/>
  <c r="B181" i="2"/>
  <c r="B227" i="2"/>
  <c r="B228" i="2"/>
  <c r="B92" i="2"/>
  <c r="B36" i="2"/>
  <c r="B93" i="2"/>
  <c r="B78" i="2"/>
  <c r="B182" i="2"/>
  <c r="B79" i="2"/>
  <c r="B80" i="2"/>
  <c r="B183" i="2"/>
  <c r="B184" i="2"/>
  <c r="B229" i="2"/>
  <c r="B22" i="2"/>
  <c r="B185" i="2"/>
  <c r="B23" i="2"/>
  <c r="B186" i="2"/>
  <c r="B214" i="2"/>
  <c r="B221" i="2"/>
  <c r="B167" i="2"/>
  <c r="B168" i="2"/>
  <c r="B84" i="2"/>
  <c r="B222" i="2"/>
  <c r="B28" i="2"/>
  <c r="B223" i="2"/>
  <c r="B85" i="2"/>
  <c r="B17" i="2"/>
  <c r="B18" i="2"/>
  <c r="B19" i="2"/>
  <c r="B169" i="2"/>
  <c r="B170" i="2"/>
  <c r="B171" i="2"/>
  <c r="B172" i="2"/>
  <c r="B173" i="2"/>
  <c r="B174" i="2"/>
  <c r="B3" i="2"/>
  <c r="B215" i="2"/>
  <c r="B86" i="2"/>
  <c r="B54" i="2"/>
  <c r="B55" i="2"/>
  <c r="B219" i="2"/>
  <c r="B213" i="2"/>
  <c r="B83" i="2"/>
  <c r="B72" i="2"/>
  <c r="B34" i="2"/>
  <c r="B220" i="2"/>
  <c r="B73" i="2"/>
  <c r="B165" i="2"/>
  <c r="B166" i="2"/>
  <c r="B70" i="2"/>
  <c r="B212" i="2"/>
  <c r="B162" i="2"/>
  <c r="B163" i="2"/>
  <c r="B164" i="2"/>
  <c r="B71" i="2"/>
  <c r="B161" i="2"/>
  <c r="B61" i="2"/>
  <c r="B210" i="2"/>
  <c r="B76" i="2"/>
  <c r="B218" i="2"/>
  <c r="B32" i="2"/>
  <c r="B53" i="2"/>
  <c r="B16" i="2"/>
  <c r="B33" i="2"/>
  <c r="B211" i="2"/>
  <c r="B231" i="2"/>
  <c r="B52" i="2"/>
  <c r="B160" i="2"/>
  <c r="B209" i="2"/>
  <c r="B82" i="2"/>
  <c r="B69" i="2"/>
  <c r="B113" i="2"/>
  <c r="B2" i="2"/>
  <c r="B109" i="2"/>
  <c r="B51" i="2"/>
  <c r="B106" i="2"/>
  <c r="B107" i="2"/>
  <c r="B108" i="2"/>
  <c r="B159" i="2"/>
  <c r="B105" i="2"/>
  <c r="B68" i="2"/>
  <c r="B156" i="2"/>
  <c r="B208" i="2"/>
  <c r="B50" i="2"/>
  <c r="B91" i="2"/>
  <c r="B15" i="2"/>
  <c r="B157" i="2"/>
  <c r="B158" i="2"/>
  <c r="B150" i="2"/>
  <c r="B151" i="2"/>
  <c r="B152" i="2"/>
  <c r="B153" i="2"/>
  <c r="B154" i="2"/>
  <c r="B155" i="2"/>
  <c r="B143" i="2"/>
  <c r="B144" i="2"/>
  <c r="B145" i="2"/>
  <c r="B111" i="2"/>
  <c r="B146" i="2"/>
  <c r="B147" i="2"/>
  <c r="B148" i="2"/>
  <c r="B149" i="2"/>
  <c r="B14" i="2"/>
  <c r="B217" i="2"/>
  <c r="B207" i="2"/>
  <c r="B139" i="2"/>
  <c r="B140" i="2"/>
  <c r="B90" i="2"/>
  <c r="B141" i="2"/>
  <c r="B142" i="2"/>
  <c r="B104" i="2"/>
  <c r="B136" i="2"/>
  <c r="B137" i="2"/>
  <c r="B138" i="2"/>
  <c r="B13" i="2"/>
  <c r="B101" i="2"/>
  <c r="B102" i="2"/>
  <c r="B49" i="2"/>
  <c r="B103" i="2"/>
  <c r="B75" i="2"/>
  <c r="B81" i="2"/>
  <c r="B135" i="2"/>
  <c r="B89" i="2"/>
  <c r="B67" i="2"/>
  <c r="B206" i="2"/>
  <c r="B4" i="2"/>
  <c r="B31" i="2"/>
  <c r="B134" i="2"/>
  <c r="B74" i="2"/>
  <c r="B127" i="2"/>
  <c r="B128" i="2"/>
  <c r="B129" i="2"/>
  <c r="B130" i="2"/>
  <c r="B131" i="2"/>
  <c r="B132" i="2"/>
  <c r="B133" i="2"/>
  <c r="B30" i="2"/>
  <c r="B12" i="2"/>
  <c r="B11" i="2"/>
  <c r="B126" i="2"/>
  <c r="B205" i="2"/>
  <c r="B10" i="2"/>
  <c r="B27" i="2"/>
  <c r="B125" i="2"/>
  <c r="B204" i="2"/>
  <c r="B47" i="2"/>
  <c r="B48" i="2"/>
  <c r="B124" i="2"/>
  <c r="B100" i="2"/>
  <c r="B88" i="2"/>
  <c r="B46" i="2"/>
  <c r="B45" i="2"/>
  <c r="B44" i="2"/>
  <c r="B9" i="2"/>
  <c r="B43" i="2"/>
  <c r="B59" i="2"/>
  <c r="B60" i="2"/>
  <c r="B42" i="2"/>
  <c r="B122" i="2"/>
  <c r="B123" i="2"/>
  <c r="B6" i="2"/>
  <c r="B41" i="2"/>
  <c r="B99" i="2"/>
  <c r="B121" i="2"/>
  <c r="B119" i="2"/>
  <c r="B120" i="2"/>
  <c r="B216" i="2"/>
  <c r="B98" i="2"/>
  <c r="B118" i="2"/>
  <c r="B40" i="2"/>
  <c r="B66" i="2"/>
  <c r="B58" i="2"/>
  <c r="B97" i="2"/>
  <c r="B203" i="2"/>
  <c r="B117" i="2"/>
  <c r="B116" i="2"/>
  <c r="B115" i="2"/>
  <c r="B64" i="2"/>
  <c r="B65" i="2"/>
  <c r="B57" i="2"/>
  <c r="B8" i="2"/>
  <c r="B39" i="2"/>
  <c r="B96" i="2"/>
  <c r="B95" i="2"/>
  <c r="B38" i="2"/>
  <c r="B114" i="2"/>
  <c r="B63" i="2"/>
  <c r="B87" i="2"/>
  <c r="B94" i="2"/>
  <c r="B37" i="2"/>
  <c r="B230" i="2"/>
  <c r="B110" i="2"/>
  <c r="B5" i="3" a="1"/>
  <c r="B5" i="3" l="1"/>
  <c r="H5" i="3" a="1"/>
  <c r="H5" i="3" l="1"/>
  <c r="N5" i="3" a="1"/>
  <c r="T5" i="3" a="1"/>
  <c r="N5" i="3" l="1"/>
  <c r="T5" i="3"/>
  <c r="Z5" i="3" a="1"/>
  <c r="Z5" i="3" l="1"/>
  <c r="AF5" i="3" a="1"/>
  <c r="B4" i="4" a="1"/>
  <c r="AF5" i="3" l="1"/>
  <c r="B4" i="4"/>
  <c r="H4" i="4" a="1"/>
  <c r="H4" i="4" l="1"/>
  <c r="N4" i="4" a="1"/>
  <c r="N4" i="4" l="1"/>
  <c r="T4" i="4" a="1"/>
  <c r="T4" i="4" l="1"/>
  <c r="Z4" i="4" a="1"/>
  <c r="Z4" i="4" l="1"/>
  <c r="B4" i="6" a="1"/>
  <c r="B4" i="6" l="1"/>
  <c r="H4" i="6" a="1"/>
  <c r="H4" i="6" l="1"/>
  <c r="N4" i="6" a="1"/>
  <c r="N4" i="6" l="1"/>
  <c r="B5" i="7" a="1"/>
  <c r="B5" i="7" l="1"/>
  <c r="H5" i="7" a="1"/>
  <c r="H5" i="7" l="1"/>
  <c r="N5" i="7" a="1"/>
  <c r="N5" i="7" l="1"/>
  <c r="T5" i="7" a="1"/>
  <c r="T5" i="7" l="1"/>
  <c r="Z5" i="7" a="1"/>
  <c r="Z5" i="7" l="1"/>
  <c r="B5" i="8" a="1"/>
  <c r="B5" i="8" l="1"/>
  <c r="H5" i="8" a="1"/>
  <c r="H5" i="8" l="1"/>
  <c r="N5" i="8" a="1"/>
  <c r="N5" i="8" l="1"/>
  <c r="B5" i="9" a="1"/>
  <c r="H5" i="9" a="1"/>
  <c r="N5" i="9" a="1"/>
  <c r="B5" i="9" l="1"/>
  <c r="H5" i="9"/>
  <c r="N5" i="9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python.xml><?xml version="1.0" encoding="utf-8"?>
<python xmlns="http://schemas.microsoft.com/office/spreadsheetml/2023/python">
  <environmentDefinition id="{882DD1B0-6546-4DFA-8A08-902A380B44EA}">
    <initialization userModified="1"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xl(%P2%)
# select columns by index positions
df_view = df.iloc[:, [4, 9, 2, 8,11]]
# rename selected columns
df_view.columns = [
    "Unit",
    "Assigned to",
    "Days open",
    "Issue",
    "Status"
]
# sort by Days open (descending)
df_view = df_view.sort_values(by="Days open", ascending=False)
df_view = df_view.reset_index(drop=True)
# display result
df_view</code>
    </pythonScript>
    <pythonScript>
      <code>df = xl(%P2%)
# select columns by index positions
df_view = df.iloc[:, [4, 9, 2, 8,11]]
# rename selected columns
df_view.columns = [
    "Unit",
    "Assigned to",
    "Days open",
    "Issue",
    "Status"
]
# filter: only Unassigned
df_view = df_view[df_view["Assigned to"] == "Unassigned"]
# sort by Days open (descending)
df_view = df_view.sort_values(by="Days open", ascending=False)
# reset index after filtering &amp; sorting
df_view = df_view.reset_index(drop=True)
# display result
df_view</code>
    </pythonScript>
    <pythonScript>
      <code>df = xl(%P2%)
phase_col = df.iloc[:, 0].astype(str).str.strip()
allowed_phases = ["5", "7", "8"]
phase_mask = phase_col.isin(allowed_phases)
final_mask = phase_mask 
df_view = df.loc[final_mask, [4, 9, 2, 8,11]]
df_view.columns = [
    "Unit",
    "Assigned to",
    "Days open",
    "Issue",
    "Status"
]
df_view = df_view.sort_values(
    by="Days open",
    ascending=False
)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["5", "7", "8"]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phase_col = df.iloc[:, 0].astype(str).str.strip()
allowed_phases = ["3", "4", "4c"]
phase_mask = phase_col.isin(allowed_phases)
final_mask = phase_mask 
df_view = df.loc[final_mask, [4, 9, 2, 8,11]]
df_view.columns = [
    "Unit",
    "Assigned to",
    "Days open",
    "Issue",
    "Status"
]
df_view = df_view.sort_values(
    by="Days open",
    ascending=False
)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["3", "4", "4c"]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select columns by index positions
df_view = df.iloc[:, [4, 9, 2, 8,11]]
# rename selected columns
df_view.columns = [
    "Unit",
    "Assigned to",
    "Days open",
    "Issue",
    "Status"
]
# filter: only Unassigned
df_view = df_view[df_view["Assigned to"] == "Roberto Palacios"]
# sort by Days open (descending)
df_view = df_view.sort_values(by="Days open", ascending=False)
# reset index after filtering &amp; sorting
df_view = df_view.reset_index(drop=True)
# display result
df_view</code>
    </pythonScript>
    <pythonScript>
      <code>df = xl(%P2%)
# --------------------
# filters (CONTROL TILE)
# --------------------
# Assigned filter
allowed_assigned = ["Latrell Dawson"]
assigned_col = df.iloc[:, 9].fillna("").astype(str).str.strip()
assigned_mask = assigned_col.isin(allowed_assigned)
# Status filter
allowed_status = ["In progress"]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["Yomar Gonzalez"]
assigned_col = df.iloc[:, 9].fillna("").astype(str).str.strip()
assigned_mask = assigned_col.isin(allowed_assigned)
# Status filter
allowed_status = ["In progress"]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["Barron Russell"]
assigned_col = df.iloc[:, 9].fillna("").astype(str).str.strip()
assigned_mask = assigned_col.isin(allowed_assigned)
# Status filter
allowed_status = ["In progress"]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["Antonio Sherfield"]
assigned_col = df.iloc[:, 9].fillna("").astype(str).str.strip()
assigned_mask = assigned_col.isin(allowed_assigned)
# Status filter
allowed_status = ["In progress"]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["5"]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["7"]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normalize Phase (force numeric)
phase_col = df.iloc[:, 0].astype(str).str.strip()
allowed_phases = ["8"]
phase_mask = phase_col.isin(allowed_phases)
# normalize Assigned
assigned_col = df.iloc[:, 9].fillna("").astype(str).str.strip()
allowed_assigned = ["Unassigned", ""]
assigned_mask = assigned_col.isin(allowed_assigned)
# combined filter
final_mask = phase_mask &amp; assigned_mask
# --------------------
# select columns
# --------------------
df_view = df.loc[final_mask, [4, 9, 2, 8,11]]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["Latrell Dawson"]
assigned_col = df.iloc[:, 9].fillna("").astype(str).str.strip()
assigned_mask = assigned_col.isin(allowed_assigned)
# Status filter
allowed_status = ["On hold"]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allowed_assigned = ["Unassigned"]
assigned_col = df.iloc[:, 9].fillna("").astype(str).str.strip()
assigned_mask = assigned_col.isin(allowed_assigned)
phase_col = df.iloc[:, 0].astype(str).str.strip()
allowed_phases = ["5"]
phase_mask = phase_col.isin(allowed_phases)
final_mask = assigned_mask &amp;  phase_mask
df_view = df.loc[final_mask, [4, 9, 2, 8, 11]]
df_view.columns = [
    "Unit",
    "Assigned to",
    "Days open",
    "Issue",
    "Status"
]
df_view = df_view.sort_values(
    by="Days open",
    ascending=False
)
df_view = df_view.reset_index(drop=True)
df_view</code>
    </pythonScript>
    <pythonScript>
      <code>df = xl(%P2%)
# --------------------
# filters (CONTROL TILE)
# --------------------
# Assigned filter
allowed_assigned = ["Yomar Gonzalez"]
assigned_col = df.iloc[:, 9].fillna("").astype(str).str.strip()
assigned_mask = assigned_col.isin(allowed_assigned)
# Status filter
allowed_status = ["On hold"]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# --------------------
# filters (CONTROL TILE)
# --------------------
# Assigned filter
allowed_assigned = ["Barron Russell"]
assigned_col = df.iloc[:, 9].fillna("").astype(str).str.strip()
assigned_mask = assigned_col.isin(allowed_assigned)
# Status filter
allowed_status = ["On hold"]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allowed_assigned = ["Unassigned"]
assigned_col = df.iloc[:, 9].fillna("").astype(str).str.strip()
assigned_mask = assigned_col.isin(allowed_assigned)
phase_col = df.iloc[:, 0].astype(str).str.strip()
allowed_phases = ["7"]
phase_mask = phase_col.isin(allowed_phases)
final_mask = assigned_mask &amp;  phase_mask
df_view = df.loc[final_mask, [4, 9, 2, 8, 11]]
df_view.columns = [
    "Unit",
    "Assigned to",
    "Days open",
    "Issue",
    "Status"
]
df_view = df_view.sort_values(
    by="Days open",
    ascending=False
)
df_view = df_view.reset_index(drop=True)
df_view</code>
    </pythonScript>
    <pythonScript>
      <code>df = xl(%P2%)
# --------------------
# filters (CONTROL TILE)
# --------------------
# Assigned filter
allowed_assigned = ["Antonio Sherfield"]
assigned_col = df.iloc[:, 9].fillna("").astype(str).str.strip()
assigned_mask = assigned_col.isin(allowed_assigned)
# Status filter
allowed_status = ["On hold"]
status_col = df.iloc[:, 11].fillna("").astype(str).str.strip()
status_mask = status_col.isin(allowed_status)
# combine filters
final_mask = assigned_mask &amp; status_mask
# --------------------
# select columns
# --------------------
df_view = df.loc[final_mask, [4, 9, 2, 8, 11]]
df_view.columns = [
    "Unit",
    "Assigned to",
    "Days open",
    "Issue",
    "Status"
]
# --------------------
# sort
# --------------------
df_view = df_view.sort_values(
    by="Days open",
    ascending=False
)
# --------------------
# cleanup
# --------------------
df_view = df_view.reset_index(drop=True)
df_view</code>
    </pythonScript>
    <pythonScript>
      <code>df = xl(%P2%)
allowed_assigned = ["Unassigned"]
assigned_col = df.iloc[:, 9].fillna("").astype(str).str.strip()
assigned_mask = assigned_col.isin(allowed_assigned)
phase_col = df.iloc[:, 0].astype(str).str.strip()
allowed_phases = ["8"]
phase_mask = phase_col.isin(allowed_phases)
final_mask = assigned_mask &amp;  phase_mask
df_view = df.loc[final_mask, [4, 9, 2, 8, 11]]
df_view.columns = [
    "Unit",
    "Assigned to",
    "Days open",
    "Issue",
    "Status"
]
df_view = df_view.sort_values(
    by="Days open",
    ascending=False
)
df_view = df_view.reset_index(drop=True)
df_view</code>
    </pythonScript>
  </pythonScripts>
</python>
</file>

<file path=xl/sharedStrings.xml><?xml version="1.0" encoding="utf-8"?>
<sst xmlns="http://schemas.openxmlformats.org/spreadsheetml/2006/main" count="2129" uniqueCount="637">
  <si>
    <t>Number</t>
  </si>
  <si>
    <t>Location</t>
  </si>
  <si>
    <t>Created date</t>
  </si>
  <si>
    <t>Due date</t>
  </si>
  <si>
    <t>Days open</t>
  </si>
  <si>
    <t>Service Category</t>
  </si>
  <si>
    <t>Issue</t>
  </si>
  <si>
    <t>Assigned to</t>
  </si>
  <si>
    <t>Priority</t>
  </si>
  <si>
    <t>Status</t>
  </si>
  <si>
    <t>13079-1</t>
  </si>
  <si>
    <t>8-01-1005</t>
  </si>
  <si>
    <t>01/22/2026</t>
  </si>
  <si>
    <t>01/23/2026</t>
  </si>
  <si>
    <t>Heating and cooling</t>
  </si>
  <si>
    <t>Other - Please see comments</t>
  </si>
  <si>
    <t>Unassigned</t>
  </si>
  <si>
    <t>2 - Standard</t>
  </si>
  <si>
    <t>In progress</t>
  </si>
  <si>
    <t>13076-1</t>
  </si>
  <si>
    <t>8-01-4049</t>
  </si>
  <si>
    <t>Doors and locks</t>
  </si>
  <si>
    <t>SmartLock broken</t>
  </si>
  <si>
    <t>13075-1</t>
  </si>
  <si>
    <t>4-21-0205</t>
  </si>
  <si>
    <t>Plumbing and bath</t>
  </si>
  <si>
    <t>Tub-other problem</t>
  </si>
  <si>
    <t>13074-1</t>
  </si>
  <si>
    <t>4-27-0305</t>
  </si>
  <si>
    <t>Appliance</t>
  </si>
  <si>
    <t>Mw door/handle broken/damaged</t>
  </si>
  <si>
    <t>13073-1</t>
  </si>
  <si>
    <t>8-01-3076</t>
  </si>
  <si>
    <t>13072-1</t>
  </si>
  <si>
    <t>4-22-0224</t>
  </si>
  <si>
    <t>Building exterior</t>
  </si>
  <si>
    <t>13071-1</t>
  </si>
  <si>
    <t>8-01-2039</t>
  </si>
  <si>
    <t>Shower clogged</t>
  </si>
  <si>
    <t>13069-1</t>
  </si>
  <si>
    <t>3-31-0205</t>
  </si>
  <si>
    <t>Patio door gaps or is drafty</t>
  </si>
  <si>
    <t>13061-1</t>
  </si>
  <si>
    <t>5-18-0348</t>
  </si>
  <si>
    <t>Flooring</t>
  </si>
  <si>
    <t>Roberto Palacios</t>
  </si>
  <si>
    <t>13058-1</t>
  </si>
  <si>
    <t>3-27-0301</t>
  </si>
  <si>
    <t>13056-1</t>
  </si>
  <si>
    <t>3-24-0203</t>
  </si>
  <si>
    <t>Alexander Gonzalez</t>
  </si>
  <si>
    <t>13055-1</t>
  </si>
  <si>
    <t>4-25-0315</t>
  </si>
  <si>
    <t>Interior Finishes</t>
  </si>
  <si>
    <t>Other Issue</t>
  </si>
  <si>
    <t>13057-1</t>
  </si>
  <si>
    <t>3-23-0302</t>
  </si>
  <si>
    <t>Victor Castaneda</t>
  </si>
  <si>
    <t>1 - Emergency</t>
  </si>
  <si>
    <t>13051-1</t>
  </si>
  <si>
    <t>3-18-0104</t>
  </si>
  <si>
    <t>13048-1</t>
  </si>
  <si>
    <t>5-18-0111</t>
  </si>
  <si>
    <t>Shower-other problem</t>
  </si>
  <si>
    <t>13046-1</t>
  </si>
  <si>
    <t>5-18-0310</t>
  </si>
  <si>
    <t>Faucet-other problem</t>
  </si>
  <si>
    <t>13032-1</t>
  </si>
  <si>
    <t>3-09-0205</t>
  </si>
  <si>
    <t>Thermostat-other problem</t>
  </si>
  <si>
    <t>13030-1</t>
  </si>
  <si>
    <t>3-18-0301</t>
  </si>
  <si>
    <t>Toilet runs continually</t>
  </si>
  <si>
    <t>13029-1</t>
  </si>
  <si>
    <t>4-01-5790</t>
  </si>
  <si>
    <t>13028-1</t>
  </si>
  <si>
    <t>4-23-0104</t>
  </si>
  <si>
    <t>Pest Control</t>
  </si>
  <si>
    <t>Pest Control requested</t>
  </si>
  <si>
    <t>13027-1</t>
  </si>
  <si>
    <t>3-16-0115</t>
  </si>
  <si>
    <t>13026-1</t>
  </si>
  <si>
    <t>8-01-2091</t>
  </si>
  <si>
    <t>01/21/2026</t>
  </si>
  <si>
    <t>Washer does not work</t>
  </si>
  <si>
    <t>Miguel Gil</t>
  </si>
  <si>
    <t>13019-1</t>
  </si>
  <si>
    <t>4-22-0308</t>
  </si>
  <si>
    <t>Barron Russell</t>
  </si>
  <si>
    <t>On hold</t>
  </si>
  <si>
    <t>13017-1</t>
  </si>
  <si>
    <t>3-26-0202</t>
  </si>
  <si>
    <t>Mw shorts/smokes/sparks</t>
  </si>
  <si>
    <t>13016-1</t>
  </si>
  <si>
    <t>4-06-5795</t>
  </si>
  <si>
    <t>13013-1</t>
  </si>
  <si>
    <t>3-30-0121</t>
  </si>
  <si>
    <t>13011-1</t>
  </si>
  <si>
    <t>5-17-0316</t>
  </si>
  <si>
    <t>Electrical and lighting</t>
  </si>
  <si>
    <t>Light bulb is out</t>
  </si>
  <si>
    <t>Yomar Gonzalez</t>
  </si>
  <si>
    <t>13009-1</t>
  </si>
  <si>
    <t>5-04-5740</t>
  </si>
  <si>
    <t>13007-1</t>
  </si>
  <si>
    <t>3-02-0202</t>
  </si>
  <si>
    <t>Need key, make duplicate</t>
  </si>
  <si>
    <t>13005-1</t>
  </si>
  <si>
    <t>7-04-0212</t>
  </si>
  <si>
    <t>Sink-other problem</t>
  </si>
  <si>
    <t>13001-1</t>
  </si>
  <si>
    <t>12999-1</t>
  </si>
  <si>
    <t>Fading or discoloration</t>
  </si>
  <si>
    <t>12997-1</t>
  </si>
  <si>
    <t>4-16-5789</t>
  </si>
  <si>
    <t>A/C filter needs changing</t>
  </si>
  <si>
    <t>Dennis Arevalo</t>
  </si>
  <si>
    <t>12996-1</t>
  </si>
  <si>
    <t>5-18-0244</t>
  </si>
  <si>
    <t>Water leak</t>
  </si>
  <si>
    <t>12993-1</t>
  </si>
  <si>
    <t>Heater does not heat properly</t>
  </si>
  <si>
    <t>12992-1</t>
  </si>
  <si>
    <t>3-02-0304</t>
  </si>
  <si>
    <t>12990-1</t>
  </si>
  <si>
    <t>3-12-0012</t>
  </si>
  <si>
    <t>Common Area</t>
  </si>
  <si>
    <t>Broken equipment</t>
  </si>
  <si>
    <t>Edna Pacheco</t>
  </si>
  <si>
    <t>12989-1</t>
  </si>
  <si>
    <t>7-07-0204</t>
  </si>
  <si>
    <t>Antonio Sherfield</t>
  </si>
  <si>
    <t>12988-1</t>
  </si>
  <si>
    <t>3-32-0308</t>
  </si>
  <si>
    <t>DW door does not work/lock</t>
  </si>
  <si>
    <t>12985-1</t>
  </si>
  <si>
    <t>5-18-0315</t>
  </si>
  <si>
    <t>Vents/ducts dirty/odor</t>
  </si>
  <si>
    <t>12984-1</t>
  </si>
  <si>
    <t>12983-1</t>
  </si>
  <si>
    <t>4-26-0236</t>
  </si>
  <si>
    <t>Outlet does not work</t>
  </si>
  <si>
    <t>Rafael Anez</t>
  </si>
  <si>
    <t>12982-1</t>
  </si>
  <si>
    <t>Chuck Griffis</t>
  </si>
  <si>
    <t>12981-1</t>
  </si>
  <si>
    <t>Frig/freezer/ice maker leaks</t>
  </si>
  <si>
    <t>12977-1</t>
  </si>
  <si>
    <t>8-01-4126</t>
  </si>
  <si>
    <t>Window won't close</t>
  </si>
  <si>
    <t>12975-1</t>
  </si>
  <si>
    <t>5-18-0128</t>
  </si>
  <si>
    <t>12969-1</t>
  </si>
  <si>
    <t>8-01-1014</t>
  </si>
  <si>
    <t>12968-1</t>
  </si>
  <si>
    <t>12967-1</t>
  </si>
  <si>
    <t>7-02-0204</t>
  </si>
  <si>
    <t>DW does not work</t>
  </si>
  <si>
    <t>12966-1</t>
  </si>
  <si>
    <t>Other mail issue</t>
  </si>
  <si>
    <t>12965-1</t>
  </si>
  <si>
    <t>5-11-0204</t>
  </si>
  <si>
    <t>12956-1</t>
  </si>
  <si>
    <t>3-02-0204</t>
  </si>
  <si>
    <t>12955-1</t>
  </si>
  <si>
    <t>4c-01-W309</t>
  </si>
  <si>
    <t>12953-1</t>
  </si>
  <si>
    <t>3-09-0301</t>
  </si>
  <si>
    <t>Lock-other problem</t>
  </si>
  <si>
    <t>12952-1</t>
  </si>
  <si>
    <t>Dryer takes too long to dry</t>
  </si>
  <si>
    <t>12942-1</t>
  </si>
  <si>
    <t>01/20/2026</t>
  </si>
  <si>
    <t>Faucet water pressure problems</t>
  </si>
  <si>
    <t>12941-1</t>
  </si>
  <si>
    <t>5-02-0313</t>
  </si>
  <si>
    <t>Heater-other problem</t>
  </si>
  <si>
    <t>12939-1</t>
  </si>
  <si>
    <t>7-03-0113</t>
  </si>
  <si>
    <t>Drafts or poor air circulation</t>
  </si>
  <si>
    <t>12936-1</t>
  </si>
  <si>
    <t>3-33-0210</t>
  </si>
  <si>
    <t>Frig parts/access missing/brkn</t>
  </si>
  <si>
    <t>12925-1</t>
  </si>
  <si>
    <t>4-21-0202</t>
  </si>
  <si>
    <t>Minnie Reyes</t>
  </si>
  <si>
    <t>12924-1</t>
  </si>
  <si>
    <t>5-01-0218</t>
  </si>
  <si>
    <t>12923-1</t>
  </si>
  <si>
    <t>7-11-0405</t>
  </si>
  <si>
    <t>12916-1</t>
  </si>
  <si>
    <t>5-18-0225</t>
  </si>
  <si>
    <t>12917-1</t>
  </si>
  <si>
    <t>3-03-0210</t>
  </si>
  <si>
    <t>12915-1</t>
  </si>
  <si>
    <t>Light flickers</t>
  </si>
  <si>
    <t>12914-1</t>
  </si>
  <si>
    <t>12913-1</t>
  </si>
  <si>
    <t>12911-1</t>
  </si>
  <si>
    <t>3-33-0308</t>
  </si>
  <si>
    <t>12908-1</t>
  </si>
  <si>
    <t>7-02-0313</t>
  </si>
  <si>
    <t>Washer will not fill/drain</t>
  </si>
  <si>
    <t>12905-1</t>
  </si>
  <si>
    <t>3-04-7105</t>
  </si>
  <si>
    <t>Vents/ducts-other problem</t>
  </si>
  <si>
    <t>12903-1</t>
  </si>
  <si>
    <t>4c-02-S308</t>
  </si>
  <si>
    <t>12902-1</t>
  </si>
  <si>
    <t>4-12-7089</t>
  </si>
  <si>
    <t>Power-other problem</t>
  </si>
  <si>
    <t>12901-1</t>
  </si>
  <si>
    <t>Mw does not work/heat properly</t>
  </si>
  <si>
    <t>12897-1</t>
  </si>
  <si>
    <t>7-08-0107</t>
  </si>
  <si>
    <t>12893-1</t>
  </si>
  <si>
    <t>3-32-0203</t>
  </si>
  <si>
    <t>12872-1</t>
  </si>
  <si>
    <t>8-01-1113</t>
  </si>
  <si>
    <t>12867-1</t>
  </si>
  <si>
    <t>4-27-0313</t>
  </si>
  <si>
    <t>Outlet switch does not work</t>
  </si>
  <si>
    <t>12866-1</t>
  </si>
  <si>
    <t>Tub faucet/spout broken</t>
  </si>
  <si>
    <t>12861-1</t>
  </si>
  <si>
    <t>5-01-0213</t>
  </si>
  <si>
    <t>01/19/2026</t>
  </si>
  <si>
    <t>Ceiling fan is noisy</t>
  </si>
  <si>
    <t>12857-1</t>
  </si>
  <si>
    <t>3-31-0212</t>
  </si>
  <si>
    <t>12852-1</t>
  </si>
  <si>
    <t>8-01-3009</t>
  </si>
  <si>
    <t>12851-1</t>
  </si>
  <si>
    <t>5-17-0117</t>
  </si>
  <si>
    <t>Dryer does not work properly</t>
  </si>
  <si>
    <t>Latrell Dawson</t>
  </si>
  <si>
    <t>12829-1</t>
  </si>
  <si>
    <t>7-08-0308</t>
  </si>
  <si>
    <t>12804-1</t>
  </si>
  <si>
    <t>7-04-0209</t>
  </si>
  <si>
    <t>Int door hinge problems</t>
  </si>
  <si>
    <t>12802-1</t>
  </si>
  <si>
    <t>5-18-0102</t>
  </si>
  <si>
    <t>12797-1</t>
  </si>
  <si>
    <t>3-27-0202</t>
  </si>
  <si>
    <t>01/18/2026</t>
  </si>
  <si>
    <t>12787-1</t>
  </si>
  <si>
    <t>3-01-0206</t>
  </si>
  <si>
    <t>12760-1</t>
  </si>
  <si>
    <t>5-18-0320</t>
  </si>
  <si>
    <t>01/17/2026</t>
  </si>
  <si>
    <t>12758-1</t>
  </si>
  <si>
    <t>Mw light does not work</t>
  </si>
  <si>
    <t>12757-1</t>
  </si>
  <si>
    <t>5-18-0137</t>
  </si>
  <si>
    <t>Inspection and make ready</t>
  </si>
  <si>
    <t>12739-1</t>
  </si>
  <si>
    <t>7-11-0508</t>
  </si>
  <si>
    <t>Make Ready</t>
  </si>
  <si>
    <t>12736-1</t>
  </si>
  <si>
    <t>3-08-0108</t>
  </si>
  <si>
    <t>12734-1</t>
  </si>
  <si>
    <t>4-26-0102</t>
  </si>
  <si>
    <t>12724-1</t>
  </si>
  <si>
    <t>4-01-5786</t>
  </si>
  <si>
    <t>01/16/2026</t>
  </si>
  <si>
    <t>12721-1</t>
  </si>
  <si>
    <t>3-11-0106</t>
  </si>
  <si>
    <t>Diego Zapata</t>
  </si>
  <si>
    <t>12722-1</t>
  </si>
  <si>
    <t>12720-1</t>
  </si>
  <si>
    <t>8-01-3101</t>
  </si>
  <si>
    <t>12716-1</t>
  </si>
  <si>
    <t>5-18-0413</t>
  </si>
  <si>
    <t>12706-1</t>
  </si>
  <si>
    <t>7-11-0206</t>
  </si>
  <si>
    <t>12703-2</t>
  </si>
  <si>
    <t>4-21-0209</t>
  </si>
  <si>
    <t>Chipping or peeling trim</t>
  </si>
  <si>
    <t>12700-1</t>
  </si>
  <si>
    <t>Locks or latches not working</t>
  </si>
  <si>
    <t>12695-1</t>
  </si>
  <si>
    <t>4-22-0220</t>
  </si>
  <si>
    <t>Washer-no cycle/rinse/spin</t>
  </si>
  <si>
    <t>12693-1</t>
  </si>
  <si>
    <t>1956-31</t>
  </si>
  <si>
    <t>Clubhouse</t>
  </si>
  <si>
    <t>Preventative maintenance</t>
  </si>
  <si>
    <t>Facilities Tech</t>
  </si>
  <si>
    <t>5 - Preventative</t>
  </si>
  <si>
    <t>12656-1</t>
  </si>
  <si>
    <t>4-26-0411</t>
  </si>
  <si>
    <t>01/15/2026</t>
  </si>
  <si>
    <t>Washer is noisy</t>
  </si>
  <si>
    <t>12655-1</t>
  </si>
  <si>
    <t>3-29-0323</t>
  </si>
  <si>
    <t>Damaged or missing screens</t>
  </si>
  <si>
    <t>12626-1</t>
  </si>
  <si>
    <t>3-20-0101</t>
  </si>
  <si>
    <t>01/14/2026</t>
  </si>
  <si>
    <t>12624-1</t>
  </si>
  <si>
    <t>5-03-0429</t>
  </si>
  <si>
    <t>Carpet is wet</t>
  </si>
  <si>
    <t>Miguel Gonzalez</t>
  </si>
  <si>
    <t>12621-1</t>
  </si>
  <si>
    <t>5-16-0303</t>
  </si>
  <si>
    <t>12609-1</t>
  </si>
  <si>
    <t>Pool - Verandah</t>
  </si>
  <si>
    <t>03/31/2026</t>
  </si>
  <si>
    <t>Structure</t>
  </si>
  <si>
    <t>Replace/Repair Canopy or sail</t>
  </si>
  <si>
    <t>Shawn Gove</t>
  </si>
  <si>
    <t>12564-1</t>
  </si>
  <si>
    <t>7-09-0206</t>
  </si>
  <si>
    <t>Sink leaks</t>
  </si>
  <si>
    <t>12537-1</t>
  </si>
  <si>
    <t>4-11-7125</t>
  </si>
  <si>
    <t>01/13/2026</t>
  </si>
  <si>
    <t>Rayniel Rincon</t>
  </si>
  <si>
    <t>12498-1</t>
  </si>
  <si>
    <t>4-23-0109</t>
  </si>
  <si>
    <t>01/12/2026</t>
  </si>
  <si>
    <t>12496-1</t>
  </si>
  <si>
    <t>4-21-0216</t>
  </si>
  <si>
    <t>Water from ceiling</t>
  </si>
  <si>
    <t>12495-1</t>
  </si>
  <si>
    <t>Dryer area is dirty</t>
  </si>
  <si>
    <t>12481-1</t>
  </si>
  <si>
    <t>4-27-0308</t>
  </si>
  <si>
    <t>12480-1</t>
  </si>
  <si>
    <t>3-17-0210</t>
  </si>
  <si>
    <t>12443-1</t>
  </si>
  <si>
    <t>4-25-0216</t>
  </si>
  <si>
    <t>01/11/2026</t>
  </si>
  <si>
    <t>12418-1</t>
  </si>
  <si>
    <t>5-18-0312</t>
  </si>
  <si>
    <t>01/10/2026</t>
  </si>
  <si>
    <t>Paint faded/chipped</t>
  </si>
  <si>
    <t>12415-1</t>
  </si>
  <si>
    <t>3-33-0102</t>
  </si>
  <si>
    <t>12410-1</t>
  </si>
  <si>
    <t>12404-1</t>
  </si>
  <si>
    <t>3-01-0210</t>
  </si>
  <si>
    <t>DW does not drain/backing up</t>
  </si>
  <si>
    <t>12401-3</t>
  </si>
  <si>
    <t>4c-02-S202</t>
  </si>
  <si>
    <t>Oven light out</t>
  </si>
  <si>
    <t>12394-1</t>
  </si>
  <si>
    <t>3-01-0202</t>
  </si>
  <si>
    <t>Broken or Missing brackets</t>
  </si>
  <si>
    <t>12393-1</t>
  </si>
  <si>
    <t>12380-1</t>
  </si>
  <si>
    <t>3-28-0212</t>
  </si>
  <si>
    <t>12374-1</t>
  </si>
  <si>
    <t>01/09/2026</t>
  </si>
  <si>
    <t>Ice maker makes bad/dirty ice</t>
  </si>
  <si>
    <t>12368-1</t>
  </si>
  <si>
    <t>A/C does not cool properly</t>
  </si>
  <si>
    <t>12367-1</t>
  </si>
  <si>
    <t>12355-1</t>
  </si>
  <si>
    <t>4-17-5785</t>
  </si>
  <si>
    <t>Gutter damaged</t>
  </si>
  <si>
    <t>12347-1</t>
  </si>
  <si>
    <t>4c-02-S306</t>
  </si>
  <si>
    <t>12346-1</t>
  </si>
  <si>
    <t>12324-1</t>
  </si>
  <si>
    <t>3-01-0201</t>
  </si>
  <si>
    <t>01/08/2026</t>
  </si>
  <si>
    <t>Washer controls/knobs broken</t>
  </si>
  <si>
    <t>12323-1</t>
  </si>
  <si>
    <t>Dryer-other problem</t>
  </si>
  <si>
    <t>12322-1</t>
  </si>
  <si>
    <t>12316-1</t>
  </si>
  <si>
    <t>5-03-0133</t>
  </si>
  <si>
    <t>Carpet-other problem</t>
  </si>
  <si>
    <t>12314-1</t>
  </si>
  <si>
    <t>3-09-0105</t>
  </si>
  <si>
    <t>12296-1</t>
  </si>
  <si>
    <t>3-03-0101</t>
  </si>
  <si>
    <t>Cabinet door missing</t>
  </si>
  <si>
    <t>12295-1</t>
  </si>
  <si>
    <t>12289-1</t>
  </si>
  <si>
    <t>3-16-0102</t>
  </si>
  <si>
    <t>12235-1</t>
  </si>
  <si>
    <t>3-08-0109</t>
  </si>
  <si>
    <t>01/07/2026</t>
  </si>
  <si>
    <t>12129-1</t>
  </si>
  <si>
    <t>5-18-0330</t>
  </si>
  <si>
    <t>01/06/2026</t>
  </si>
  <si>
    <t>Washer-other problem</t>
  </si>
  <si>
    <t>12081-1</t>
  </si>
  <si>
    <t>3-28-0224</t>
  </si>
  <si>
    <t>01/05/2026</t>
  </si>
  <si>
    <t>12062-1</t>
  </si>
  <si>
    <t>12032-1</t>
  </si>
  <si>
    <t>4-04-7105</t>
  </si>
  <si>
    <t>12030-1</t>
  </si>
  <si>
    <t>3-01-0310</t>
  </si>
  <si>
    <t>Ceramic floor tile need repair</t>
  </si>
  <si>
    <t>12025-1</t>
  </si>
  <si>
    <t>4-07-5764</t>
  </si>
  <si>
    <t>12024-1</t>
  </si>
  <si>
    <t>Ext door-other problem</t>
  </si>
  <si>
    <t>12012-1</t>
  </si>
  <si>
    <t>4-26-0116</t>
  </si>
  <si>
    <t>01/04/2026</t>
  </si>
  <si>
    <t>12011-1</t>
  </si>
  <si>
    <t>3-13-0005</t>
  </si>
  <si>
    <t>12010-1</t>
  </si>
  <si>
    <t>12009-1</t>
  </si>
  <si>
    <t>11968-1</t>
  </si>
  <si>
    <t>01/03/2026</t>
  </si>
  <si>
    <t>11964-1</t>
  </si>
  <si>
    <t>4-24-0107</t>
  </si>
  <si>
    <t>Vinyl flooring needs repair</t>
  </si>
  <si>
    <t>11960-1</t>
  </si>
  <si>
    <t>Scratch or surface damage</t>
  </si>
  <si>
    <t>11953-1</t>
  </si>
  <si>
    <t>4-21-0210</t>
  </si>
  <si>
    <t>11939-1</t>
  </si>
  <si>
    <t>11936-1</t>
  </si>
  <si>
    <t>7-TH4-0106</t>
  </si>
  <si>
    <t>11909-1</t>
  </si>
  <si>
    <t>5-01-0217</t>
  </si>
  <si>
    <t>01/02/2026</t>
  </si>
  <si>
    <t>Carpet is old/outdated</t>
  </si>
  <si>
    <t>11907-1</t>
  </si>
  <si>
    <t>4-21-0223</t>
  </si>
  <si>
    <t>11898-1</t>
  </si>
  <si>
    <t>4c-01-W302</t>
  </si>
  <si>
    <t>Refrigerator-other problem</t>
  </si>
  <si>
    <t>11865-1</t>
  </si>
  <si>
    <t>5-18-0216</t>
  </si>
  <si>
    <t>11838-1</t>
  </si>
  <si>
    <t>3-33-0211</t>
  </si>
  <si>
    <t>12/31/2025</t>
  </si>
  <si>
    <t>01/01/2026</t>
  </si>
  <si>
    <t>Water on floor</t>
  </si>
  <si>
    <t>11839-1</t>
  </si>
  <si>
    <t>11809-1</t>
  </si>
  <si>
    <t>7-03-0217</t>
  </si>
  <si>
    <t>12/30/2025</t>
  </si>
  <si>
    <t>11767-1</t>
  </si>
  <si>
    <t>4c-02-S301</t>
  </si>
  <si>
    <t>Frig light does not work</t>
  </si>
  <si>
    <t>11741-1</t>
  </si>
  <si>
    <t>3-01-0205</t>
  </si>
  <si>
    <t>Tile-other problem</t>
  </si>
  <si>
    <t>Maint supervisor</t>
  </si>
  <si>
    <t>11703-1</t>
  </si>
  <si>
    <t>4-05-5789</t>
  </si>
  <si>
    <t>12/29/2025</t>
  </si>
  <si>
    <t>Cracked or separated pieces</t>
  </si>
  <si>
    <t>11702-1</t>
  </si>
  <si>
    <t>11701-1</t>
  </si>
  <si>
    <t>A/C leaks</t>
  </si>
  <si>
    <t>11700-1</t>
  </si>
  <si>
    <t>3-09-0106</t>
  </si>
  <si>
    <t>11699-1</t>
  </si>
  <si>
    <t>11698-1</t>
  </si>
  <si>
    <t>11697-1</t>
  </si>
  <si>
    <t>Vinyl flooring-other problem</t>
  </si>
  <si>
    <t>11685-1</t>
  </si>
  <si>
    <t>12/28/2025</t>
  </si>
  <si>
    <t>11665-1</t>
  </si>
  <si>
    <t>3-15-7025</t>
  </si>
  <si>
    <t>11591-1</t>
  </si>
  <si>
    <t>3-16-0218</t>
  </si>
  <si>
    <t>12/26/2025</t>
  </si>
  <si>
    <t>12/27/2025</t>
  </si>
  <si>
    <t>11568-1</t>
  </si>
  <si>
    <t>4-04-7113</t>
  </si>
  <si>
    <t>11565-1</t>
  </si>
  <si>
    <t>3-33-0311</t>
  </si>
  <si>
    <t>12/25/2025</t>
  </si>
  <si>
    <t>DW leaks</t>
  </si>
  <si>
    <t>11553-1</t>
  </si>
  <si>
    <t>3-18-0302</t>
  </si>
  <si>
    <t>No hot water</t>
  </si>
  <si>
    <t>11498-1</t>
  </si>
  <si>
    <t>8-01-1036</t>
  </si>
  <si>
    <t>12/23/2025</t>
  </si>
  <si>
    <t>11469-1</t>
  </si>
  <si>
    <t>12/22/2025</t>
  </si>
  <si>
    <t>11459-1</t>
  </si>
  <si>
    <t>3-24-0201</t>
  </si>
  <si>
    <t>11446-1</t>
  </si>
  <si>
    <t>3-07-0014</t>
  </si>
  <si>
    <t>Piece come loose/separated</t>
  </si>
  <si>
    <t>11445-1</t>
  </si>
  <si>
    <t>11418-1</t>
  </si>
  <si>
    <t>3-17-0303</t>
  </si>
  <si>
    <t>12/21/2025</t>
  </si>
  <si>
    <t>11416-1</t>
  </si>
  <si>
    <t>4-23-0209</t>
  </si>
  <si>
    <t>11392-1</t>
  </si>
  <si>
    <t>3-11-0110</t>
  </si>
  <si>
    <t>12/20/2025</t>
  </si>
  <si>
    <t>Patio-other problem</t>
  </si>
  <si>
    <t>11371-1</t>
  </si>
  <si>
    <t>4-26-0408</t>
  </si>
  <si>
    <t>12/19/2025</t>
  </si>
  <si>
    <t>11311-1</t>
  </si>
  <si>
    <t>4-26-0432</t>
  </si>
  <si>
    <t>12/18/2025</t>
  </si>
  <si>
    <t>11274-1</t>
  </si>
  <si>
    <t>12/17/2025</t>
  </si>
  <si>
    <t>11188-1</t>
  </si>
  <si>
    <t>12/16/2025</t>
  </si>
  <si>
    <t>Sink clogged/does not drain OK</t>
  </si>
  <si>
    <t>11130-1</t>
  </si>
  <si>
    <t>12/15/2025</t>
  </si>
  <si>
    <t>11129-1</t>
  </si>
  <si>
    <t>4-25-0116</t>
  </si>
  <si>
    <t>11128-1</t>
  </si>
  <si>
    <t>10939-1</t>
  </si>
  <si>
    <t>4-27-0211</t>
  </si>
  <si>
    <t>12/11/2025</t>
  </si>
  <si>
    <t>12/12/2025</t>
  </si>
  <si>
    <t>10894-1</t>
  </si>
  <si>
    <t>3-17-0204</t>
  </si>
  <si>
    <t>10887-1</t>
  </si>
  <si>
    <t>4-05-5791</t>
  </si>
  <si>
    <t>10871-1</t>
  </si>
  <si>
    <t>12/10/2025</t>
  </si>
  <si>
    <t>Ext door damaged/broken</t>
  </si>
  <si>
    <t>10868-1</t>
  </si>
  <si>
    <t>4-25-0105</t>
  </si>
  <si>
    <t>10786-1</t>
  </si>
  <si>
    <t>4-12-7105</t>
  </si>
  <si>
    <t>12/09/2025</t>
  </si>
  <si>
    <t>10762-1</t>
  </si>
  <si>
    <t>4-21-0316</t>
  </si>
  <si>
    <t>12/08/2025</t>
  </si>
  <si>
    <t>10653-1</t>
  </si>
  <si>
    <t>4-11-7129</t>
  </si>
  <si>
    <t>12/06/2025</t>
  </si>
  <si>
    <t>12/07/2025</t>
  </si>
  <si>
    <t>Water or liquid coming through</t>
  </si>
  <si>
    <t>10634-1</t>
  </si>
  <si>
    <t>4c-01-W208</t>
  </si>
  <si>
    <t>Shower control knob broken</t>
  </si>
  <si>
    <t>10520-1</t>
  </si>
  <si>
    <t>12/04/2025</t>
  </si>
  <si>
    <t>12/05/2025</t>
  </si>
  <si>
    <t>Mirror-other problem</t>
  </si>
  <si>
    <t>10502-1</t>
  </si>
  <si>
    <t>4-23-0217</t>
  </si>
  <si>
    <t>10456-1</t>
  </si>
  <si>
    <t>12/03/2025</t>
  </si>
  <si>
    <t>10356-1</t>
  </si>
  <si>
    <t>4-24-0101</t>
  </si>
  <si>
    <t>12/01/2025</t>
  </si>
  <si>
    <t>12/02/2025</t>
  </si>
  <si>
    <t>Faucet broken</t>
  </si>
  <si>
    <t>10259-1</t>
  </si>
  <si>
    <t>5-12-0205</t>
  </si>
  <si>
    <t>11/30/2025</t>
  </si>
  <si>
    <t>10184-1</t>
  </si>
  <si>
    <t>4-22-0302</t>
  </si>
  <si>
    <t>11/27/2025</t>
  </si>
  <si>
    <t>11/28/2025</t>
  </si>
  <si>
    <t>DW-other problem</t>
  </si>
  <si>
    <t>10178-1</t>
  </si>
  <si>
    <t>4-27-0116</t>
  </si>
  <si>
    <t>11/26/2025</t>
  </si>
  <si>
    <t>10167-1</t>
  </si>
  <si>
    <t>10089-1</t>
  </si>
  <si>
    <t>3-01-0209</t>
  </si>
  <si>
    <t>11/25/2025</t>
  </si>
  <si>
    <t>10063-1</t>
  </si>
  <si>
    <t>11/24/2025</t>
  </si>
  <si>
    <t>9915-1</t>
  </si>
  <si>
    <t>11/21/2025</t>
  </si>
  <si>
    <t>11/22/2025</t>
  </si>
  <si>
    <t>Broken Window</t>
  </si>
  <si>
    <t>9878-1</t>
  </si>
  <si>
    <t>5-18-0425</t>
  </si>
  <si>
    <t>11/20/2025</t>
  </si>
  <si>
    <t>9845-1</t>
  </si>
  <si>
    <t>4-26-0422</t>
  </si>
  <si>
    <t>Wood floor broken/needs repair</t>
  </si>
  <si>
    <t>9815-1</t>
  </si>
  <si>
    <t>4-26-0427</t>
  </si>
  <si>
    <t>11/19/2025</t>
  </si>
  <si>
    <t>9731-1</t>
  </si>
  <si>
    <t>3-03-0310</t>
  </si>
  <si>
    <t>11/18/2025</t>
  </si>
  <si>
    <t>9700-1</t>
  </si>
  <si>
    <t>9684-1</t>
  </si>
  <si>
    <t>4-27-0115</t>
  </si>
  <si>
    <t>9667-1</t>
  </si>
  <si>
    <t>4-07-5774</t>
  </si>
  <si>
    <t>11/17/2025</t>
  </si>
  <si>
    <t>9477-1</t>
  </si>
  <si>
    <t>4-24-0109</t>
  </si>
  <si>
    <t>11/13/2025</t>
  </si>
  <si>
    <t>11/14/2025</t>
  </si>
  <si>
    <t>9392-1</t>
  </si>
  <si>
    <t>8-01-3120</t>
  </si>
  <si>
    <t>11/12/2025</t>
  </si>
  <si>
    <t>9291-1</t>
  </si>
  <si>
    <t>5-15-0301</t>
  </si>
  <si>
    <t>11/10/2025</t>
  </si>
  <si>
    <t>11/11/2025</t>
  </si>
  <si>
    <t>9245-1</t>
  </si>
  <si>
    <t>4-26-0328</t>
  </si>
  <si>
    <t>8722-1</t>
  </si>
  <si>
    <t>4-25-0304</t>
  </si>
  <si>
    <t>10/29/2025</t>
  </si>
  <si>
    <t>10/30/2025</t>
  </si>
  <si>
    <t>8421-1</t>
  </si>
  <si>
    <t>10/22/2025</t>
  </si>
  <si>
    <t>10/23/2025</t>
  </si>
  <si>
    <t>7055-1</t>
  </si>
  <si>
    <t>5-08-0125</t>
  </si>
  <si>
    <t>09/23/2025</t>
  </si>
  <si>
    <t>09/30/2025</t>
  </si>
  <si>
    <t>Adrian Wright</t>
  </si>
  <si>
    <t>6710-1</t>
  </si>
  <si>
    <t>5-02-0306</t>
  </si>
  <si>
    <t>09/16/2025</t>
  </si>
  <si>
    <t>09/17/2025</t>
  </si>
  <si>
    <t>Frig is noisy</t>
  </si>
  <si>
    <t>PH</t>
  </si>
  <si>
    <t>BLD</t>
  </si>
  <si>
    <t xml:space="preserve">Full Service request  Report </t>
  </si>
  <si>
    <t>Full Service request  Report Unassigned</t>
  </si>
  <si>
    <t xml:space="preserve">Full Service request  Report Unassigned Robertos </t>
  </si>
  <si>
    <t>Full Service request  Report Unassigned Mabi</t>
  </si>
  <si>
    <t>Full Service request  Report -Roberto Side</t>
  </si>
  <si>
    <t>Full Service request  Report -Mabi Side</t>
  </si>
  <si>
    <t>Staff</t>
  </si>
  <si>
    <t>Phase 5</t>
  </si>
  <si>
    <t>Phase 7</t>
  </si>
  <si>
    <t>Phase 8</t>
  </si>
  <si>
    <t>Latrell Dawson/Yomar Gonzalez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</si>
</sst>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</font>
    <font>
      <b/>
      <sz val="11"/>
      <color theme="0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sz val="14"/>
      <color theme="0"/>
      <name val="Calibri"/>
      <family val="2"/>
    </font>
    <font>
      <sz val="18"/>
      <color theme="1"/>
      <name val="Calibri"/>
      <family val="2"/>
    </font>
    <font>
      <sz val="20"/>
      <color theme="1"/>
      <name val="Calibri"/>
      <family val="2"/>
    </font>
    <font>
      <sz val="22"/>
      <color theme="1"/>
      <name val="Calibri"/>
      <family val="2"/>
    </font>
    <font>
      <sz val="24"/>
      <color theme="1"/>
      <name val="Calibri"/>
      <family val="2"/>
    </font>
    <font>
      <sz val="18"/>
      <color theme="0"/>
      <name val="Calibri"/>
      <family val="2"/>
    </font>
    <font>
      <sz val="18"/>
      <color rgb="FF000000"/>
      <name val="Calibri"/>
      <family val="2"/>
    </font>
    <font>
      <sz val="20"/>
      <color rgb="FF000000"/>
      <name val="Calibri"/>
      <family val="2"/>
    </font>
    <font>
      <sz val="2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1"/>
        <bgColor indexed="64"/>
      </patternFill>
    </fill>
    <fill>
      <patternFill patternType="solid">
        <fgColor theme="1"/>
        <bgColor theme="4"/>
      </patternFill>
    </fill>
  </fills>
  <borders count="1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 applyBorder="0"/>
  </cellStyleXfs>
  <cellXfs count="57">
    <xf numFmtId="0" fontId="0" fillId="0" borderId="0" xfId="0"/>
    <xf numFmtId="0" fontId="0" fillId="0" borderId="0" xfId="0" applyAlignment="1">
      <alignment vertical="top"/>
    </xf>
    <xf numFmtId="0" fontId="2" fillId="2" borderId="3" xfId="0" applyFont="1" applyFill="1" applyBorder="1" applyAlignment="1">
      <alignment vertical="top"/>
    </xf>
    <xf numFmtId="0" fontId="2" fillId="2" borderId="4" xfId="0" applyFont="1" applyFill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0" borderId="4" xfId="0" applyFont="1" applyBorder="1" applyAlignment="1">
      <alignment vertical="top"/>
    </xf>
    <xf numFmtId="0" fontId="0" fillId="0" borderId="0" xfId="0" applyAlignment="1">
      <alignment horizontal="center" vertical="top"/>
    </xf>
    <xf numFmtId="0" fontId="3" fillId="3" borderId="0" xfId="0" applyFont="1" applyFill="1" applyAlignment="1">
      <alignment horizontal="left" vertical="top"/>
    </xf>
    <xf numFmtId="0" fontId="1" fillId="4" borderId="3" xfId="0" applyFont="1" applyFill="1" applyBorder="1" applyAlignment="1">
      <alignment horizontal="left" vertical="top"/>
    </xf>
    <xf numFmtId="0" fontId="1" fillId="4" borderId="4" xfId="0" applyFont="1" applyFill="1" applyBorder="1" applyAlignment="1">
      <alignment horizontal="left" vertical="top"/>
    </xf>
    <xf numFmtId="0" fontId="0" fillId="0" borderId="0" xfId="0" applyAlignment="1">
      <alignment horizontal="left" vertical="top"/>
    </xf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1" fillId="4" borderId="4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0" xfId="0" applyFont="1"/>
    <xf numFmtId="0" fontId="2" fillId="0" borderId="2" xfId="0" applyFont="1" applyBorder="1" applyAlignment="1">
      <alignment horizontal="left" vertical="top"/>
    </xf>
    <xf numFmtId="0" fontId="2" fillId="0" borderId="2" xfId="0" applyFont="1" applyBorder="1" applyAlignment="1">
      <alignment vertical="top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2" fillId="0" borderId="5" xfId="0" applyFont="1" applyBorder="1" applyAlignment="1">
      <alignment horizontal="center" vertical="top"/>
    </xf>
    <xf numFmtId="0" fontId="2" fillId="0" borderId="5" xfId="0" applyFont="1" applyBorder="1"/>
    <xf numFmtId="0" fontId="3" fillId="3" borderId="5" xfId="0" applyFont="1" applyFill="1" applyBorder="1"/>
    <xf numFmtId="0" fontId="2" fillId="0" borderId="0" xfId="0" applyFont="1" applyBorder="1"/>
    <xf numFmtId="0" fontId="9" fillId="3" borderId="0" xfId="0" applyFont="1" applyFill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left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5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left"/>
    </xf>
    <xf numFmtId="0" fontId="0" fillId="0" borderId="0" xfId="0" applyBorder="1"/>
    <xf numFmtId="0" fontId="0" fillId="0" borderId="0" xfId="0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3" borderId="6" xfId="0" applyFont="1" applyFill="1" applyBorder="1" applyAlignment="1">
      <alignment horizontal="center"/>
    </xf>
    <xf numFmtId="0" fontId="7" fillId="0" borderId="5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7" xfId="0" applyFont="1" applyBorder="1" applyAlignment="1">
      <alignment horizontal="center"/>
    </xf>
    <xf numFmtId="0" fontId="12" fillId="0" borderId="8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2" xfId="0" applyFont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</cellXfs>
  <cellStyles count="1"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numFmt numFmtId="0" formatCode="General"/>
      <alignment horizontal="general" vertical="top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</dxf>
    <dxf>
      <border outline="0">
        <right style="thin">
          <color theme="4" tint="0.39997558519241921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none"/>
      </font>
      <fill>
        <patternFill patternType="solid">
          <fgColor theme="4"/>
          <bgColor theme="1"/>
        </patternFill>
      </fill>
      <alignment horizontal="left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17" Type="http://schemas.microsoft.com/office/2023/09/relationships/Python" Target="pyth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microsoft.com/office/2017/06/relationships/rdRichValueTypes" Target="richData/rdRichValueType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microsoft.com/office/2017/06/relationships/rdRichValueStructure" Target="richData/rdrichvalue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14</v>
  </rv>
</rvData>
</file>

<file path=xl/richData/rdrichvaluestructure.xml><?xml version="1.0" encoding="utf-8"?>
<rvStructures xmlns="http://schemas.microsoft.com/office/spreadsheetml/2017/richdata" count="1">
  <s t="_error">
    <k n="errorType" t="i"/>
  </s>
</rvStructure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D71D5-7193-3241-8883-91741B636CDC}" name="SEV_REQUEST" displayName="SEV_REQUEST" ref="A1:L231" totalsRowShown="0" headerRowDxfId="14" dataDxfId="13" tableBorderDxfId="12">
  <autoFilter ref="A1:L231" xr:uid="{E39D71D5-7193-3241-8883-91741B636CDC}"/>
  <sortState xmlns:xlrd2="http://schemas.microsoft.com/office/spreadsheetml/2017/richdata2" ref="A2:L231">
    <sortCondition ref="K1:K231"/>
  </sortState>
  <tableColumns count="12">
    <tableColumn id="1" xr3:uid="{D1FED3FE-F765-8F49-B8B4-14525A2F0059}" name="PH" dataDxfId="11">
      <calculatedColumnFormula>_xlfn.TEXTBEFORE(E2,"-")</calculatedColumnFormula>
    </tableColumn>
    <tableColumn id="2" xr3:uid="{595726BC-6A17-8441-9FA0-776B2D14EDEE}" name="BLD" dataDxfId="10">
      <calculatedColumnFormula>_xlfn.TEXTBEFORE(_xlfn.TEXTAFTER(E2,"-"),"-")</calculatedColumnFormula>
    </tableColumn>
    <tableColumn id="7" xr3:uid="{13127E20-53D6-8946-9FE6-298C76D2F2D4}" name="Days open" dataDxfId="9">
      <calculatedColumnFormula>IF(SEV_REQUEST[[#This Row],[Created date]]="","",TODAY()-SEV_REQUEST[[#This Row],[Created date]])</calculatedColumnFormula>
    </tableColumn>
    <tableColumn id="3" xr3:uid="{A4F5B389-309E-8E45-8E44-DD80E93366C9}" name="Number" dataDxfId="8"/>
    <tableColumn id="4" xr3:uid="{42B5AAAD-E299-A140-92DF-CC12BC7FEDCB}" name="Location" dataDxfId="7"/>
    <tableColumn id="5" xr3:uid="{BE200EB7-93F3-7C4F-99FE-FCA87E0C9045}" name="Created date" dataDxfId="6"/>
    <tableColumn id="6" xr3:uid="{400891A9-0A48-D640-A858-50CC12373E04}" name="Due date" dataDxfId="5"/>
    <tableColumn id="8" xr3:uid="{A4FFBF90-53E1-2740-B2C6-6DEC2CE531D0}" name="Service Category" dataDxfId="4"/>
    <tableColumn id="9" xr3:uid="{4C775966-F245-164B-B053-1534F5C910D9}" name="Issue" dataDxfId="3"/>
    <tableColumn id="10" xr3:uid="{2DFC0089-EA74-9F4E-9F92-15D75DA6B5F0}" name="Assigned to" dataDxfId="2"/>
    <tableColumn id="11" xr3:uid="{C571A42C-D55C-3647-AD9E-5B9C0EAD90AB}" name="Priority" dataDxfId="1"/>
    <tableColumn id="12" xr3:uid="{3879D988-9CEA-3543-B461-B0F17483A0A8}" name="Statu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1"/>
  <sheetViews>
    <sheetView tabSelected="1" workbookViewId="0">
      <selection activeCell="N2" sqref="N2:O22"/>
    </sheetView>
  </sheetViews>
  <sheetFormatPr baseColWidth="10" defaultColWidth="9.1640625" defaultRowHeight="15" x14ac:dyDescent="0.2"/>
  <cols>
    <col min="1" max="1" width="7.83203125" style="6" customWidth="1"/>
    <col min="2" max="2" width="5.5" style="1" customWidth="1"/>
    <col min="3" max="3" width="13.5" style="6" customWidth="1"/>
    <col min="4" max="4" width="11.6640625" style="1" customWidth="1"/>
    <col min="5" max="5" width="15.5" style="1" customWidth="1"/>
    <col min="6" max="6" width="15.6640625" style="1" customWidth="1"/>
    <col min="7" max="7" width="12.33203125" style="1" customWidth="1"/>
    <col min="8" max="8" width="22.33203125" customWidth="1"/>
    <col min="9" max="9" width="24.83203125" style="1" customWidth="1"/>
    <col min="10" max="10" width="31.5" style="1" customWidth="1"/>
    <col min="11" max="11" width="18.6640625" style="1" customWidth="1"/>
    <col min="12" max="12" width="15.33203125" style="1" customWidth="1"/>
    <col min="13" max="13" width="11.33203125" style="1" customWidth="1"/>
    <col min="14" max="14" width="15.83203125" style="1" customWidth="1"/>
    <col min="15" max="16384" width="9.1640625" style="1"/>
  </cols>
  <sheetData>
    <row r="1" spans="1:14" s="10" customFormat="1" x14ac:dyDescent="0.2">
      <c r="A1" s="7" t="s">
        <v>624</v>
      </c>
      <c r="B1" s="7" t="s">
        <v>625</v>
      </c>
      <c r="C1" s="14" t="s">
        <v>4</v>
      </c>
      <c r="D1" s="8" t="s">
        <v>0</v>
      </c>
      <c r="E1" s="9" t="s">
        <v>1</v>
      </c>
      <c r="F1" s="9" t="s">
        <v>2</v>
      </c>
      <c r="G1" s="9" t="s">
        <v>3</v>
      </c>
      <c r="H1" s="9" t="s">
        <v>5</v>
      </c>
      <c r="I1" s="9" t="s">
        <v>6</v>
      </c>
      <c r="J1" s="9" t="s">
        <v>7</v>
      </c>
      <c r="K1" s="9" t="s">
        <v>8</v>
      </c>
      <c r="L1" s="9" t="s">
        <v>9</v>
      </c>
    </row>
    <row r="2" spans="1:14" x14ac:dyDescent="0.2">
      <c r="A2" s="6" t="str">
        <f>_xlfn.TEXTBEFORE(E2,"-")</f>
        <v>7</v>
      </c>
      <c r="B2" s="1" t="str">
        <f>_xlfn.TEXTBEFORE(_xlfn.TEXTAFTER(E2,"-"),"-")</f>
        <v>09</v>
      </c>
      <c r="C2" s="15">
        <f ca="1">IF(SEV_REQUEST[[#This Row],[Created date]]="","",TODAY()-SEV_REQUEST[[#This Row],[Created date]])</f>
        <v>9</v>
      </c>
      <c r="D2" s="2" t="s">
        <v>312</v>
      </c>
      <c r="E2" s="3" t="s">
        <v>313</v>
      </c>
      <c r="F2" s="3" t="s">
        <v>299</v>
      </c>
      <c r="G2" s="3" t="s">
        <v>292</v>
      </c>
      <c r="H2" s="3" t="s">
        <v>25</v>
      </c>
      <c r="I2" s="3" t="s">
        <v>314</v>
      </c>
      <c r="J2" s="3" t="s">
        <v>88</v>
      </c>
      <c r="K2" s="3" t="s">
        <v>58</v>
      </c>
      <c r="L2" s="3" t="s">
        <v>18</v>
      </c>
      <c r="N2" s="19"/>
    </row>
    <row r="3" spans="1:14" x14ac:dyDescent="0.2">
      <c r="A3" s="6" t="str">
        <f>_xlfn.TEXTBEFORE(E3,"-")</f>
        <v>7</v>
      </c>
      <c r="B3" s="1" t="str">
        <f>_xlfn.TEXTBEFORE(_xlfn.TEXTAFTER(E3,"-"),"-")</f>
        <v>08</v>
      </c>
      <c r="C3" s="16">
        <f ca="1">IF(SEV_REQUEST[[#This Row],[Created date]]="","",TODAY()-SEV_REQUEST[[#This Row],[Created date]])</f>
        <v>3</v>
      </c>
      <c r="D3" s="4" t="s">
        <v>213</v>
      </c>
      <c r="E3" s="5" t="s">
        <v>214</v>
      </c>
      <c r="F3" s="5" t="s">
        <v>172</v>
      </c>
      <c r="G3" s="5" t="s">
        <v>172</v>
      </c>
      <c r="H3" s="5" t="s">
        <v>21</v>
      </c>
      <c r="I3" s="5" t="s">
        <v>15</v>
      </c>
      <c r="J3" s="5" t="s">
        <v>88</v>
      </c>
      <c r="K3" s="5" t="s">
        <v>58</v>
      </c>
      <c r="L3" s="5" t="s">
        <v>18</v>
      </c>
      <c r="N3" s="19"/>
    </row>
    <row r="4" spans="1:14" x14ac:dyDescent="0.2">
      <c r="A4" s="6" t="str">
        <f>_xlfn.TEXTBEFORE(E4,"-")</f>
        <v>3</v>
      </c>
      <c r="B4" s="1" t="str">
        <f>_xlfn.TEXTBEFORE(_xlfn.TEXTAFTER(E4,"-"),"-")</f>
        <v>11</v>
      </c>
      <c r="C4" s="16">
        <f ca="1">IF(SEV_REQUEST[[#This Row],[Created date]]="","",TODAY()-SEV_REQUEST[[#This Row],[Created date]])</f>
        <v>23</v>
      </c>
      <c r="D4" s="4" t="s">
        <v>438</v>
      </c>
      <c r="E4" s="5" t="s">
        <v>267</v>
      </c>
      <c r="F4" s="5" t="s">
        <v>435</v>
      </c>
      <c r="G4" s="5" t="s">
        <v>436</v>
      </c>
      <c r="H4" s="5" t="s">
        <v>25</v>
      </c>
      <c r="I4" s="5" t="s">
        <v>15</v>
      </c>
      <c r="J4" s="5" t="s">
        <v>268</v>
      </c>
      <c r="K4" s="5" t="s">
        <v>58</v>
      </c>
      <c r="L4" s="5" t="s">
        <v>89</v>
      </c>
      <c r="N4" s="19"/>
    </row>
    <row r="5" spans="1:14" x14ac:dyDescent="0.2">
      <c r="A5" s="6" t="str">
        <f>_xlfn.TEXTBEFORE(E5,"-")</f>
        <v>3</v>
      </c>
      <c r="B5" s="1" t="str">
        <f>_xlfn.TEXTBEFORE(_xlfn.TEXTAFTER(E5,"-"),"-")</f>
        <v>26</v>
      </c>
      <c r="C5" s="16">
        <f ca="1">IF(SEV_REQUEST[[#This Row],[Created date]]="","",TODAY()-SEV_REQUEST[[#This Row],[Created date]])</f>
        <v>2</v>
      </c>
      <c r="D5" s="4" t="s">
        <v>90</v>
      </c>
      <c r="E5" s="5" t="s">
        <v>91</v>
      </c>
      <c r="F5" s="5" t="s">
        <v>83</v>
      </c>
      <c r="G5" s="5" t="s">
        <v>83</v>
      </c>
      <c r="H5" s="5" t="s">
        <v>29</v>
      </c>
      <c r="I5" s="5" t="s">
        <v>92</v>
      </c>
      <c r="J5" s="5" t="s">
        <v>16</v>
      </c>
      <c r="K5" s="5" t="s">
        <v>58</v>
      </c>
      <c r="L5" s="5" t="s">
        <v>18</v>
      </c>
      <c r="N5" s="19"/>
    </row>
    <row r="6" spans="1:14" x14ac:dyDescent="0.2">
      <c r="A6" s="6" t="str">
        <f>_xlfn.TEXTBEFORE(E6,"-")</f>
        <v>3</v>
      </c>
      <c r="B6" s="1" t="str">
        <f>_xlfn.TEXTBEFORE(_xlfn.TEXTAFTER(E6,"-"),"-")</f>
        <v>31</v>
      </c>
      <c r="C6" s="15">
        <f ca="1">IF(SEV_REQUEST[[#This Row],[Created date]]="","",TODAY()-SEV_REQUEST[[#This Row],[Created date]])</f>
        <v>44</v>
      </c>
      <c r="D6" s="2" t="s">
        <v>523</v>
      </c>
      <c r="E6" s="3" t="s">
        <v>40</v>
      </c>
      <c r="F6" s="3" t="s">
        <v>524</v>
      </c>
      <c r="G6" s="3" t="s">
        <v>517</v>
      </c>
      <c r="H6" s="3" t="s">
        <v>21</v>
      </c>
      <c r="I6" s="3" t="s">
        <v>525</v>
      </c>
      <c r="J6" s="3" t="s">
        <v>57</v>
      </c>
      <c r="K6" s="3" t="s">
        <v>58</v>
      </c>
      <c r="L6" s="3" t="s">
        <v>18</v>
      </c>
      <c r="N6" s="19"/>
    </row>
    <row r="7" spans="1:14" x14ac:dyDescent="0.2">
      <c r="A7" s="6" t="str">
        <f>_xlfn.TEXTBEFORE(E7,"-")</f>
        <v>3</v>
      </c>
      <c r="B7" s="1" t="str">
        <f>_xlfn.TEXTBEFORE(_xlfn.TEXTAFTER(E7,"-"),"-")</f>
        <v>23</v>
      </c>
      <c r="C7" s="15">
        <f ca="1">IF(SEV_REQUEST[[#This Row],[Created date]]="","",TODAY()-SEV_REQUEST[[#This Row],[Created date]])</f>
        <v>1</v>
      </c>
      <c r="D7" s="2" t="s">
        <v>55</v>
      </c>
      <c r="E7" s="3" t="s">
        <v>56</v>
      </c>
      <c r="F7" s="3" t="s">
        <v>12</v>
      </c>
      <c r="G7" s="3" t="s">
        <v>12</v>
      </c>
      <c r="H7" s="3" t="s">
        <v>25</v>
      </c>
      <c r="I7" s="3" t="s">
        <v>15</v>
      </c>
      <c r="J7" s="3" t="s">
        <v>57</v>
      </c>
      <c r="K7" s="3" t="s">
        <v>58</v>
      </c>
      <c r="L7" s="3" t="s">
        <v>18</v>
      </c>
      <c r="N7" s="19"/>
    </row>
    <row r="8" spans="1:14" x14ac:dyDescent="0.2">
      <c r="A8" s="6" t="str">
        <f>_xlfn.TEXTBEFORE(E8,"-")</f>
        <v>3</v>
      </c>
      <c r="B8" s="1" t="str">
        <f>_xlfn.TEXTBEFORE(_xlfn.TEXTAFTER(E8,"-"),"-")</f>
        <v>03</v>
      </c>
      <c r="C8" s="15">
        <f ca="1">IF(SEV_REQUEST[[#This Row],[Created date]]="","",TODAY()-SEV_REQUEST[[#This Row],[Created date]])</f>
        <v>66</v>
      </c>
      <c r="D8" s="2" t="s">
        <v>585</v>
      </c>
      <c r="E8" s="3" t="s">
        <v>586</v>
      </c>
      <c r="F8" s="3" t="s">
        <v>587</v>
      </c>
      <c r="G8" s="3" t="s">
        <v>584</v>
      </c>
      <c r="H8" s="3" t="s">
        <v>14</v>
      </c>
      <c r="I8" s="3" t="s">
        <v>205</v>
      </c>
      <c r="J8" s="3" t="s">
        <v>50</v>
      </c>
      <c r="K8" s="3" t="s">
        <v>17</v>
      </c>
      <c r="L8" s="3" t="s">
        <v>18</v>
      </c>
      <c r="N8" s="19"/>
    </row>
    <row r="9" spans="1:14" x14ac:dyDescent="0.2">
      <c r="A9" s="6" t="str">
        <f>_xlfn.TEXTBEFORE(E9,"-")</f>
        <v>3</v>
      </c>
      <c r="B9" s="1" t="str">
        <f>_xlfn.TEXTBEFORE(_xlfn.TEXTAFTER(E9,"-"),"-")</f>
        <v>01</v>
      </c>
      <c r="C9" s="16">
        <f ca="1">IF(SEV_REQUEST[[#This Row],[Created date]]="","",TODAY()-SEV_REQUEST[[#This Row],[Created date]])</f>
        <v>38</v>
      </c>
      <c r="D9" s="4" t="s">
        <v>507</v>
      </c>
      <c r="E9" s="5" t="s">
        <v>348</v>
      </c>
      <c r="F9" s="5" t="s">
        <v>508</v>
      </c>
      <c r="G9" s="5" t="s">
        <v>506</v>
      </c>
      <c r="H9" s="5" t="s">
        <v>25</v>
      </c>
      <c r="I9" s="5" t="s">
        <v>509</v>
      </c>
      <c r="J9" s="5" t="s">
        <v>50</v>
      </c>
      <c r="K9" s="5" t="s">
        <v>17</v>
      </c>
      <c r="L9" s="5" t="s">
        <v>18</v>
      </c>
      <c r="N9" s="19"/>
    </row>
    <row r="10" spans="1:14" x14ac:dyDescent="0.2">
      <c r="A10" s="6" t="str">
        <f>_xlfn.TEXTBEFORE(E10,"-")</f>
        <v>3</v>
      </c>
      <c r="B10" s="1" t="str">
        <f>_xlfn.TEXTBEFORE(_xlfn.TEXTAFTER(E10,"-"),"-")</f>
        <v>18</v>
      </c>
      <c r="C10" s="16">
        <f ca="1">IF(SEV_REQUEST[[#This Row],[Created date]]="","",TODAY()-SEV_REQUEST[[#This Row],[Created date]])</f>
        <v>29</v>
      </c>
      <c r="D10" s="4" t="s">
        <v>476</v>
      </c>
      <c r="E10" s="5" t="s">
        <v>477</v>
      </c>
      <c r="F10" s="5" t="s">
        <v>474</v>
      </c>
      <c r="G10" s="5" t="s">
        <v>468</v>
      </c>
      <c r="H10" s="5" t="s">
        <v>25</v>
      </c>
      <c r="I10" s="5" t="s">
        <v>478</v>
      </c>
      <c r="J10" s="5" t="s">
        <v>50</v>
      </c>
      <c r="K10" s="5" t="s">
        <v>17</v>
      </c>
      <c r="L10" s="5" t="s">
        <v>18</v>
      </c>
      <c r="N10" s="19"/>
    </row>
    <row r="11" spans="1:14" x14ac:dyDescent="0.2">
      <c r="A11" s="6" t="str">
        <f>_xlfn.TEXTBEFORE(E11,"-")</f>
        <v>3</v>
      </c>
      <c r="B11" s="1" t="str">
        <f>_xlfn.TEXTBEFORE(_xlfn.TEXTAFTER(E11,"-"),"-")</f>
        <v>16</v>
      </c>
      <c r="C11" s="15">
        <f ca="1">IF(SEV_REQUEST[[#This Row],[Created date]]="","",TODAY()-SEV_REQUEST[[#This Row],[Created date]])</f>
        <v>28</v>
      </c>
      <c r="D11" s="2" t="s">
        <v>466</v>
      </c>
      <c r="E11" s="3" t="s">
        <v>467</v>
      </c>
      <c r="F11" s="3" t="s">
        <v>468</v>
      </c>
      <c r="G11" s="3" t="s">
        <v>469</v>
      </c>
      <c r="H11" s="3" t="s">
        <v>126</v>
      </c>
      <c r="I11" s="3" t="s">
        <v>159</v>
      </c>
      <c r="J11" s="3" t="s">
        <v>50</v>
      </c>
      <c r="K11" s="3" t="s">
        <v>17</v>
      </c>
      <c r="L11" s="3" t="s">
        <v>18</v>
      </c>
      <c r="N11" s="19"/>
    </row>
    <row r="12" spans="1:14" x14ac:dyDescent="0.2">
      <c r="A12" s="6" t="str">
        <f>_xlfn.TEXTBEFORE(E12,"-")</f>
        <v>3</v>
      </c>
      <c r="B12" s="1" t="str">
        <f>_xlfn.TEXTBEFORE(_xlfn.TEXTAFTER(E12,"-"),"-")</f>
        <v>15</v>
      </c>
      <c r="C12" s="16">
        <f ca="1">IF(SEV_REQUEST[[#This Row],[Created date]]="","",TODAY()-SEV_REQUEST[[#This Row],[Created date]])</f>
        <v>26</v>
      </c>
      <c r="D12" s="4" t="s">
        <v>464</v>
      </c>
      <c r="E12" s="5" t="s">
        <v>465</v>
      </c>
      <c r="F12" s="5" t="s">
        <v>463</v>
      </c>
      <c r="G12" s="5" t="s">
        <v>451</v>
      </c>
      <c r="H12" s="5" t="s">
        <v>21</v>
      </c>
      <c r="I12" s="5" t="s">
        <v>15</v>
      </c>
      <c r="J12" s="5" t="s">
        <v>50</v>
      </c>
      <c r="K12" s="5" t="s">
        <v>17</v>
      </c>
      <c r="L12" s="5" t="s">
        <v>18</v>
      </c>
      <c r="N12" s="19"/>
    </row>
    <row r="13" spans="1:14" x14ac:dyDescent="0.2">
      <c r="A13" s="6" t="str">
        <f>_xlfn.TEXTBEFORE(E13,"-")</f>
        <v>3</v>
      </c>
      <c r="B13" s="1" t="str">
        <f>_xlfn.TEXTBEFORE(_xlfn.TEXTAFTER(E13,"-"),"-")</f>
        <v>08</v>
      </c>
      <c r="C13" s="15">
        <f ca="1">IF(SEV_REQUEST[[#This Row],[Created date]]="","",TODAY()-SEV_REQUEST[[#This Row],[Created date]])</f>
        <v>20</v>
      </c>
      <c r="D13" s="2" t="s">
        <v>410</v>
      </c>
      <c r="E13" s="3" t="s">
        <v>384</v>
      </c>
      <c r="F13" s="3" t="s">
        <v>411</v>
      </c>
      <c r="G13" s="3" t="s">
        <v>405</v>
      </c>
      <c r="H13" s="3" t="s">
        <v>25</v>
      </c>
      <c r="I13" s="3" t="s">
        <v>26</v>
      </c>
      <c r="J13" s="3" t="s">
        <v>50</v>
      </c>
      <c r="K13" s="3" t="s">
        <v>17</v>
      </c>
      <c r="L13" s="3" t="s">
        <v>18</v>
      </c>
      <c r="N13" s="19"/>
    </row>
    <row r="14" spans="1:14" x14ac:dyDescent="0.2">
      <c r="A14" s="6" t="str">
        <f>_xlfn.TEXTBEFORE(E14,"-")</f>
        <v>3</v>
      </c>
      <c r="B14" s="1" t="str">
        <f>_xlfn.TEXTBEFORE(_xlfn.TEXTAFTER(E14,"-"),"-")</f>
        <v>08</v>
      </c>
      <c r="C14" s="15">
        <f ca="1">IF(SEV_REQUEST[[#This Row],[Created date]]="","",TODAY()-SEV_REQUEST[[#This Row],[Created date]])</f>
        <v>16</v>
      </c>
      <c r="D14" s="2" t="s">
        <v>383</v>
      </c>
      <c r="E14" s="3" t="s">
        <v>384</v>
      </c>
      <c r="F14" s="3" t="s">
        <v>385</v>
      </c>
      <c r="G14" s="3" t="s">
        <v>367</v>
      </c>
      <c r="H14" s="3" t="s">
        <v>14</v>
      </c>
      <c r="I14" s="3" t="s">
        <v>137</v>
      </c>
      <c r="J14" s="3" t="s">
        <v>50</v>
      </c>
      <c r="K14" s="3" t="s">
        <v>17</v>
      </c>
      <c r="L14" s="3" t="s">
        <v>18</v>
      </c>
      <c r="N14" s="19"/>
    </row>
    <row r="15" spans="1:14" x14ac:dyDescent="0.2">
      <c r="A15" s="6" t="str">
        <f>_xlfn.TEXTBEFORE(E15,"-")</f>
        <v>3</v>
      </c>
      <c r="B15" s="1" t="str">
        <f>_xlfn.TEXTBEFORE(_xlfn.TEXTAFTER(E15,"-"),"-")</f>
        <v>01</v>
      </c>
      <c r="C15" s="16">
        <f ca="1">IF(SEV_REQUEST[[#This Row],[Created date]]="","",TODAY()-SEV_REQUEST[[#This Row],[Created date]])</f>
        <v>13</v>
      </c>
      <c r="D15" s="4" t="s">
        <v>347</v>
      </c>
      <c r="E15" s="5" t="s">
        <v>348</v>
      </c>
      <c r="F15" s="5" t="s">
        <v>336</v>
      </c>
      <c r="G15" s="5" t="s">
        <v>333</v>
      </c>
      <c r="H15" s="5" t="s">
        <v>53</v>
      </c>
      <c r="I15" s="5" t="s">
        <v>349</v>
      </c>
      <c r="J15" s="5" t="s">
        <v>50</v>
      </c>
      <c r="K15" s="5" t="s">
        <v>17</v>
      </c>
      <c r="L15" s="5" t="s">
        <v>18</v>
      </c>
      <c r="N15" s="19"/>
    </row>
    <row r="16" spans="1:14" x14ac:dyDescent="0.2">
      <c r="A16" s="6" t="str">
        <f>_xlfn.TEXTBEFORE(E16,"-")</f>
        <v>3</v>
      </c>
      <c r="B16" s="1" t="str">
        <f>_xlfn.TEXTBEFORE(_xlfn.TEXTAFTER(E16,"-"),"-")</f>
        <v>02</v>
      </c>
      <c r="C16" s="15">
        <f ca="1">IF(SEV_REQUEST[[#This Row],[Created date]]="","",TODAY()-SEV_REQUEST[[#This Row],[Created date]])</f>
        <v>7</v>
      </c>
      <c r="D16" s="2" t="s">
        <v>279</v>
      </c>
      <c r="E16" s="3" t="s">
        <v>163</v>
      </c>
      <c r="F16" s="3" t="s">
        <v>265</v>
      </c>
      <c r="G16" s="3" t="s">
        <v>250</v>
      </c>
      <c r="H16" s="3" t="s">
        <v>53</v>
      </c>
      <c r="I16" s="3" t="s">
        <v>280</v>
      </c>
      <c r="J16" s="3" t="s">
        <v>50</v>
      </c>
      <c r="K16" s="3" t="s">
        <v>17</v>
      </c>
      <c r="L16" s="3" t="s">
        <v>18</v>
      </c>
      <c r="N16" s="19"/>
    </row>
    <row r="17" spans="1:14" x14ac:dyDescent="0.2">
      <c r="A17" s="6" t="str">
        <f>_xlfn.TEXTBEFORE(E17,"-")</f>
        <v>3</v>
      </c>
      <c r="B17" s="1" t="str">
        <f>_xlfn.TEXTBEFORE(_xlfn.TEXTAFTER(E17,"-"),"-")</f>
        <v>03</v>
      </c>
      <c r="C17" s="15">
        <f ca="1">IF(SEV_REQUEST[[#This Row],[Created date]]="","",TODAY()-SEV_REQUEST[[#This Row],[Created date]])</f>
        <v>3</v>
      </c>
      <c r="D17" s="2" t="s">
        <v>194</v>
      </c>
      <c r="E17" s="3" t="s">
        <v>193</v>
      </c>
      <c r="F17" s="3" t="s">
        <v>172</v>
      </c>
      <c r="G17" s="3" t="s">
        <v>83</v>
      </c>
      <c r="H17" s="3" t="s">
        <v>99</v>
      </c>
      <c r="I17" s="3" t="s">
        <v>195</v>
      </c>
      <c r="J17" s="3" t="s">
        <v>50</v>
      </c>
      <c r="K17" s="3" t="s">
        <v>17</v>
      </c>
      <c r="L17" s="3" t="s">
        <v>18</v>
      </c>
      <c r="N17" s="19"/>
    </row>
    <row r="18" spans="1:14" x14ac:dyDescent="0.2">
      <c r="A18" s="6" t="str">
        <f>_xlfn.TEXTBEFORE(E18,"-")</f>
        <v>3</v>
      </c>
      <c r="B18" s="1" t="str">
        <f>_xlfn.TEXTBEFORE(_xlfn.TEXTAFTER(E18,"-"),"-")</f>
        <v>03</v>
      </c>
      <c r="C18" s="16">
        <f ca="1">IF(SEV_REQUEST[[#This Row],[Created date]]="","",TODAY()-SEV_REQUEST[[#This Row],[Created date]])</f>
        <v>3</v>
      </c>
      <c r="D18" s="4" t="s">
        <v>196</v>
      </c>
      <c r="E18" s="5" t="s">
        <v>193</v>
      </c>
      <c r="F18" s="5" t="s">
        <v>172</v>
      </c>
      <c r="G18" s="5" t="s">
        <v>83</v>
      </c>
      <c r="H18" s="5" t="s">
        <v>99</v>
      </c>
      <c r="I18" s="5" t="s">
        <v>15</v>
      </c>
      <c r="J18" s="5" t="s">
        <v>50</v>
      </c>
      <c r="K18" s="5" t="s">
        <v>17</v>
      </c>
      <c r="L18" s="5" t="s">
        <v>18</v>
      </c>
      <c r="N18" s="19"/>
    </row>
    <row r="19" spans="1:14" x14ac:dyDescent="0.2">
      <c r="A19" s="6" t="str">
        <f>_xlfn.TEXTBEFORE(E19,"-")</f>
        <v>3</v>
      </c>
      <c r="B19" s="1" t="str">
        <f>_xlfn.TEXTBEFORE(_xlfn.TEXTAFTER(E19,"-"),"-")</f>
        <v>03</v>
      </c>
      <c r="C19" s="15">
        <f ca="1">IF(SEV_REQUEST[[#This Row],[Created date]]="","",TODAY()-SEV_REQUEST[[#This Row],[Created date]])</f>
        <v>3</v>
      </c>
      <c r="D19" s="2" t="s">
        <v>197</v>
      </c>
      <c r="E19" s="3" t="s">
        <v>193</v>
      </c>
      <c r="F19" s="3" t="s">
        <v>172</v>
      </c>
      <c r="G19" s="3" t="s">
        <v>83</v>
      </c>
      <c r="H19" s="3" t="s">
        <v>29</v>
      </c>
      <c r="I19" s="3" t="s">
        <v>15</v>
      </c>
      <c r="J19" s="3" t="s">
        <v>50</v>
      </c>
      <c r="K19" s="3" t="s">
        <v>17</v>
      </c>
      <c r="L19" s="3" t="s">
        <v>18</v>
      </c>
      <c r="N19" s="19"/>
    </row>
    <row r="20" spans="1:14" x14ac:dyDescent="0.2">
      <c r="A20" s="6" t="str">
        <f>_xlfn.TEXTBEFORE(E20,"-")</f>
        <v>3</v>
      </c>
      <c r="B20" s="1" t="str">
        <f>_xlfn.TEXTBEFORE(_xlfn.TEXTAFTER(E20,"-"),"-")</f>
        <v>02</v>
      </c>
      <c r="C20" s="15">
        <f ca="1">IF(SEV_REQUEST[[#This Row],[Created date]]="","",TODAY()-SEV_REQUEST[[#This Row],[Created date]])</f>
        <v>2</v>
      </c>
      <c r="D20" s="2" t="s">
        <v>104</v>
      </c>
      <c r="E20" s="3" t="s">
        <v>105</v>
      </c>
      <c r="F20" s="3" t="s">
        <v>83</v>
      </c>
      <c r="G20" s="3" t="s">
        <v>12</v>
      </c>
      <c r="H20" s="3" t="s">
        <v>21</v>
      </c>
      <c r="I20" s="3" t="s">
        <v>106</v>
      </c>
      <c r="J20" s="3" t="s">
        <v>50</v>
      </c>
      <c r="K20" s="3" t="s">
        <v>17</v>
      </c>
      <c r="L20" s="3" t="s">
        <v>18</v>
      </c>
      <c r="N20" s="19"/>
    </row>
    <row r="21" spans="1:14" x14ac:dyDescent="0.2">
      <c r="A21" s="6" t="str">
        <f>_xlfn.TEXTBEFORE(E21,"-")</f>
        <v>3</v>
      </c>
      <c r="B21" s="1" t="str">
        <f>_xlfn.TEXTBEFORE(_xlfn.TEXTAFTER(E21,"-"),"-")</f>
        <v>02</v>
      </c>
      <c r="C21" s="16">
        <f ca="1">IF(SEV_REQUEST[[#This Row],[Created date]]="","",TODAY()-SEV_REQUEST[[#This Row],[Created date]])</f>
        <v>2</v>
      </c>
      <c r="D21" s="4" t="s">
        <v>122</v>
      </c>
      <c r="E21" s="5" t="s">
        <v>123</v>
      </c>
      <c r="F21" s="5" t="s">
        <v>83</v>
      </c>
      <c r="G21" s="5" t="s">
        <v>12</v>
      </c>
      <c r="H21" s="5" t="s">
        <v>14</v>
      </c>
      <c r="I21" s="5" t="s">
        <v>115</v>
      </c>
      <c r="J21" s="5" t="s">
        <v>50</v>
      </c>
      <c r="K21" s="5" t="s">
        <v>17</v>
      </c>
      <c r="L21" s="5" t="s">
        <v>18</v>
      </c>
      <c r="N21" s="19"/>
    </row>
    <row r="22" spans="1:14" x14ac:dyDescent="0.2">
      <c r="A22" s="6" t="str">
        <f>_xlfn.TEXTBEFORE(E22,"-")</f>
        <v>3</v>
      </c>
      <c r="B22" s="1" t="str">
        <f>_xlfn.TEXTBEFORE(_xlfn.TEXTAFTER(E22,"-"),"-")</f>
        <v>02</v>
      </c>
      <c r="C22" s="16">
        <f ca="1">IF(SEV_REQUEST[[#This Row],[Created date]]="","",TODAY()-SEV_REQUEST[[#This Row],[Created date]])</f>
        <v>2</v>
      </c>
      <c r="D22" s="4" t="s">
        <v>162</v>
      </c>
      <c r="E22" s="5" t="s">
        <v>163</v>
      </c>
      <c r="F22" s="5" t="s">
        <v>83</v>
      </c>
      <c r="G22" s="5" t="s">
        <v>12</v>
      </c>
      <c r="H22" s="5" t="s">
        <v>25</v>
      </c>
      <c r="I22" s="5" t="s">
        <v>15</v>
      </c>
      <c r="J22" s="5" t="s">
        <v>50</v>
      </c>
      <c r="K22" s="5" t="s">
        <v>17</v>
      </c>
      <c r="L22" s="5" t="s">
        <v>18</v>
      </c>
      <c r="N22" s="19"/>
    </row>
    <row r="23" spans="1:14" x14ac:dyDescent="0.2">
      <c r="A23" s="6" t="str">
        <f>_xlfn.TEXTBEFORE(E23,"-")</f>
        <v>3</v>
      </c>
      <c r="B23" s="1" t="str">
        <f>_xlfn.TEXTBEFORE(_xlfn.TEXTAFTER(E23,"-"),"-")</f>
        <v>09</v>
      </c>
      <c r="C23" s="16">
        <f ca="1">IF(SEV_REQUEST[[#This Row],[Created date]]="","",TODAY()-SEV_REQUEST[[#This Row],[Created date]])</f>
        <v>2</v>
      </c>
      <c r="D23" s="4" t="s">
        <v>166</v>
      </c>
      <c r="E23" s="5" t="s">
        <v>167</v>
      </c>
      <c r="F23" s="5" t="s">
        <v>83</v>
      </c>
      <c r="G23" s="5" t="s">
        <v>12</v>
      </c>
      <c r="H23" s="5" t="s">
        <v>21</v>
      </c>
      <c r="I23" s="5" t="s">
        <v>168</v>
      </c>
      <c r="J23" s="5" t="s">
        <v>50</v>
      </c>
      <c r="K23" s="5" t="s">
        <v>17</v>
      </c>
      <c r="L23" s="5" t="s">
        <v>18</v>
      </c>
    </row>
    <row r="24" spans="1:14" x14ac:dyDescent="0.2">
      <c r="A24" s="6" t="str">
        <f>_xlfn.TEXTBEFORE(E24,"-")</f>
        <v>3</v>
      </c>
      <c r="B24" s="1" t="str">
        <f>_xlfn.TEXTBEFORE(_xlfn.TEXTAFTER(E24,"-"),"-")</f>
        <v>24</v>
      </c>
      <c r="C24" s="15">
        <f ca="1">IF(SEV_REQUEST[[#This Row],[Created date]]="","",TODAY()-SEV_REQUEST[[#This Row],[Created date]])</f>
        <v>1</v>
      </c>
      <c r="D24" s="2" t="s">
        <v>48</v>
      </c>
      <c r="E24" s="3" t="s">
        <v>49</v>
      </c>
      <c r="F24" s="3" t="s">
        <v>12</v>
      </c>
      <c r="G24" s="3" t="s">
        <v>13</v>
      </c>
      <c r="H24" s="3" t="s">
        <v>14</v>
      </c>
      <c r="I24" s="3" t="s">
        <v>15</v>
      </c>
      <c r="J24" s="3" t="s">
        <v>50</v>
      </c>
      <c r="K24" s="3" t="s">
        <v>17</v>
      </c>
      <c r="L24" s="3" t="s">
        <v>18</v>
      </c>
    </row>
    <row r="25" spans="1:14" x14ac:dyDescent="0.2">
      <c r="A25" s="6" t="str">
        <f>_xlfn.TEXTBEFORE(E25,"-")</f>
        <v>3</v>
      </c>
      <c r="B25" s="1" t="str">
        <f>_xlfn.TEXTBEFORE(_xlfn.TEXTAFTER(E25,"-"),"-")</f>
        <v>18</v>
      </c>
      <c r="C25" s="16">
        <f ca="1">IF(SEV_REQUEST[[#This Row],[Created date]]="","",TODAY()-SEV_REQUEST[[#This Row],[Created date]])</f>
        <v>1</v>
      </c>
      <c r="D25" s="4" t="s">
        <v>70</v>
      </c>
      <c r="E25" s="5" t="s">
        <v>71</v>
      </c>
      <c r="F25" s="5" t="s">
        <v>12</v>
      </c>
      <c r="G25" s="5" t="s">
        <v>13</v>
      </c>
      <c r="H25" s="5" t="s">
        <v>25</v>
      </c>
      <c r="I25" s="5" t="s">
        <v>72</v>
      </c>
      <c r="J25" s="5" t="s">
        <v>50</v>
      </c>
      <c r="K25" s="5" t="s">
        <v>17</v>
      </c>
      <c r="L25" s="5" t="s">
        <v>18</v>
      </c>
    </row>
    <row r="26" spans="1:14" x14ac:dyDescent="0.2">
      <c r="A26" s="6" t="str">
        <f>_xlfn.TEXTBEFORE(E26,"-")</f>
        <v>3</v>
      </c>
      <c r="B26" s="1" t="str">
        <f>_xlfn.TEXTBEFORE(_xlfn.TEXTAFTER(E26,"-"),"-")</f>
        <v>16</v>
      </c>
      <c r="C26" s="15">
        <f ca="1">IF(SEV_REQUEST[[#This Row],[Created date]]="","",TODAY()-SEV_REQUEST[[#This Row],[Created date]])</f>
        <v>1</v>
      </c>
      <c r="D26" s="2" t="s">
        <v>79</v>
      </c>
      <c r="E26" s="3" t="s">
        <v>80</v>
      </c>
      <c r="F26" s="3" t="s">
        <v>12</v>
      </c>
      <c r="G26" s="3" t="s">
        <v>13</v>
      </c>
      <c r="H26" s="3" t="s">
        <v>21</v>
      </c>
      <c r="I26" s="3" t="s">
        <v>15</v>
      </c>
      <c r="J26" s="3" t="s">
        <v>50</v>
      </c>
      <c r="K26" s="3" t="s">
        <v>17</v>
      </c>
      <c r="L26" s="3" t="s">
        <v>18</v>
      </c>
    </row>
    <row r="27" spans="1:14" x14ac:dyDescent="0.2">
      <c r="A27" s="6" t="str">
        <f>_xlfn.TEXTBEFORE(E27,"-")</f>
        <v>8</v>
      </c>
      <c r="B27" s="1" t="str">
        <f>_xlfn.TEXTBEFORE(_xlfn.TEXTAFTER(E27,"-"),"-")</f>
        <v>01</v>
      </c>
      <c r="C27" s="15">
        <f ca="1">IF(SEV_REQUEST[[#This Row],[Created date]]="","",TODAY()-SEV_REQUEST[[#This Row],[Created date]])</f>
        <v>31</v>
      </c>
      <c r="D27" s="2" t="s">
        <v>479</v>
      </c>
      <c r="E27" s="3" t="s">
        <v>480</v>
      </c>
      <c r="F27" s="3" t="s">
        <v>481</v>
      </c>
      <c r="G27" s="3" t="s">
        <v>469</v>
      </c>
      <c r="H27" s="3" t="s">
        <v>29</v>
      </c>
      <c r="I27" s="3" t="s">
        <v>293</v>
      </c>
      <c r="J27" s="3" t="s">
        <v>131</v>
      </c>
      <c r="K27" s="3" t="s">
        <v>17</v>
      </c>
      <c r="L27" s="3" t="s">
        <v>18</v>
      </c>
    </row>
    <row r="28" spans="1:14" x14ac:dyDescent="0.2">
      <c r="A28" s="6" t="str">
        <f>_xlfn.TEXTBEFORE(E28,"-")</f>
        <v>7</v>
      </c>
      <c r="B28" s="1" t="str">
        <f>_xlfn.TEXTBEFORE(_xlfn.TEXTAFTER(E28,"-"),"-")</f>
        <v>11</v>
      </c>
      <c r="C28" s="16">
        <f ca="1">IF(SEV_REQUEST[[#This Row],[Created date]]="","",TODAY()-SEV_REQUEST[[#This Row],[Created date]])</f>
        <v>3</v>
      </c>
      <c r="D28" s="4" t="s">
        <v>188</v>
      </c>
      <c r="E28" s="5" t="s">
        <v>189</v>
      </c>
      <c r="F28" s="5" t="s">
        <v>172</v>
      </c>
      <c r="G28" s="5" t="s">
        <v>83</v>
      </c>
      <c r="H28" s="5" t="s">
        <v>25</v>
      </c>
      <c r="I28" s="5" t="s">
        <v>26</v>
      </c>
      <c r="J28" s="5" t="s">
        <v>131</v>
      </c>
      <c r="K28" s="5" t="s">
        <v>17</v>
      </c>
      <c r="L28" s="5" t="s">
        <v>18</v>
      </c>
    </row>
    <row r="29" spans="1:14" x14ac:dyDescent="0.2">
      <c r="A29" s="6" t="str">
        <f>_xlfn.TEXTBEFORE(E29,"-")</f>
        <v>7</v>
      </c>
      <c r="B29" s="1" t="str">
        <f>_xlfn.TEXTBEFORE(_xlfn.TEXTAFTER(E29,"-"),"-")</f>
        <v>07</v>
      </c>
      <c r="C29" s="16">
        <f ca="1">IF(SEV_REQUEST[[#This Row],[Created date]]="","",TODAY()-SEV_REQUEST[[#This Row],[Created date]])</f>
        <v>2</v>
      </c>
      <c r="D29" s="4" t="s">
        <v>129</v>
      </c>
      <c r="E29" s="5" t="s">
        <v>130</v>
      </c>
      <c r="F29" s="5" t="s">
        <v>83</v>
      </c>
      <c r="G29" s="5" t="s">
        <v>12</v>
      </c>
      <c r="H29" s="5" t="s">
        <v>99</v>
      </c>
      <c r="I29" s="5" t="s">
        <v>100</v>
      </c>
      <c r="J29" s="5" t="s">
        <v>131</v>
      </c>
      <c r="K29" s="5" t="s">
        <v>17</v>
      </c>
      <c r="L29" s="5" t="s">
        <v>18</v>
      </c>
    </row>
    <row r="30" spans="1:14" x14ac:dyDescent="0.2">
      <c r="A30" s="6" t="str">
        <f>_xlfn.TEXTBEFORE(E30,"-")</f>
        <v>7</v>
      </c>
      <c r="B30" s="1" t="str">
        <f>_xlfn.TEXTBEFORE(_xlfn.TEXTAFTER(E30,"-"),"-")</f>
        <v>03</v>
      </c>
      <c r="C30" s="15">
        <f ca="1">IF(SEV_REQUEST[[#This Row],[Created date]]="","",TODAY()-SEV_REQUEST[[#This Row],[Created date]])</f>
        <v>26</v>
      </c>
      <c r="D30" s="2" t="s">
        <v>462</v>
      </c>
      <c r="E30" s="3" t="s">
        <v>178</v>
      </c>
      <c r="F30" s="3" t="s">
        <v>463</v>
      </c>
      <c r="G30" s="3" t="s">
        <v>451</v>
      </c>
      <c r="H30" s="3" t="s">
        <v>14</v>
      </c>
      <c r="I30" s="3" t="s">
        <v>357</v>
      </c>
      <c r="J30" s="3" t="s">
        <v>88</v>
      </c>
      <c r="K30" s="3" t="s">
        <v>17</v>
      </c>
      <c r="L30" s="3" t="s">
        <v>89</v>
      </c>
    </row>
    <row r="31" spans="1:14" x14ac:dyDescent="0.2">
      <c r="A31" s="6" t="str">
        <f>_xlfn.TEXTBEFORE(E31,"-")</f>
        <v>7</v>
      </c>
      <c r="B31" s="1" t="str">
        <f>_xlfn.TEXTBEFORE(_xlfn.TEXTAFTER(E31,"-"),"-")</f>
        <v>03</v>
      </c>
      <c r="C31" s="15">
        <f ca="1">IF(SEV_REQUEST[[#This Row],[Created date]]="","",TODAY()-SEV_REQUEST[[#This Row],[Created date]])</f>
        <v>24</v>
      </c>
      <c r="D31" s="2" t="s">
        <v>439</v>
      </c>
      <c r="E31" s="3" t="s">
        <v>440</v>
      </c>
      <c r="F31" s="3" t="s">
        <v>441</v>
      </c>
      <c r="G31" s="3" t="s">
        <v>435</v>
      </c>
      <c r="H31" s="3" t="s">
        <v>29</v>
      </c>
      <c r="I31" s="3" t="s">
        <v>15</v>
      </c>
      <c r="J31" s="3" t="s">
        <v>88</v>
      </c>
      <c r="K31" s="3" t="s">
        <v>17</v>
      </c>
      <c r="L31" s="3" t="s">
        <v>18</v>
      </c>
    </row>
    <row r="32" spans="1:14" x14ac:dyDescent="0.2">
      <c r="A32" s="6" t="str">
        <f>_xlfn.TEXTBEFORE(E32,"-")</f>
        <v>7</v>
      </c>
      <c r="B32" s="1" t="str">
        <f>_xlfn.TEXTBEFORE(_xlfn.TEXTAFTER(E32,"-"),"-")</f>
        <v>11</v>
      </c>
      <c r="C32" s="15">
        <f ca="1">IF(SEV_REQUEST[[#This Row],[Created date]]="","",TODAY()-SEV_REQUEST[[#This Row],[Created date]])</f>
        <v>7</v>
      </c>
      <c r="D32" s="2" t="s">
        <v>274</v>
      </c>
      <c r="E32" s="3" t="s">
        <v>275</v>
      </c>
      <c r="F32" s="3" t="s">
        <v>265</v>
      </c>
      <c r="G32" s="3" t="s">
        <v>250</v>
      </c>
      <c r="H32" s="3" t="s">
        <v>53</v>
      </c>
      <c r="I32" s="3" t="s">
        <v>54</v>
      </c>
      <c r="J32" s="3" t="s">
        <v>88</v>
      </c>
      <c r="K32" s="3" t="s">
        <v>17</v>
      </c>
      <c r="L32" s="3" t="s">
        <v>18</v>
      </c>
    </row>
    <row r="33" spans="1:12" x14ac:dyDescent="0.2">
      <c r="A33" s="6" t="str">
        <f>_xlfn.TEXTBEFORE(E33,"-")</f>
        <v>4</v>
      </c>
      <c r="B33" s="1" t="str">
        <f>_xlfn.TEXTBEFORE(_xlfn.TEXTAFTER(E33,"-"),"-")</f>
        <v>22</v>
      </c>
      <c r="C33" s="16">
        <f ca="1">IF(SEV_REQUEST[[#This Row],[Created date]]="","",TODAY()-SEV_REQUEST[[#This Row],[Created date]])</f>
        <v>7</v>
      </c>
      <c r="D33" s="4" t="s">
        <v>281</v>
      </c>
      <c r="E33" s="5" t="s">
        <v>282</v>
      </c>
      <c r="F33" s="5" t="s">
        <v>265</v>
      </c>
      <c r="G33" s="5" t="s">
        <v>250</v>
      </c>
      <c r="H33" s="5" t="s">
        <v>29</v>
      </c>
      <c r="I33" s="5" t="s">
        <v>283</v>
      </c>
      <c r="J33" s="5" t="s">
        <v>88</v>
      </c>
      <c r="K33" s="5" t="s">
        <v>17</v>
      </c>
      <c r="L33" s="5" t="s">
        <v>89</v>
      </c>
    </row>
    <row r="34" spans="1:12" x14ac:dyDescent="0.2">
      <c r="A34" s="6" t="str">
        <f>_xlfn.TEXTBEFORE(E34,"-")</f>
        <v>7</v>
      </c>
      <c r="B34" s="1" t="str">
        <f>_xlfn.TEXTBEFORE(_xlfn.TEXTAFTER(E34,"-"),"-")</f>
        <v>08</v>
      </c>
      <c r="C34" s="15">
        <f ca="1">IF(SEV_REQUEST[[#This Row],[Created date]]="","",TODAY()-SEV_REQUEST[[#This Row],[Created date]])</f>
        <v>4</v>
      </c>
      <c r="D34" s="2" t="s">
        <v>236</v>
      </c>
      <c r="E34" s="3" t="s">
        <v>237</v>
      </c>
      <c r="F34" s="3" t="s">
        <v>226</v>
      </c>
      <c r="G34" s="3" t="s">
        <v>172</v>
      </c>
      <c r="H34" s="3" t="s">
        <v>29</v>
      </c>
      <c r="I34" s="3" t="s">
        <v>15</v>
      </c>
      <c r="J34" s="3" t="s">
        <v>88</v>
      </c>
      <c r="K34" s="3" t="s">
        <v>17</v>
      </c>
      <c r="L34" s="3" t="s">
        <v>18</v>
      </c>
    </row>
    <row r="35" spans="1:12" x14ac:dyDescent="0.2">
      <c r="A35" s="6" t="str">
        <f>_xlfn.TEXTBEFORE(E35,"-")</f>
        <v>4</v>
      </c>
      <c r="B35" s="1" t="str">
        <f>_xlfn.TEXTBEFORE(_xlfn.TEXTAFTER(E35,"-"),"-")</f>
        <v>22</v>
      </c>
      <c r="C35" s="15">
        <f ca="1">IF(SEV_REQUEST[[#This Row],[Created date]]="","",TODAY()-SEV_REQUEST[[#This Row],[Created date]])</f>
        <v>2</v>
      </c>
      <c r="D35" s="2" t="s">
        <v>86</v>
      </c>
      <c r="E35" s="3" t="s">
        <v>87</v>
      </c>
      <c r="F35" s="3" t="s">
        <v>83</v>
      </c>
      <c r="G35" s="3" t="s">
        <v>12</v>
      </c>
      <c r="H35" s="3" t="s">
        <v>29</v>
      </c>
      <c r="I35" s="3" t="s">
        <v>30</v>
      </c>
      <c r="J35" s="3" t="s">
        <v>88</v>
      </c>
      <c r="K35" s="3" t="s">
        <v>17</v>
      </c>
      <c r="L35" s="3" t="s">
        <v>89</v>
      </c>
    </row>
    <row r="36" spans="1:12" x14ac:dyDescent="0.2">
      <c r="A36" s="6" t="str">
        <f>_xlfn.TEXTBEFORE(E36,"-")</f>
        <v>4</v>
      </c>
      <c r="B36" s="1" t="str">
        <f>_xlfn.TEXTBEFORE(_xlfn.TEXTAFTER(E36,"-"),"-")</f>
        <v>26</v>
      </c>
      <c r="C36" s="15">
        <f ca="1">IF(SEV_REQUEST[[#This Row],[Created date]]="","",TODAY()-SEV_REQUEST[[#This Row],[Created date]])</f>
        <v>2</v>
      </c>
      <c r="D36" s="2" t="s">
        <v>143</v>
      </c>
      <c r="E36" s="3" t="s">
        <v>140</v>
      </c>
      <c r="F36" s="3" t="s">
        <v>83</v>
      </c>
      <c r="G36" s="3" t="s">
        <v>12</v>
      </c>
      <c r="H36" s="3" t="s">
        <v>77</v>
      </c>
      <c r="I36" s="3" t="s">
        <v>78</v>
      </c>
      <c r="J36" s="3" t="s">
        <v>144</v>
      </c>
      <c r="K36" s="3" t="s">
        <v>17</v>
      </c>
      <c r="L36" s="3" t="s">
        <v>18</v>
      </c>
    </row>
    <row r="37" spans="1:12" x14ac:dyDescent="0.2">
      <c r="A37" s="6" t="str">
        <f>_xlfn.TEXTBEFORE(E37,"-")</f>
        <v>3</v>
      </c>
      <c r="B37" s="1" t="str">
        <f>_xlfn.TEXTBEFORE(_xlfn.TEXTAFTER(E37,"-"),"-")</f>
        <v>01</v>
      </c>
      <c r="C37" s="16">
        <f ca="1">IF(SEV_REQUEST[[#This Row],[Created date]]="","",TODAY()-SEV_REQUEST[[#This Row],[Created date]])</f>
        <v>93</v>
      </c>
      <c r="D37" s="4" t="s">
        <v>611</v>
      </c>
      <c r="E37" s="5" t="s">
        <v>446</v>
      </c>
      <c r="F37" s="5" t="s">
        <v>612</v>
      </c>
      <c r="G37" s="5" t="s">
        <v>613</v>
      </c>
      <c r="H37" s="5" t="s">
        <v>29</v>
      </c>
      <c r="I37" s="5" t="s">
        <v>15</v>
      </c>
      <c r="J37" s="5" t="s">
        <v>116</v>
      </c>
      <c r="K37" s="5" t="s">
        <v>17</v>
      </c>
      <c r="L37" s="5" t="s">
        <v>18</v>
      </c>
    </row>
    <row r="38" spans="1:12" x14ac:dyDescent="0.2">
      <c r="A38" s="6" t="str">
        <f>_xlfn.TEXTBEFORE(E38,"-")</f>
        <v>4</v>
      </c>
      <c r="B38" s="1" t="str">
        <f>_xlfn.TEXTBEFORE(_xlfn.TEXTAFTER(E38,"-"),"-")</f>
        <v>24</v>
      </c>
      <c r="C38" s="15">
        <f ca="1">IF(SEV_REQUEST[[#This Row],[Created date]]="","",TODAY()-SEV_REQUEST[[#This Row],[Created date]])</f>
        <v>71</v>
      </c>
      <c r="D38" s="2" t="s">
        <v>594</v>
      </c>
      <c r="E38" s="3" t="s">
        <v>595</v>
      </c>
      <c r="F38" s="3" t="s">
        <v>596</v>
      </c>
      <c r="G38" s="3" t="s">
        <v>597</v>
      </c>
      <c r="H38" s="3" t="s">
        <v>44</v>
      </c>
      <c r="I38" s="3" t="s">
        <v>15</v>
      </c>
      <c r="J38" s="3" t="s">
        <v>116</v>
      </c>
      <c r="K38" s="3" t="s">
        <v>17</v>
      </c>
      <c r="L38" s="3" t="s">
        <v>89</v>
      </c>
    </row>
    <row r="39" spans="1:12" x14ac:dyDescent="0.2">
      <c r="A39" s="6" t="str">
        <f>_xlfn.TEXTBEFORE(E39,"-")</f>
        <v>3</v>
      </c>
      <c r="B39" s="1" t="str">
        <f>_xlfn.TEXTBEFORE(_xlfn.TEXTAFTER(E39,"-"),"-")</f>
        <v>01</v>
      </c>
      <c r="C39" s="16">
        <f ca="1">IF(SEV_REQUEST[[#This Row],[Created date]]="","",TODAY()-SEV_REQUEST[[#This Row],[Created date]])</f>
        <v>66</v>
      </c>
      <c r="D39" s="4" t="s">
        <v>588</v>
      </c>
      <c r="E39" s="5" t="s">
        <v>342</v>
      </c>
      <c r="F39" s="5" t="s">
        <v>587</v>
      </c>
      <c r="G39" s="5" t="s">
        <v>584</v>
      </c>
      <c r="H39" s="5" t="s">
        <v>14</v>
      </c>
      <c r="I39" s="5" t="s">
        <v>15</v>
      </c>
      <c r="J39" s="5" t="s">
        <v>116</v>
      </c>
      <c r="K39" s="5" t="s">
        <v>17</v>
      </c>
      <c r="L39" s="5" t="s">
        <v>18</v>
      </c>
    </row>
    <row r="40" spans="1:12" x14ac:dyDescent="0.2">
      <c r="A40" s="6" t="str">
        <f>_xlfn.TEXTBEFORE(E40,"-")</f>
        <v>4</v>
      </c>
      <c r="B40" s="1" t="str">
        <f>_xlfn.TEXTBEFORE(_xlfn.TEXTAFTER(E40,"-"),"-")</f>
        <v>24</v>
      </c>
      <c r="C40" s="16">
        <f ca="1">IF(SEV_REQUEST[[#This Row],[Created date]]="","",TODAY()-SEV_REQUEST[[#This Row],[Created date]])</f>
        <v>53</v>
      </c>
      <c r="D40" s="4" t="s">
        <v>550</v>
      </c>
      <c r="E40" s="5" t="s">
        <v>551</v>
      </c>
      <c r="F40" s="5" t="s">
        <v>552</v>
      </c>
      <c r="G40" s="5" t="s">
        <v>553</v>
      </c>
      <c r="H40" s="5" t="s">
        <v>25</v>
      </c>
      <c r="I40" s="5" t="s">
        <v>554</v>
      </c>
      <c r="J40" s="5" t="s">
        <v>116</v>
      </c>
      <c r="K40" s="5" t="s">
        <v>17</v>
      </c>
      <c r="L40" s="5" t="s">
        <v>18</v>
      </c>
    </row>
    <row r="41" spans="1:12" x14ac:dyDescent="0.2">
      <c r="A41" s="6" t="str">
        <f>_xlfn.TEXTBEFORE(E41,"-")</f>
        <v>4</v>
      </c>
      <c r="B41" s="1" t="str">
        <f>_xlfn.TEXTBEFORE(_xlfn.TEXTAFTER(E41,"-"),"-")</f>
        <v>25</v>
      </c>
      <c r="C41" s="16">
        <f ca="1">IF(SEV_REQUEST[[#This Row],[Created date]]="","",TODAY()-SEV_REQUEST[[#This Row],[Created date]])</f>
        <v>44</v>
      </c>
      <c r="D41" s="4" t="s">
        <v>526</v>
      </c>
      <c r="E41" s="5" t="s">
        <v>527</v>
      </c>
      <c r="F41" s="5" t="s">
        <v>524</v>
      </c>
      <c r="G41" s="5" t="s">
        <v>517</v>
      </c>
      <c r="H41" s="5" t="s">
        <v>29</v>
      </c>
      <c r="I41" s="5" t="s">
        <v>170</v>
      </c>
      <c r="J41" s="5" t="s">
        <v>116</v>
      </c>
      <c r="K41" s="5" t="s">
        <v>17</v>
      </c>
      <c r="L41" s="5" t="s">
        <v>18</v>
      </c>
    </row>
    <row r="42" spans="1:12" x14ac:dyDescent="0.2">
      <c r="A42" s="6" t="str">
        <f>_xlfn.TEXTBEFORE(E42,"-")</f>
        <v>4</v>
      </c>
      <c r="B42" s="1" t="str">
        <f>_xlfn.TEXTBEFORE(_xlfn.TEXTAFTER(E42,"-"),"-")</f>
        <v>27</v>
      </c>
      <c r="C42" s="16">
        <f ca="1">IF(SEV_REQUEST[[#This Row],[Created date]]="","",TODAY()-SEV_REQUEST[[#This Row],[Created date]])</f>
        <v>43</v>
      </c>
      <c r="D42" s="4" t="s">
        <v>515</v>
      </c>
      <c r="E42" s="5" t="s">
        <v>516</v>
      </c>
      <c r="F42" s="5" t="s">
        <v>517</v>
      </c>
      <c r="G42" s="5" t="s">
        <v>518</v>
      </c>
      <c r="H42" s="5" t="s">
        <v>53</v>
      </c>
      <c r="I42" s="5" t="s">
        <v>296</v>
      </c>
      <c r="J42" s="5" t="s">
        <v>116</v>
      </c>
      <c r="K42" s="5" t="s">
        <v>17</v>
      </c>
      <c r="L42" s="5" t="s">
        <v>18</v>
      </c>
    </row>
    <row r="43" spans="1:12" x14ac:dyDescent="0.2">
      <c r="A43" s="6" t="str">
        <f>_xlfn.TEXTBEFORE(E43,"-")</f>
        <v>3</v>
      </c>
      <c r="B43" s="1" t="str">
        <f>_xlfn.TEXTBEFORE(_xlfn.TEXTAFTER(E43,"-"),"-")</f>
        <v>08</v>
      </c>
      <c r="C43" s="15">
        <f ca="1">IF(SEV_REQUEST[[#This Row],[Created date]]="","",TODAY()-SEV_REQUEST[[#This Row],[Created date]])</f>
        <v>39</v>
      </c>
      <c r="D43" s="2" t="s">
        <v>510</v>
      </c>
      <c r="E43" s="3" t="s">
        <v>260</v>
      </c>
      <c r="F43" s="3" t="s">
        <v>511</v>
      </c>
      <c r="G43" s="3" t="s">
        <v>508</v>
      </c>
      <c r="H43" s="3" t="s">
        <v>53</v>
      </c>
      <c r="I43" s="3" t="s">
        <v>54</v>
      </c>
      <c r="J43" s="3" t="s">
        <v>116</v>
      </c>
      <c r="K43" s="3" t="s">
        <v>17</v>
      </c>
      <c r="L43" s="3" t="s">
        <v>18</v>
      </c>
    </row>
    <row r="44" spans="1:12" x14ac:dyDescent="0.2">
      <c r="A44" s="6" t="str">
        <f>_xlfn.TEXTBEFORE(E44,"-")</f>
        <v>3</v>
      </c>
      <c r="B44" s="1" t="str">
        <f>_xlfn.TEXTBEFORE(_xlfn.TEXTAFTER(E44,"-"),"-")</f>
        <v>33</v>
      </c>
      <c r="C44" s="15">
        <f ca="1">IF(SEV_REQUEST[[#This Row],[Created date]]="","",TODAY()-SEV_REQUEST[[#This Row],[Created date]])</f>
        <v>37</v>
      </c>
      <c r="D44" s="2" t="s">
        <v>505</v>
      </c>
      <c r="E44" s="3" t="s">
        <v>473</v>
      </c>
      <c r="F44" s="3" t="s">
        <v>506</v>
      </c>
      <c r="G44" s="3" t="s">
        <v>504</v>
      </c>
      <c r="H44" s="3" t="s">
        <v>25</v>
      </c>
      <c r="I44" s="3" t="s">
        <v>15</v>
      </c>
      <c r="J44" s="3" t="s">
        <v>116</v>
      </c>
      <c r="K44" s="3" t="s">
        <v>17</v>
      </c>
      <c r="L44" s="3" t="s">
        <v>89</v>
      </c>
    </row>
    <row r="45" spans="1:12" x14ac:dyDescent="0.2">
      <c r="A45" s="6" t="str">
        <f>_xlfn.TEXTBEFORE(E45,"-")</f>
        <v>4</v>
      </c>
      <c r="B45" s="1" t="str">
        <f>_xlfn.TEXTBEFORE(_xlfn.TEXTAFTER(E45,"-"),"-")</f>
        <v>26</v>
      </c>
      <c r="C45" s="16">
        <f ca="1">IF(SEV_REQUEST[[#This Row],[Created date]]="","",TODAY()-SEV_REQUEST[[#This Row],[Created date]])</f>
        <v>36</v>
      </c>
      <c r="D45" s="4" t="s">
        <v>502</v>
      </c>
      <c r="E45" s="5" t="s">
        <v>503</v>
      </c>
      <c r="F45" s="5" t="s">
        <v>504</v>
      </c>
      <c r="G45" s="5" t="s">
        <v>501</v>
      </c>
      <c r="H45" s="5" t="s">
        <v>53</v>
      </c>
      <c r="I45" s="5" t="s">
        <v>149</v>
      </c>
      <c r="J45" s="5" t="s">
        <v>116</v>
      </c>
      <c r="K45" s="5" t="s">
        <v>17</v>
      </c>
      <c r="L45" s="5" t="s">
        <v>89</v>
      </c>
    </row>
    <row r="46" spans="1:12" x14ac:dyDescent="0.2">
      <c r="A46" s="6" t="str">
        <f>_xlfn.TEXTBEFORE(E46,"-")</f>
        <v>4</v>
      </c>
      <c r="B46" s="1" t="str">
        <f>_xlfn.TEXTBEFORE(_xlfn.TEXTAFTER(E46,"-"),"-")</f>
        <v>26</v>
      </c>
      <c r="C46" s="15">
        <f ca="1">IF(SEV_REQUEST[[#This Row],[Created date]]="","",TODAY()-SEV_REQUEST[[#This Row],[Created date]])</f>
        <v>35</v>
      </c>
      <c r="D46" s="2" t="s">
        <v>499</v>
      </c>
      <c r="E46" s="3" t="s">
        <v>500</v>
      </c>
      <c r="F46" s="3" t="s">
        <v>501</v>
      </c>
      <c r="G46" s="3" t="s">
        <v>497</v>
      </c>
      <c r="H46" s="3" t="s">
        <v>53</v>
      </c>
      <c r="I46" s="3" t="s">
        <v>280</v>
      </c>
      <c r="J46" s="3" t="s">
        <v>116</v>
      </c>
      <c r="K46" s="3" t="s">
        <v>17</v>
      </c>
      <c r="L46" s="3" t="s">
        <v>89</v>
      </c>
    </row>
    <row r="47" spans="1:12" x14ac:dyDescent="0.2">
      <c r="A47" s="6" t="str">
        <f>_xlfn.TEXTBEFORE(E47,"-")</f>
        <v>3</v>
      </c>
      <c r="B47" s="1" t="str">
        <f>_xlfn.TEXTBEFORE(_xlfn.TEXTAFTER(E47,"-"),"-")</f>
        <v>07</v>
      </c>
      <c r="C47" s="16">
        <f ca="1">IF(SEV_REQUEST[[#This Row],[Created date]]="","",TODAY()-SEV_REQUEST[[#This Row],[Created date]])</f>
        <v>32</v>
      </c>
      <c r="D47" s="4" t="s">
        <v>486</v>
      </c>
      <c r="E47" s="5" t="s">
        <v>487</v>
      </c>
      <c r="F47" s="5" t="s">
        <v>483</v>
      </c>
      <c r="G47" s="5" t="s">
        <v>481</v>
      </c>
      <c r="H47" s="5" t="s">
        <v>53</v>
      </c>
      <c r="I47" s="5" t="s">
        <v>488</v>
      </c>
      <c r="J47" s="5" t="s">
        <v>116</v>
      </c>
      <c r="K47" s="5" t="s">
        <v>17</v>
      </c>
      <c r="L47" s="5" t="s">
        <v>18</v>
      </c>
    </row>
    <row r="48" spans="1:12" x14ac:dyDescent="0.2">
      <c r="A48" s="6" t="str">
        <f>_xlfn.TEXTBEFORE(E48,"-")</f>
        <v>3</v>
      </c>
      <c r="B48" s="1" t="str">
        <f>_xlfn.TEXTBEFORE(_xlfn.TEXTAFTER(E48,"-"),"-")</f>
        <v>07</v>
      </c>
      <c r="C48" s="15">
        <f ca="1">IF(SEV_REQUEST[[#This Row],[Created date]]="","",TODAY()-SEV_REQUEST[[#This Row],[Created date]])</f>
        <v>32</v>
      </c>
      <c r="D48" s="2" t="s">
        <v>489</v>
      </c>
      <c r="E48" s="3" t="s">
        <v>487</v>
      </c>
      <c r="F48" s="3" t="s">
        <v>483</v>
      </c>
      <c r="G48" s="3" t="s">
        <v>481</v>
      </c>
      <c r="H48" s="3" t="s">
        <v>53</v>
      </c>
      <c r="I48" s="3" t="s">
        <v>296</v>
      </c>
      <c r="J48" s="3" t="s">
        <v>116</v>
      </c>
      <c r="K48" s="3" t="s">
        <v>17</v>
      </c>
      <c r="L48" s="3" t="s">
        <v>18</v>
      </c>
    </row>
    <row r="49" spans="1:12" x14ac:dyDescent="0.2">
      <c r="A49" s="6" t="str">
        <f>_xlfn.TEXTBEFORE(E49,"-")</f>
        <v>4</v>
      </c>
      <c r="B49" s="1" t="str">
        <f>_xlfn.TEXTBEFORE(_xlfn.TEXTAFTER(E49,"-"),"-")</f>
        <v>21</v>
      </c>
      <c r="C49" s="16">
        <f ca="1">IF(SEV_REQUEST[[#This Row],[Created date]]="","",TODAY()-SEV_REQUEST[[#This Row],[Created date]])</f>
        <v>20</v>
      </c>
      <c r="D49" s="4" t="s">
        <v>417</v>
      </c>
      <c r="E49" s="5" t="s">
        <v>418</v>
      </c>
      <c r="F49" s="5" t="s">
        <v>411</v>
      </c>
      <c r="G49" s="5" t="s">
        <v>405</v>
      </c>
      <c r="H49" s="5" t="s">
        <v>21</v>
      </c>
      <c r="I49" s="5" t="s">
        <v>15</v>
      </c>
      <c r="J49" s="5" t="s">
        <v>116</v>
      </c>
      <c r="K49" s="5" t="s">
        <v>17</v>
      </c>
      <c r="L49" s="5" t="s">
        <v>89</v>
      </c>
    </row>
    <row r="50" spans="1:12" x14ac:dyDescent="0.2">
      <c r="A50" s="6" t="str">
        <f>_xlfn.TEXTBEFORE(E50,"-")</f>
        <v>3</v>
      </c>
      <c r="B50" s="1" t="str">
        <f>_xlfn.TEXTBEFORE(_xlfn.TEXTAFTER(E50,"-"),"-")</f>
        <v>01</v>
      </c>
      <c r="C50" s="16">
        <f ca="1">IF(SEV_REQUEST[[#This Row],[Created date]]="","",TODAY()-SEV_REQUEST[[#This Row],[Created date]])</f>
        <v>13</v>
      </c>
      <c r="D50" s="4" t="s">
        <v>341</v>
      </c>
      <c r="E50" s="5" t="s">
        <v>342</v>
      </c>
      <c r="F50" s="5" t="s">
        <v>336</v>
      </c>
      <c r="G50" s="5" t="s">
        <v>333</v>
      </c>
      <c r="H50" s="5" t="s">
        <v>29</v>
      </c>
      <c r="I50" s="5" t="s">
        <v>343</v>
      </c>
      <c r="J50" s="5" t="s">
        <v>116</v>
      </c>
      <c r="K50" s="5" t="s">
        <v>17</v>
      </c>
      <c r="L50" s="5" t="s">
        <v>18</v>
      </c>
    </row>
    <row r="51" spans="1:12" x14ac:dyDescent="0.2">
      <c r="A51" s="6" t="str">
        <f>_xlfn.TEXTBEFORE(E51,"-")</f>
        <v>4</v>
      </c>
      <c r="B51" s="1" t="str">
        <f>_xlfn.TEXTBEFORE(_xlfn.TEXTAFTER(E51,"-"),"-")</f>
        <v>23</v>
      </c>
      <c r="C51" s="15">
        <f ca="1">IF(SEV_REQUEST[[#This Row],[Created date]]="","",TODAY()-SEV_REQUEST[[#This Row],[Created date]])</f>
        <v>11</v>
      </c>
      <c r="D51" s="2" t="s">
        <v>319</v>
      </c>
      <c r="E51" s="3" t="s">
        <v>320</v>
      </c>
      <c r="F51" s="3" t="s">
        <v>321</v>
      </c>
      <c r="G51" s="3" t="s">
        <v>317</v>
      </c>
      <c r="H51" s="3" t="s">
        <v>29</v>
      </c>
      <c r="I51" s="3" t="s">
        <v>15</v>
      </c>
      <c r="J51" s="3" t="s">
        <v>116</v>
      </c>
      <c r="K51" s="3" t="s">
        <v>17</v>
      </c>
      <c r="L51" s="3" t="s">
        <v>89</v>
      </c>
    </row>
    <row r="52" spans="1:12" x14ac:dyDescent="0.2">
      <c r="A52" s="6" t="str">
        <f>_xlfn.TEXTBEFORE(E52,"-")</f>
        <v>4</v>
      </c>
      <c r="B52" s="1" t="str">
        <f>_xlfn.TEXTBEFORE(_xlfn.TEXTAFTER(E52,"-"),"-")</f>
        <v>26</v>
      </c>
      <c r="C52" s="15">
        <f ca="1">IF(SEV_REQUEST[[#This Row],[Created date]]="","",TODAY()-SEV_REQUEST[[#This Row],[Created date]])</f>
        <v>8</v>
      </c>
      <c r="D52" s="2" t="s">
        <v>290</v>
      </c>
      <c r="E52" s="3" t="s">
        <v>291</v>
      </c>
      <c r="F52" s="3" t="s">
        <v>292</v>
      </c>
      <c r="G52" s="3" t="s">
        <v>265</v>
      </c>
      <c r="H52" s="3" t="s">
        <v>29</v>
      </c>
      <c r="I52" s="3" t="s">
        <v>293</v>
      </c>
      <c r="J52" s="3" t="s">
        <v>116</v>
      </c>
      <c r="K52" s="3" t="s">
        <v>17</v>
      </c>
      <c r="L52" s="3" t="s">
        <v>89</v>
      </c>
    </row>
    <row r="53" spans="1:12" x14ac:dyDescent="0.2">
      <c r="A53" s="6" t="str">
        <f>_xlfn.TEXTBEFORE(E53,"-")</f>
        <v>4</v>
      </c>
      <c r="B53" s="1" t="str">
        <f>_xlfn.TEXTBEFORE(_xlfn.TEXTAFTER(E53,"-"),"-")</f>
        <v>21</v>
      </c>
      <c r="C53" s="16">
        <f ca="1">IF(SEV_REQUEST[[#This Row],[Created date]]="","",TODAY()-SEV_REQUEST[[#This Row],[Created date]])</f>
        <v>7</v>
      </c>
      <c r="D53" s="4" t="s">
        <v>276</v>
      </c>
      <c r="E53" s="5" t="s">
        <v>277</v>
      </c>
      <c r="F53" s="5" t="s">
        <v>265</v>
      </c>
      <c r="G53" s="5" t="s">
        <v>250</v>
      </c>
      <c r="H53" s="5" t="s">
        <v>53</v>
      </c>
      <c r="I53" s="5" t="s">
        <v>278</v>
      </c>
      <c r="J53" s="5" t="s">
        <v>116</v>
      </c>
      <c r="K53" s="5" t="s">
        <v>17</v>
      </c>
      <c r="L53" s="5" t="s">
        <v>89</v>
      </c>
    </row>
    <row r="54" spans="1:12" x14ac:dyDescent="0.2">
      <c r="A54" s="6" t="str">
        <f>_xlfn.TEXTBEFORE(E54,"-")</f>
        <v>4</v>
      </c>
      <c r="B54" s="1" t="str">
        <f>_xlfn.TEXTBEFORE(_xlfn.TEXTAFTER(E54,"-"),"-")</f>
        <v>27</v>
      </c>
      <c r="C54" s="15">
        <f ca="1">IF(SEV_REQUEST[[#This Row],[Created date]]="","",TODAY()-SEV_REQUEST[[#This Row],[Created date]])</f>
        <v>3</v>
      </c>
      <c r="D54" s="2" t="s">
        <v>219</v>
      </c>
      <c r="E54" s="3" t="s">
        <v>220</v>
      </c>
      <c r="F54" s="3" t="s">
        <v>172</v>
      </c>
      <c r="G54" s="3" t="s">
        <v>83</v>
      </c>
      <c r="H54" s="3" t="s">
        <v>99</v>
      </c>
      <c r="I54" s="3" t="s">
        <v>221</v>
      </c>
      <c r="J54" s="3" t="s">
        <v>116</v>
      </c>
      <c r="K54" s="3" t="s">
        <v>17</v>
      </c>
      <c r="L54" s="3" t="s">
        <v>18</v>
      </c>
    </row>
    <row r="55" spans="1:12" x14ac:dyDescent="0.2">
      <c r="A55" s="6" t="str">
        <f>_xlfn.TEXTBEFORE(E55,"-")</f>
        <v>4</v>
      </c>
      <c r="B55" s="1" t="str">
        <f>_xlfn.TEXTBEFORE(_xlfn.TEXTAFTER(E55,"-"),"-")</f>
        <v>27</v>
      </c>
      <c r="C55" s="16">
        <f ca="1">IF(SEV_REQUEST[[#This Row],[Created date]]="","",TODAY()-SEV_REQUEST[[#This Row],[Created date]])</f>
        <v>3</v>
      </c>
      <c r="D55" s="4" t="s">
        <v>222</v>
      </c>
      <c r="E55" s="5" t="s">
        <v>220</v>
      </c>
      <c r="F55" s="5" t="s">
        <v>172</v>
      </c>
      <c r="G55" s="5" t="s">
        <v>83</v>
      </c>
      <c r="H55" s="5" t="s">
        <v>25</v>
      </c>
      <c r="I55" s="5" t="s">
        <v>223</v>
      </c>
      <c r="J55" s="5" t="s">
        <v>116</v>
      </c>
      <c r="K55" s="5" t="s">
        <v>17</v>
      </c>
      <c r="L55" s="5" t="s">
        <v>18</v>
      </c>
    </row>
    <row r="56" spans="1:12" x14ac:dyDescent="0.2">
      <c r="A56" s="6" t="str">
        <f>_xlfn.TEXTBEFORE(E56,"-")</f>
        <v>4</v>
      </c>
      <c r="B56" s="1" t="str">
        <f>_xlfn.TEXTBEFORE(_xlfn.TEXTAFTER(E56,"-"),"-")</f>
        <v>16</v>
      </c>
      <c r="C56" s="15">
        <f ca="1">IF(SEV_REQUEST[[#This Row],[Created date]]="","",TODAY()-SEV_REQUEST[[#This Row],[Created date]])</f>
        <v>2</v>
      </c>
      <c r="D56" s="2" t="s">
        <v>113</v>
      </c>
      <c r="E56" s="3" t="s">
        <v>114</v>
      </c>
      <c r="F56" s="3" t="s">
        <v>83</v>
      </c>
      <c r="G56" s="3" t="s">
        <v>12</v>
      </c>
      <c r="H56" s="3" t="s">
        <v>14</v>
      </c>
      <c r="I56" s="3" t="s">
        <v>115</v>
      </c>
      <c r="J56" s="3" t="s">
        <v>116</v>
      </c>
      <c r="K56" s="3" t="s">
        <v>17</v>
      </c>
      <c r="L56" s="3" t="s">
        <v>18</v>
      </c>
    </row>
    <row r="57" spans="1:12" x14ac:dyDescent="0.2">
      <c r="A57" s="6" t="str">
        <f>_xlfn.TEXTBEFORE(E57,"-")</f>
        <v>4</v>
      </c>
      <c r="B57" s="1" t="str">
        <f>_xlfn.TEXTBEFORE(_xlfn.TEXTAFTER(E57,"-"),"-")</f>
        <v>26</v>
      </c>
      <c r="C57" s="16">
        <f ca="1">IF(SEV_REQUEST[[#This Row],[Created date]]="","",TODAY()-SEV_REQUEST[[#This Row],[Created date]])</f>
        <v>65</v>
      </c>
      <c r="D57" s="4" t="s">
        <v>582</v>
      </c>
      <c r="E57" s="5" t="s">
        <v>583</v>
      </c>
      <c r="F57" s="5" t="s">
        <v>584</v>
      </c>
      <c r="G57" s="5" t="s">
        <v>578</v>
      </c>
      <c r="H57" s="5" t="s">
        <v>29</v>
      </c>
      <c r="I57" s="5" t="s">
        <v>157</v>
      </c>
      <c r="J57" s="5" t="s">
        <v>268</v>
      </c>
      <c r="K57" s="5" t="s">
        <v>17</v>
      </c>
      <c r="L57" s="5" t="s">
        <v>89</v>
      </c>
    </row>
    <row r="58" spans="1:12" x14ac:dyDescent="0.2">
      <c r="A58" s="6" t="str">
        <f>_xlfn.TEXTBEFORE(E58,"-")</f>
        <v>4</v>
      </c>
      <c r="B58" s="1" t="str">
        <f>_xlfn.TEXTBEFORE(_xlfn.TEXTAFTER(E58,"-"),"-")</f>
        <v>22</v>
      </c>
      <c r="C58" s="16">
        <f ca="1">IF(SEV_REQUEST[[#This Row],[Created date]]="","",TODAY()-SEV_REQUEST[[#This Row],[Created date]])</f>
        <v>57</v>
      </c>
      <c r="D58" s="4" t="s">
        <v>558</v>
      </c>
      <c r="E58" s="5" t="s">
        <v>559</v>
      </c>
      <c r="F58" s="5" t="s">
        <v>560</v>
      </c>
      <c r="G58" s="5" t="s">
        <v>561</v>
      </c>
      <c r="H58" s="5" t="s">
        <v>29</v>
      </c>
      <c r="I58" s="5" t="s">
        <v>562</v>
      </c>
      <c r="J58" s="5" t="s">
        <v>268</v>
      </c>
      <c r="K58" s="5" t="s">
        <v>17</v>
      </c>
      <c r="L58" s="5" t="s">
        <v>18</v>
      </c>
    </row>
    <row r="59" spans="1:12" x14ac:dyDescent="0.2">
      <c r="A59" s="6" t="str">
        <f>_xlfn.TEXTBEFORE(E59,"-")</f>
        <v>4</v>
      </c>
      <c r="B59" s="1" t="str">
        <f>_xlfn.TEXTBEFORE(_xlfn.TEXTAFTER(E59,"-"),"-")</f>
        <v>25</v>
      </c>
      <c r="C59" s="16">
        <f ca="1">IF(SEV_REQUEST[[#This Row],[Created date]]="","",TODAY()-SEV_REQUEST[[#This Row],[Created date]])</f>
        <v>39</v>
      </c>
      <c r="D59" s="4" t="s">
        <v>512</v>
      </c>
      <c r="E59" s="5" t="s">
        <v>513</v>
      </c>
      <c r="F59" s="5" t="s">
        <v>511</v>
      </c>
      <c r="G59" s="5" t="s">
        <v>508</v>
      </c>
      <c r="H59" s="5" t="s">
        <v>25</v>
      </c>
      <c r="I59" s="5" t="s">
        <v>447</v>
      </c>
      <c r="J59" s="5" t="s">
        <v>268</v>
      </c>
      <c r="K59" s="5" t="s">
        <v>17</v>
      </c>
      <c r="L59" s="5" t="s">
        <v>18</v>
      </c>
    </row>
    <row r="60" spans="1:12" x14ac:dyDescent="0.2">
      <c r="A60" s="6" t="str">
        <f>_xlfn.TEXTBEFORE(E60,"-")</f>
        <v>4</v>
      </c>
      <c r="B60" s="1" t="str">
        <f>_xlfn.TEXTBEFORE(_xlfn.TEXTAFTER(E60,"-"),"-")</f>
        <v>25</v>
      </c>
      <c r="C60" s="15">
        <f ca="1">IF(SEV_REQUEST[[#This Row],[Created date]]="","",TODAY()-SEV_REQUEST[[#This Row],[Created date]])</f>
        <v>39</v>
      </c>
      <c r="D60" s="2" t="s">
        <v>514</v>
      </c>
      <c r="E60" s="3" t="s">
        <v>513</v>
      </c>
      <c r="F60" s="3" t="s">
        <v>511</v>
      </c>
      <c r="G60" s="3" t="s">
        <v>508</v>
      </c>
      <c r="H60" s="3" t="s">
        <v>99</v>
      </c>
      <c r="I60" s="3" t="s">
        <v>100</v>
      </c>
      <c r="J60" s="3" t="s">
        <v>268</v>
      </c>
      <c r="K60" s="3" t="s">
        <v>17</v>
      </c>
      <c r="L60" s="3" t="s">
        <v>18</v>
      </c>
    </row>
    <row r="61" spans="1:12" x14ac:dyDescent="0.2">
      <c r="A61" s="6" t="str">
        <f>_xlfn.TEXTBEFORE(E61,"-")</f>
        <v>3</v>
      </c>
      <c r="B61" s="1" t="str">
        <f>_xlfn.TEXTBEFORE(_xlfn.TEXTAFTER(E61,"-"),"-")</f>
        <v>11</v>
      </c>
      <c r="C61" s="15">
        <f ca="1">IF(SEV_REQUEST[[#This Row],[Created date]]="","",TODAY()-SEV_REQUEST[[#This Row],[Created date]])</f>
        <v>7</v>
      </c>
      <c r="D61" s="2" t="s">
        <v>266</v>
      </c>
      <c r="E61" s="3" t="s">
        <v>267</v>
      </c>
      <c r="F61" s="3" t="s">
        <v>265</v>
      </c>
      <c r="G61" s="3" t="s">
        <v>250</v>
      </c>
      <c r="H61" s="3" t="s">
        <v>99</v>
      </c>
      <c r="I61" s="3" t="s">
        <v>15</v>
      </c>
      <c r="J61" s="3" t="s">
        <v>268</v>
      </c>
      <c r="K61" s="3" t="s">
        <v>17</v>
      </c>
      <c r="L61" s="3" t="s">
        <v>18</v>
      </c>
    </row>
    <row r="62" spans="1:12" x14ac:dyDescent="0.2">
      <c r="A62" s="6" t="str">
        <f>_xlfn.TEXTBEFORE(E62,"-")</f>
        <v>3</v>
      </c>
      <c r="B62" s="1" t="str">
        <f>_xlfn.TEXTBEFORE(_xlfn.TEXTAFTER(E62,"-"),"-")</f>
        <v>12</v>
      </c>
      <c r="C62" s="15">
        <f ca="1">IF(SEV_REQUEST[[#This Row],[Created date]]="","",TODAY()-SEV_REQUEST[[#This Row],[Created date]])</f>
        <v>2</v>
      </c>
      <c r="D62" s="2" t="s">
        <v>124</v>
      </c>
      <c r="E62" s="3" t="s">
        <v>125</v>
      </c>
      <c r="F62" s="3" t="s">
        <v>83</v>
      </c>
      <c r="G62" s="3" t="s">
        <v>12</v>
      </c>
      <c r="H62" s="3" t="s">
        <v>126</v>
      </c>
      <c r="I62" s="3" t="s">
        <v>127</v>
      </c>
      <c r="J62" s="3" t="s">
        <v>128</v>
      </c>
      <c r="K62" s="3" t="s">
        <v>17</v>
      </c>
      <c r="L62" s="3" t="s">
        <v>18</v>
      </c>
    </row>
    <row r="63" spans="1:12" x14ac:dyDescent="0.2">
      <c r="A63" s="6" t="str">
        <f>_xlfn.TEXTBEFORE(E63,"-")</f>
        <v>5</v>
      </c>
      <c r="B63" s="1" t="str">
        <f>_xlfn.TEXTBEFORE(_xlfn.TEXTAFTER(E63,"-"),"-")</f>
        <v>15</v>
      </c>
      <c r="C63" s="15">
        <f ca="1">IF(SEV_REQUEST[[#This Row],[Created date]]="","",TODAY()-SEV_REQUEST[[#This Row],[Created date]])</f>
        <v>74</v>
      </c>
      <c r="D63" s="2" t="s">
        <v>601</v>
      </c>
      <c r="E63" s="3" t="s">
        <v>602</v>
      </c>
      <c r="F63" s="3" t="s">
        <v>603</v>
      </c>
      <c r="G63" s="3" t="s">
        <v>604</v>
      </c>
      <c r="H63" s="3" t="s">
        <v>21</v>
      </c>
      <c r="I63" s="3" t="s">
        <v>15</v>
      </c>
      <c r="J63" s="5" t="s">
        <v>288</v>
      </c>
      <c r="K63" s="3" t="s">
        <v>17</v>
      </c>
      <c r="L63" s="3" t="s">
        <v>89</v>
      </c>
    </row>
    <row r="64" spans="1:12" x14ac:dyDescent="0.2">
      <c r="A64" s="6" t="str">
        <f>_xlfn.TEXTBEFORE(E64,"-")</f>
        <v>5</v>
      </c>
      <c r="B64" s="1" t="str">
        <f>_xlfn.TEXTBEFORE(_xlfn.TEXTAFTER(E64,"-"),"-")</f>
        <v>18</v>
      </c>
      <c r="C64" s="16">
        <f ca="1">IF(SEV_REQUEST[[#This Row],[Created date]]="","",TODAY()-SEV_REQUEST[[#This Row],[Created date]])</f>
        <v>64</v>
      </c>
      <c r="D64" s="4" t="s">
        <v>576</v>
      </c>
      <c r="E64" s="5" t="s">
        <v>577</v>
      </c>
      <c r="F64" s="5" t="s">
        <v>578</v>
      </c>
      <c r="G64" s="5" t="s">
        <v>573</v>
      </c>
      <c r="H64" s="5" t="s">
        <v>35</v>
      </c>
      <c r="I64" s="5" t="s">
        <v>361</v>
      </c>
      <c r="J64" s="5" t="s">
        <v>235</v>
      </c>
      <c r="K64" s="5" t="s">
        <v>17</v>
      </c>
      <c r="L64" s="5" t="s">
        <v>89</v>
      </c>
    </row>
    <row r="65" spans="1:12" x14ac:dyDescent="0.2">
      <c r="A65" s="6" t="str">
        <f>_xlfn.TEXTBEFORE(E65,"-")</f>
        <v>4</v>
      </c>
      <c r="B65" s="1" t="str">
        <f>_xlfn.TEXTBEFORE(_xlfn.TEXTAFTER(E65,"-"),"-")</f>
        <v>26</v>
      </c>
      <c r="C65" s="15">
        <f ca="1">IF(SEV_REQUEST[[#This Row],[Created date]]="","",TODAY()-SEV_REQUEST[[#This Row],[Created date]])</f>
        <v>64</v>
      </c>
      <c r="D65" s="2" t="s">
        <v>579</v>
      </c>
      <c r="E65" s="3" t="s">
        <v>580</v>
      </c>
      <c r="F65" s="3" t="s">
        <v>578</v>
      </c>
      <c r="G65" s="3" t="s">
        <v>573</v>
      </c>
      <c r="H65" s="3" t="s">
        <v>44</v>
      </c>
      <c r="I65" s="3" t="s">
        <v>581</v>
      </c>
      <c r="J65" s="3" t="s">
        <v>235</v>
      </c>
      <c r="K65" s="3" t="s">
        <v>17</v>
      </c>
      <c r="L65" s="3" t="s">
        <v>89</v>
      </c>
    </row>
    <row r="66" spans="1:12" x14ac:dyDescent="0.2">
      <c r="A66" s="6" t="str">
        <f>_xlfn.TEXTBEFORE(E66,"-")</f>
        <v>5</v>
      </c>
      <c r="B66" s="1" t="str">
        <f>_xlfn.TEXTBEFORE(_xlfn.TEXTAFTER(E66,"-"),"-")</f>
        <v>12</v>
      </c>
      <c r="C66" s="15">
        <f ca="1">IF(SEV_REQUEST[[#This Row],[Created date]]="","",TODAY()-SEV_REQUEST[[#This Row],[Created date]])</f>
        <v>54</v>
      </c>
      <c r="D66" s="2" t="s">
        <v>555</v>
      </c>
      <c r="E66" s="3" t="s">
        <v>556</v>
      </c>
      <c r="F66" s="3" t="s">
        <v>557</v>
      </c>
      <c r="G66" s="3" t="s">
        <v>552</v>
      </c>
      <c r="H66" s="3" t="s">
        <v>53</v>
      </c>
      <c r="I66" s="3" t="s">
        <v>379</v>
      </c>
      <c r="J66" s="3" t="s">
        <v>235</v>
      </c>
      <c r="K66" s="3" t="s">
        <v>17</v>
      </c>
      <c r="L66" s="3" t="s">
        <v>89</v>
      </c>
    </row>
    <row r="67" spans="1:12" x14ac:dyDescent="0.2">
      <c r="A67" s="6" t="str">
        <f>_xlfn.TEXTBEFORE(E67,"-")</f>
        <v>5</v>
      </c>
      <c r="B67" s="1" t="str">
        <f>_xlfn.TEXTBEFORE(_xlfn.TEXTAFTER(E67,"-"),"-")</f>
        <v>18</v>
      </c>
      <c r="C67" s="16">
        <f ca="1">IF(SEV_REQUEST[[#This Row],[Created date]]="","",TODAY()-SEV_REQUEST[[#This Row],[Created date]])</f>
        <v>21</v>
      </c>
      <c r="D67" s="4" t="s">
        <v>431</v>
      </c>
      <c r="E67" s="5" t="s">
        <v>432</v>
      </c>
      <c r="F67" s="5" t="s">
        <v>424</v>
      </c>
      <c r="G67" s="5" t="s">
        <v>411</v>
      </c>
      <c r="H67" s="5" t="s">
        <v>29</v>
      </c>
      <c r="I67" s="5" t="s">
        <v>15</v>
      </c>
      <c r="J67" s="5" t="s">
        <v>235</v>
      </c>
      <c r="K67" s="5" t="s">
        <v>17</v>
      </c>
      <c r="L67" s="5" t="s">
        <v>18</v>
      </c>
    </row>
    <row r="68" spans="1:12" x14ac:dyDescent="0.2">
      <c r="A68" s="6" t="str">
        <f>_xlfn.TEXTBEFORE(E68,"-")</f>
        <v>5</v>
      </c>
      <c r="B68" s="1" t="str">
        <f>_xlfn.TEXTBEFORE(_xlfn.TEXTAFTER(E68,"-"),"-")</f>
        <v>18</v>
      </c>
      <c r="C68" s="15">
        <f ca="1">IF(SEV_REQUEST[[#This Row],[Created date]]="","",TODAY()-SEV_REQUEST[[#This Row],[Created date]])</f>
        <v>13</v>
      </c>
      <c r="D68" s="2" t="s">
        <v>334</v>
      </c>
      <c r="E68" s="3" t="s">
        <v>335</v>
      </c>
      <c r="F68" s="3" t="s">
        <v>336</v>
      </c>
      <c r="G68" s="3" t="s">
        <v>333</v>
      </c>
      <c r="H68" s="3" t="s">
        <v>53</v>
      </c>
      <c r="I68" s="3" t="s">
        <v>337</v>
      </c>
      <c r="J68" s="3" t="s">
        <v>235</v>
      </c>
      <c r="K68" s="3" t="s">
        <v>17</v>
      </c>
      <c r="L68" s="3" t="s">
        <v>18</v>
      </c>
    </row>
    <row r="69" spans="1:12" x14ac:dyDescent="0.2">
      <c r="A69" s="6" t="str">
        <f>_xlfn.TEXTBEFORE(E69,"-")</f>
        <v>5</v>
      </c>
      <c r="B69" s="1" t="str">
        <f>_xlfn.TEXTBEFORE(_xlfn.TEXTAFTER(E69,"-"),"-")</f>
        <v>16</v>
      </c>
      <c r="C69" s="15">
        <f ca="1">IF(SEV_REQUEST[[#This Row],[Created date]]="","",TODAY()-SEV_REQUEST[[#This Row],[Created date]])</f>
        <v>9</v>
      </c>
      <c r="D69" s="2" t="s">
        <v>304</v>
      </c>
      <c r="E69" s="3" t="s">
        <v>305</v>
      </c>
      <c r="F69" s="3" t="s">
        <v>299</v>
      </c>
      <c r="G69" s="3" t="s">
        <v>292</v>
      </c>
      <c r="H69" s="3" t="s">
        <v>25</v>
      </c>
      <c r="I69" s="3" t="s">
        <v>15</v>
      </c>
      <c r="J69" s="3" t="s">
        <v>235</v>
      </c>
      <c r="K69" s="3" t="s">
        <v>17</v>
      </c>
      <c r="L69" s="3" t="s">
        <v>18</v>
      </c>
    </row>
    <row r="70" spans="1:12" x14ac:dyDescent="0.2">
      <c r="A70" s="6" t="str">
        <f>_xlfn.TEXTBEFORE(E70,"-")</f>
        <v>5</v>
      </c>
      <c r="B70" s="1" t="str">
        <f>_xlfn.TEXTBEFORE(_xlfn.TEXTAFTER(E70,"-"),"-")</f>
        <v>18</v>
      </c>
      <c r="C70" s="16">
        <f ca="1">IF(SEV_REQUEST[[#This Row],[Created date]]="","",TODAY()-SEV_REQUEST[[#This Row],[Created date]])</f>
        <v>6</v>
      </c>
      <c r="D70" s="4" t="s">
        <v>248</v>
      </c>
      <c r="E70" s="5" t="s">
        <v>249</v>
      </c>
      <c r="F70" s="5" t="s">
        <v>250</v>
      </c>
      <c r="G70" s="5" t="s">
        <v>245</v>
      </c>
      <c r="H70" s="5" t="s">
        <v>29</v>
      </c>
      <c r="I70" s="5" t="s">
        <v>146</v>
      </c>
      <c r="J70" s="5" t="s">
        <v>235</v>
      </c>
      <c r="K70" s="5" t="s">
        <v>17</v>
      </c>
      <c r="L70" s="5" t="s">
        <v>18</v>
      </c>
    </row>
    <row r="71" spans="1:12" x14ac:dyDescent="0.2">
      <c r="A71" s="6" t="str">
        <f>_xlfn.TEXTBEFORE(E71,"-")</f>
        <v>4</v>
      </c>
      <c r="B71" s="1" t="str">
        <f>_xlfn.TEXTBEFORE(_xlfn.TEXTAFTER(E71,"-"),"-")</f>
        <v>26</v>
      </c>
      <c r="C71" s="15">
        <f ca="1">IF(SEV_REQUEST[[#This Row],[Created date]]="","",TODAY()-SEV_REQUEST[[#This Row],[Created date]])</f>
        <v>6</v>
      </c>
      <c r="D71" s="2" t="s">
        <v>261</v>
      </c>
      <c r="E71" s="3" t="s">
        <v>262</v>
      </c>
      <c r="F71" s="3" t="s">
        <v>250</v>
      </c>
      <c r="G71" s="3" t="s">
        <v>245</v>
      </c>
      <c r="H71" s="3" t="s">
        <v>29</v>
      </c>
      <c r="I71" s="3" t="s">
        <v>202</v>
      </c>
      <c r="J71" s="3" t="s">
        <v>235</v>
      </c>
      <c r="K71" s="3" t="s">
        <v>17</v>
      </c>
      <c r="L71" s="3" t="s">
        <v>89</v>
      </c>
    </row>
    <row r="72" spans="1:12" x14ac:dyDescent="0.2">
      <c r="A72" s="6" t="str">
        <f>_xlfn.TEXTBEFORE(E72,"-")</f>
        <v>5</v>
      </c>
      <c r="B72" s="1" t="str">
        <f>_xlfn.TEXTBEFORE(_xlfn.TEXTAFTER(E72,"-"),"-")</f>
        <v>17</v>
      </c>
      <c r="C72" s="16">
        <f ca="1">IF(SEV_REQUEST[[#This Row],[Created date]]="","",TODAY()-SEV_REQUEST[[#This Row],[Created date]])</f>
        <v>4</v>
      </c>
      <c r="D72" s="4" t="s">
        <v>232</v>
      </c>
      <c r="E72" s="5" t="s">
        <v>233</v>
      </c>
      <c r="F72" s="5" t="s">
        <v>226</v>
      </c>
      <c r="G72" s="5" t="s">
        <v>172</v>
      </c>
      <c r="H72" s="5" t="s">
        <v>29</v>
      </c>
      <c r="I72" s="5" t="s">
        <v>234</v>
      </c>
      <c r="J72" s="5" t="s">
        <v>235</v>
      </c>
      <c r="K72" s="5" t="s">
        <v>17</v>
      </c>
      <c r="L72" s="5" t="s">
        <v>18</v>
      </c>
    </row>
    <row r="73" spans="1:12" x14ac:dyDescent="0.2">
      <c r="A73" s="6" t="str">
        <f>_xlfn.TEXTBEFORE(E73,"-")</f>
        <v>5</v>
      </c>
      <c r="B73" s="1" t="str">
        <f>_xlfn.TEXTBEFORE(_xlfn.TEXTAFTER(E73,"-"),"-")</f>
        <v>18</v>
      </c>
      <c r="C73" s="15">
        <f ca="1">IF(SEV_REQUEST[[#This Row],[Created date]]="","",TODAY()-SEV_REQUEST[[#This Row],[Created date]])</f>
        <v>4</v>
      </c>
      <c r="D73" s="2" t="s">
        <v>241</v>
      </c>
      <c r="E73" s="3" t="s">
        <v>242</v>
      </c>
      <c r="F73" s="3" t="s">
        <v>226</v>
      </c>
      <c r="G73" s="3" t="s">
        <v>172</v>
      </c>
      <c r="H73" s="3" t="s">
        <v>99</v>
      </c>
      <c r="I73" s="3" t="s">
        <v>227</v>
      </c>
      <c r="J73" s="3" t="s">
        <v>235</v>
      </c>
      <c r="K73" s="3" t="s">
        <v>17</v>
      </c>
      <c r="L73" s="3" t="s">
        <v>18</v>
      </c>
    </row>
    <row r="74" spans="1:12" x14ac:dyDescent="0.2">
      <c r="A74" s="6" t="str">
        <f>_xlfn.TEXTBEFORE(E74,"-")</f>
        <v>3</v>
      </c>
      <c r="B74" s="1" t="str">
        <f>_xlfn.TEXTBEFORE(_xlfn.TEXTAFTER(E74,"-"),"-")</f>
        <v>01</v>
      </c>
      <c r="C74" s="15">
        <f ca="1">IF(SEV_REQUEST[[#This Row],[Created date]]="","",TODAY()-SEV_REQUEST[[#This Row],[Created date]])</f>
        <v>24</v>
      </c>
      <c r="D74" s="2" t="s">
        <v>445</v>
      </c>
      <c r="E74" s="3" t="s">
        <v>446</v>
      </c>
      <c r="F74" s="3" t="s">
        <v>441</v>
      </c>
      <c r="G74" s="3" t="s">
        <v>333</v>
      </c>
      <c r="H74" s="3" t="s">
        <v>25</v>
      </c>
      <c r="I74" s="3" t="s">
        <v>447</v>
      </c>
      <c r="J74" s="3" t="s">
        <v>448</v>
      </c>
      <c r="K74" s="3" t="s">
        <v>17</v>
      </c>
      <c r="L74" s="3" t="s">
        <v>89</v>
      </c>
    </row>
    <row r="75" spans="1:12" x14ac:dyDescent="0.2">
      <c r="A75" s="6" t="str">
        <f>_xlfn.TEXTBEFORE(E75,"-")</f>
        <v>7</v>
      </c>
      <c r="B75" s="1" t="str">
        <f>_xlfn.TEXTBEFORE(_xlfn.TEXTAFTER(E75,"-"),"-")</f>
        <v>TH4</v>
      </c>
      <c r="C75" s="16">
        <f ca="1">IF(SEV_REQUEST[[#This Row],[Created date]]="","",TODAY()-SEV_REQUEST[[#This Row],[Created date]])</f>
        <v>20</v>
      </c>
      <c r="D75" s="4" t="s">
        <v>420</v>
      </c>
      <c r="E75" s="5" t="s">
        <v>421</v>
      </c>
      <c r="F75" s="5" t="s">
        <v>411</v>
      </c>
      <c r="G75" s="5" t="s">
        <v>405</v>
      </c>
      <c r="H75" s="5" t="s">
        <v>29</v>
      </c>
      <c r="I75" s="5" t="s">
        <v>15</v>
      </c>
      <c r="J75" s="5" t="s">
        <v>85</v>
      </c>
      <c r="K75" s="5" t="s">
        <v>17</v>
      </c>
      <c r="L75" s="5" t="s">
        <v>18</v>
      </c>
    </row>
    <row r="76" spans="1:12" x14ac:dyDescent="0.2">
      <c r="A76" s="6" t="str">
        <f>_xlfn.TEXTBEFORE(E76,"-")</f>
        <v>8</v>
      </c>
      <c r="B76" s="1" t="str">
        <f>_xlfn.TEXTBEFORE(_xlfn.TEXTAFTER(E76,"-"),"-")</f>
        <v>01</v>
      </c>
      <c r="C76" s="15">
        <f ca="1">IF(SEV_REQUEST[[#This Row],[Created date]]="","",TODAY()-SEV_REQUEST[[#This Row],[Created date]])</f>
        <v>7</v>
      </c>
      <c r="D76" s="2" t="s">
        <v>270</v>
      </c>
      <c r="E76" s="3" t="s">
        <v>271</v>
      </c>
      <c r="F76" s="3" t="s">
        <v>265</v>
      </c>
      <c r="G76" s="3" t="s">
        <v>250</v>
      </c>
      <c r="H76" s="3" t="s">
        <v>21</v>
      </c>
      <c r="I76" s="3" t="s">
        <v>15</v>
      </c>
      <c r="J76" s="3" t="s">
        <v>85</v>
      </c>
      <c r="K76" s="3" t="s">
        <v>17</v>
      </c>
      <c r="L76" s="3" t="s">
        <v>18</v>
      </c>
    </row>
    <row r="77" spans="1:12" x14ac:dyDescent="0.2">
      <c r="A77" s="6" t="str">
        <f>_xlfn.TEXTBEFORE(E77,"-")</f>
        <v>8</v>
      </c>
      <c r="B77" s="1" t="str">
        <f>_xlfn.TEXTBEFORE(_xlfn.TEXTAFTER(E77,"-"),"-")</f>
        <v>01</v>
      </c>
      <c r="C77" s="16">
        <f ca="1">IF(SEV_REQUEST[[#This Row],[Created date]]="","",TODAY()-SEV_REQUEST[[#This Row],[Created date]])</f>
        <v>2</v>
      </c>
      <c r="D77" s="4" t="s">
        <v>81</v>
      </c>
      <c r="E77" s="5" t="s">
        <v>82</v>
      </c>
      <c r="F77" s="5" t="s">
        <v>83</v>
      </c>
      <c r="G77" s="5" t="s">
        <v>12</v>
      </c>
      <c r="H77" s="5" t="s">
        <v>29</v>
      </c>
      <c r="I77" s="5" t="s">
        <v>84</v>
      </c>
      <c r="J77" s="5" t="s">
        <v>85</v>
      </c>
      <c r="K77" s="5" t="s">
        <v>17</v>
      </c>
      <c r="L77" s="5" t="s">
        <v>18</v>
      </c>
    </row>
    <row r="78" spans="1:12" x14ac:dyDescent="0.2">
      <c r="A78" s="6" t="str">
        <f>_xlfn.TEXTBEFORE(E78,"-")</f>
        <v>8</v>
      </c>
      <c r="B78" s="1" t="str">
        <f>_xlfn.TEXTBEFORE(_xlfn.TEXTAFTER(E78,"-"),"-")</f>
        <v>01</v>
      </c>
      <c r="C78" s="15">
        <f ca="1">IF(SEV_REQUEST[[#This Row],[Created date]]="","",TODAY()-SEV_REQUEST[[#This Row],[Created date]])</f>
        <v>2</v>
      </c>
      <c r="D78" s="2" t="s">
        <v>147</v>
      </c>
      <c r="E78" s="3" t="s">
        <v>148</v>
      </c>
      <c r="F78" s="3" t="s">
        <v>83</v>
      </c>
      <c r="G78" s="3" t="s">
        <v>12</v>
      </c>
      <c r="H78" s="3" t="s">
        <v>53</v>
      </c>
      <c r="I78" s="3" t="s">
        <v>149</v>
      </c>
      <c r="J78" s="3" t="s">
        <v>85</v>
      </c>
      <c r="K78" s="3" t="s">
        <v>17</v>
      </c>
      <c r="L78" s="3" t="s">
        <v>18</v>
      </c>
    </row>
    <row r="79" spans="1:12" x14ac:dyDescent="0.2">
      <c r="A79" s="6" t="str">
        <f>_xlfn.TEXTBEFORE(E79,"-")</f>
        <v>8</v>
      </c>
      <c r="B79" s="1" t="str">
        <f>_xlfn.TEXTBEFORE(_xlfn.TEXTAFTER(E79,"-"),"-")</f>
        <v>01</v>
      </c>
      <c r="C79" s="15">
        <f ca="1">IF(SEV_REQUEST[[#This Row],[Created date]]="","",TODAY()-SEV_REQUEST[[#This Row],[Created date]])</f>
        <v>2</v>
      </c>
      <c r="D79" s="2" t="s">
        <v>152</v>
      </c>
      <c r="E79" s="3" t="s">
        <v>153</v>
      </c>
      <c r="F79" s="3" t="s">
        <v>83</v>
      </c>
      <c r="G79" s="3" t="s">
        <v>12</v>
      </c>
      <c r="H79" s="3" t="s">
        <v>21</v>
      </c>
      <c r="I79" s="3" t="s">
        <v>15</v>
      </c>
      <c r="J79" s="3" t="s">
        <v>85</v>
      </c>
      <c r="K79" s="3" t="s">
        <v>17</v>
      </c>
      <c r="L79" s="3" t="s">
        <v>18</v>
      </c>
    </row>
    <row r="80" spans="1:12" x14ac:dyDescent="0.2">
      <c r="A80" s="6" t="str">
        <f>_xlfn.TEXTBEFORE(E80,"-")</f>
        <v>8</v>
      </c>
      <c r="B80" s="1" t="str">
        <f>_xlfn.TEXTBEFORE(_xlfn.TEXTAFTER(E80,"-"),"-")</f>
        <v>01</v>
      </c>
      <c r="C80" s="16">
        <f ca="1">IF(SEV_REQUEST[[#This Row],[Created date]]="","",TODAY()-SEV_REQUEST[[#This Row],[Created date]])</f>
        <v>2</v>
      </c>
      <c r="D80" s="4" t="s">
        <v>154</v>
      </c>
      <c r="E80" s="5" t="s">
        <v>148</v>
      </c>
      <c r="F80" s="5" t="s">
        <v>83</v>
      </c>
      <c r="G80" s="5" t="s">
        <v>12</v>
      </c>
      <c r="H80" s="5" t="s">
        <v>29</v>
      </c>
      <c r="I80" s="5" t="s">
        <v>15</v>
      </c>
      <c r="J80" s="5" t="s">
        <v>85</v>
      </c>
      <c r="K80" s="5" t="s">
        <v>17</v>
      </c>
      <c r="L80" s="5" t="s">
        <v>18</v>
      </c>
    </row>
    <row r="81" spans="1:12" x14ac:dyDescent="0.2">
      <c r="A81" s="6" t="str">
        <f>_xlfn.TEXTBEFORE(E81,"-")</f>
        <v>5</v>
      </c>
      <c r="B81" s="1" t="str">
        <f>_xlfn.TEXTBEFORE(_xlfn.TEXTAFTER(E81,"-"),"-")</f>
        <v>01</v>
      </c>
      <c r="C81" s="15">
        <f ca="1">IF(SEV_REQUEST[[#This Row],[Created date]]="","",TODAY()-SEV_REQUEST[[#This Row],[Created date]])</f>
        <v>21</v>
      </c>
      <c r="D81" s="2" t="s">
        <v>422</v>
      </c>
      <c r="E81" s="3" t="s">
        <v>423</v>
      </c>
      <c r="F81" s="3" t="s">
        <v>424</v>
      </c>
      <c r="G81" s="3" t="s">
        <v>411</v>
      </c>
      <c r="H81" s="3" t="s">
        <v>44</v>
      </c>
      <c r="I81" s="3" t="s">
        <v>425</v>
      </c>
      <c r="J81" s="3" t="s">
        <v>303</v>
      </c>
      <c r="K81" s="3" t="s">
        <v>17</v>
      </c>
      <c r="L81" s="3" t="s">
        <v>89</v>
      </c>
    </row>
    <row r="82" spans="1:12" x14ac:dyDescent="0.2">
      <c r="A82" s="6" t="str">
        <f>_xlfn.TEXTBEFORE(E82,"-")</f>
        <v>5</v>
      </c>
      <c r="B82" s="1" t="str">
        <f>_xlfn.TEXTBEFORE(_xlfn.TEXTAFTER(E82,"-"),"-")</f>
        <v>03</v>
      </c>
      <c r="C82" s="16">
        <f ca="1">IF(SEV_REQUEST[[#This Row],[Created date]]="","",TODAY()-SEV_REQUEST[[#This Row],[Created date]])</f>
        <v>9</v>
      </c>
      <c r="D82" s="4" t="s">
        <v>300</v>
      </c>
      <c r="E82" s="5" t="s">
        <v>301</v>
      </c>
      <c r="F82" s="5" t="s">
        <v>299</v>
      </c>
      <c r="G82" s="5" t="s">
        <v>292</v>
      </c>
      <c r="H82" s="5" t="s">
        <v>44</v>
      </c>
      <c r="I82" s="5" t="s">
        <v>302</v>
      </c>
      <c r="J82" s="5" t="s">
        <v>303</v>
      </c>
      <c r="K82" s="5" t="s">
        <v>17</v>
      </c>
      <c r="L82" s="5" t="s">
        <v>89</v>
      </c>
    </row>
    <row r="83" spans="1:12" x14ac:dyDescent="0.2">
      <c r="A83" s="6" t="str">
        <f>_xlfn.TEXTBEFORE(E83,"-")</f>
        <v>8</v>
      </c>
      <c r="B83" s="1" t="str">
        <f>_xlfn.TEXTBEFORE(_xlfn.TEXTAFTER(E83,"-"),"-")</f>
        <v>01</v>
      </c>
      <c r="C83" s="15">
        <f ca="1">IF(SEV_REQUEST[[#This Row],[Created date]]="","",TODAY()-SEV_REQUEST[[#This Row],[Created date]])</f>
        <v>4</v>
      </c>
      <c r="D83" s="2" t="s">
        <v>230</v>
      </c>
      <c r="E83" s="3" t="s">
        <v>231</v>
      </c>
      <c r="F83" s="3" t="s">
        <v>226</v>
      </c>
      <c r="G83" s="3" t="s">
        <v>172</v>
      </c>
      <c r="H83" s="3" t="s">
        <v>77</v>
      </c>
      <c r="I83" s="3" t="s">
        <v>78</v>
      </c>
      <c r="J83" s="3" t="s">
        <v>185</v>
      </c>
      <c r="K83" s="3" t="s">
        <v>17</v>
      </c>
      <c r="L83" s="3" t="s">
        <v>18</v>
      </c>
    </row>
    <row r="84" spans="1:12" x14ac:dyDescent="0.2">
      <c r="A84" s="6" t="str">
        <f>_xlfn.TEXTBEFORE(E84,"-")</f>
        <v>4</v>
      </c>
      <c r="B84" s="1" t="str">
        <f>_xlfn.TEXTBEFORE(_xlfn.TEXTAFTER(E84,"-"),"-")</f>
        <v>21</v>
      </c>
      <c r="C84" s="16">
        <f ca="1">IF(SEV_REQUEST[[#This Row],[Created date]]="","",TODAY()-SEV_REQUEST[[#This Row],[Created date]])</f>
        <v>3</v>
      </c>
      <c r="D84" s="4" t="s">
        <v>183</v>
      </c>
      <c r="E84" s="5" t="s">
        <v>184</v>
      </c>
      <c r="F84" s="5" t="s">
        <v>172</v>
      </c>
      <c r="G84" s="5" t="s">
        <v>83</v>
      </c>
      <c r="H84" s="5" t="s">
        <v>77</v>
      </c>
      <c r="I84" s="5" t="s">
        <v>78</v>
      </c>
      <c r="J84" s="5" t="s">
        <v>185</v>
      </c>
      <c r="K84" s="5" t="s">
        <v>17</v>
      </c>
      <c r="L84" s="5" t="s">
        <v>18</v>
      </c>
    </row>
    <row r="85" spans="1:12" x14ac:dyDescent="0.2">
      <c r="A85" s="6" t="str">
        <f>_xlfn.TEXTBEFORE(E85,"-")</f>
        <v>3</v>
      </c>
      <c r="B85" s="1" t="str">
        <f>_xlfn.TEXTBEFORE(_xlfn.TEXTAFTER(E85,"-"),"-")</f>
        <v>03</v>
      </c>
      <c r="C85" s="16">
        <f ca="1">IF(SEV_REQUEST[[#This Row],[Created date]]="","",TODAY()-SEV_REQUEST[[#This Row],[Created date]])</f>
        <v>3</v>
      </c>
      <c r="D85" s="4" t="s">
        <v>192</v>
      </c>
      <c r="E85" s="5" t="s">
        <v>193</v>
      </c>
      <c r="F85" s="5" t="s">
        <v>172</v>
      </c>
      <c r="G85" s="5" t="s">
        <v>83</v>
      </c>
      <c r="H85" s="5" t="s">
        <v>77</v>
      </c>
      <c r="I85" s="5" t="s">
        <v>78</v>
      </c>
      <c r="J85" s="5" t="s">
        <v>185</v>
      </c>
      <c r="K85" s="5" t="s">
        <v>17</v>
      </c>
      <c r="L85" s="5" t="s">
        <v>18</v>
      </c>
    </row>
    <row r="86" spans="1:12" x14ac:dyDescent="0.2">
      <c r="A86" s="6" t="str">
        <f>_xlfn.TEXTBEFORE(E86,"-")</f>
        <v>8</v>
      </c>
      <c r="B86" s="1" t="str">
        <f>_xlfn.TEXTBEFORE(_xlfn.TEXTAFTER(E86,"-"),"-")</f>
        <v>01</v>
      </c>
      <c r="C86" s="16">
        <f ca="1">IF(SEV_REQUEST[[#This Row],[Created date]]="","",TODAY()-SEV_REQUEST[[#This Row],[Created date]])</f>
        <v>3</v>
      </c>
      <c r="D86" s="4" t="s">
        <v>217</v>
      </c>
      <c r="E86" s="5" t="s">
        <v>218</v>
      </c>
      <c r="F86" s="5" t="s">
        <v>172</v>
      </c>
      <c r="G86" s="5" t="s">
        <v>83</v>
      </c>
      <c r="H86" s="5" t="s">
        <v>77</v>
      </c>
      <c r="I86" s="5" t="s">
        <v>78</v>
      </c>
      <c r="J86" s="5" t="s">
        <v>185</v>
      </c>
      <c r="K86" s="5" t="s">
        <v>17</v>
      </c>
      <c r="L86" s="5" t="s">
        <v>18</v>
      </c>
    </row>
    <row r="87" spans="1:12" x14ac:dyDescent="0.2">
      <c r="A87" s="6" t="str">
        <f>_xlfn.TEXTBEFORE(E87,"-")</f>
        <v>4</v>
      </c>
      <c r="B87" s="1" t="str">
        <f>_xlfn.TEXTBEFORE(_xlfn.TEXTAFTER(E87,"-"),"-")</f>
        <v>26</v>
      </c>
      <c r="C87" s="16">
        <f ca="1">IF(SEV_REQUEST[[#This Row],[Created date]]="","",TODAY()-SEV_REQUEST[[#This Row],[Created date]])</f>
        <v>74</v>
      </c>
      <c r="D87" s="4" t="s">
        <v>605</v>
      </c>
      <c r="E87" s="5" t="s">
        <v>606</v>
      </c>
      <c r="F87" s="5" t="s">
        <v>603</v>
      </c>
      <c r="G87" s="5" t="s">
        <v>604</v>
      </c>
      <c r="H87" s="5" t="s">
        <v>53</v>
      </c>
      <c r="I87" s="5" t="s">
        <v>54</v>
      </c>
      <c r="J87" s="5" t="s">
        <v>142</v>
      </c>
      <c r="K87" s="5" t="s">
        <v>17</v>
      </c>
      <c r="L87" s="5" t="s">
        <v>89</v>
      </c>
    </row>
    <row r="88" spans="1:12" x14ac:dyDescent="0.2">
      <c r="A88" s="6" t="str">
        <f>_xlfn.TEXTBEFORE(E88,"-")</f>
        <v>3</v>
      </c>
      <c r="B88" s="1" t="str">
        <f>_xlfn.TEXTBEFORE(_xlfn.TEXTAFTER(E88,"-"),"-")</f>
        <v>11</v>
      </c>
      <c r="C88" s="16">
        <f ca="1">IF(SEV_REQUEST[[#This Row],[Created date]]="","",TODAY()-SEV_REQUEST[[#This Row],[Created date]])</f>
        <v>34</v>
      </c>
      <c r="D88" s="4" t="s">
        <v>495</v>
      </c>
      <c r="E88" s="5" t="s">
        <v>496</v>
      </c>
      <c r="F88" s="5" t="s">
        <v>497</v>
      </c>
      <c r="G88" s="5" t="s">
        <v>468</v>
      </c>
      <c r="H88" s="5" t="s">
        <v>35</v>
      </c>
      <c r="I88" s="5" t="s">
        <v>498</v>
      </c>
      <c r="J88" s="5" t="s">
        <v>142</v>
      </c>
      <c r="K88" s="5" t="s">
        <v>17</v>
      </c>
      <c r="L88" s="5" t="s">
        <v>89</v>
      </c>
    </row>
    <row r="89" spans="1:12" x14ac:dyDescent="0.2">
      <c r="A89" s="6" t="str">
        <f>_xlfn.TEXTBEFORE(E89,"-")</f>
        <v>4c</v>
      </c>
      <c r="B89" s="1" t="str">
        <f>_xlfn.TEXTBEFORE(_xlfn.TEXTAFTER(E89,"-"),"-")</f>
        <v>01</v>
      </c>
      <c r="C89" s="15">
        <f ca="1">IF(SEV_REQUEST[[#This Row],[Created date]]="","",TODAY()-SEV_REQUEST[[#This Row],[Created date]])</f>
        <v>21</v>
      </c>
      <c r="D89" s="2" t="s">
        <v>428</v>
      </c>
      <c r="E89" s="3" t="s">
        <v>429</v>
      </c>
      <c r="F89" s="3" t="s">
        <v>424</v>
      </c>
      <c r="G89" s="3" t="s">
        <v>411</v>
      </c>
      <c r="H89" s="3" t="s">
        <v>29</v>
      </c>
      <c r="I89" s="3" t="s">
        <v>430</v>
      </c>
      <c r="J89" s="3" t="s">
        <v>142</v>
      </c>
      <c r="K89" s="3" t="s">
        <v>17</v>
      </c>
      <c r="L89" s="3" t="s">
        <v>18</v>
      </c>
    </row>
    <row r="90" spans="1:12" x14ac:dyDescent="0.2">
      <c r="A90" s="6" t="str">
        <f>_xlfn.TEXTBEFORE(E90,"-")</f>
        <v>3</v>
      </c>
      <c r="B90" s="1" t="str">
        <f>_xlfn.TEXTBEFORE(_xlfn.TEXTAFTER(E90,"-"),"-")</f>
        <v>01</v>
      </c>
      <c r="C90" s="16">
        <f ca="1">IF(SEV_REQUEST[[#This Row],[Created date]]="","",TODAY()-SEV_REQUEST[[#This Row],[Created date]])</f>
        <v>18</v>
      </c>
      <c r="D90" s="4" t="s">
        <v>396</v>
      </c>
      <c r="E90" s="5" t="s">
        <v>397</v>
      </c>
      <c r="F90" s="5" t="s">
        <v>392</v>
      </c>
      <c r="G90" s="5" t="s">
        <v>388</v>
      </c>
      <c r="H90" s="5" t="s">
        <v>44</v>
      </c>
      <c r="I90" s="5" t="s">
        <v>398</v>
      </c>
      <c r="J90" s="5" t="s">
        <v>142</v>
      </c>
      <c r="K90" s="5" t="s">
        <v>17</v>
      </c>
      <c r="L90" s="5" t="s">
        <v>89</v>
      </c>
    </row>
    <row r="91" spans="1:12" x14ac:dyDescent="0.2">
      <c r="A91" s="6" t="str">
        <f>_xlfn.TEXTBEFORE(E91,"-")</f>
        <v>4c</v>
      </c>
      <c r="B91" s="1" t="str">
        <f>_xlfn.TEXTBEFORE(_xlfn.TEXTAFTER(E91,"-"),"-")</f>
        <v>02</v>
      </c>
      <c r="C91" s="15">
        <f ca="1">IF(SEV_REQUEST[[#This Row],[Created date]]="","",TODAY()-SEV_REQUEST[[#This Row],[Created date]])</f>
        <v>13</v>
      </c>
      <c r="D91" s="2" t="s">
        <v>344</v>
      </c>
      <c r="E91" s="3" t="s">
        <v>345</v>
      </c>
      <c r="F91" s="3" t="s">
        <v>336</v>
      </c>
      <c r="G91" s="3" t="s">
        <v>333</v>
      </c>
      <c r="H91" s="3" t="s">
        <v>29</v>
      </c>
      <c r="I91" s="3" t="s">
        <v>346</v>
      </c>
      <c r="J91" s="3" t="s">
        <v>142</v>
      </c>
      <c r="K91" s="3" t="s">
        <v>17</v>
      </c>
      <c r="L91" s="3" t="s">
        <v>89</v>
      </c>
    </row>
    <row r="92" spans="1:12" x14ac:dyDescent="0.2">
      <c r="A92" s="6" t="str">
        <f>_xlfn.TEXTBEFORE(E92,"-")</f>
        <v>4</v>
      </c>
      <c r="B92" s="1" t="str">
        <f>_xlfn.TEXTBEFORE(_xlfn.TEXTAFTER(E92,"-"),"-")</f>
        <v>26</v>
      </c>
      <c r="C92" s="16">
        <f ca="1">IF(SEV_REQUEST[[#This Row],[Created date]]="","",TODAY()-SEV_REQUEST[[#This Row],[Created date]])</f>
        <v>2</v>
      </c>
      <c r="D92" s="4" t="s">
        <v>139</v>
      </c>
      <c r="E92" s="5" t="s">
        <v>140</v>
      </c>
      <c r="F92" s="5" t="s">
        <v>83</v>
      </c>
      <c r="G92" s="5" t="s">
        <v>12</v>
      </c>
      <c r="H92" s="5" t="s">
        <v>99</v>
      </c>
      <c r="I92" s="5" t="s">
        <v>141</v>
      </c>
      <c r="J92" s="5" t="s">
        <v>142</v>
      </c>
      <c r="K92" s="5" t="s">
        <v>17</v>
      </c>
      <c r="L92" s="5" t="s">
        <v>18</v>
      </c>
    </row>
    <row r="93" spans="1:12" x14ac:dyDescent="0.2">
      <c r="A93" s="6" t="str">
        <f>_xlfn.TEXTBEFORE(E93,"-")</f>
        <v>4</v>
      </c>
      <c r="B93" s="1" t="str">
        <f>_xlfn.TEXTBEFORE(_xlfn.TEXTAFTER(E93,"-"),"-")</f>
        <v>26</v>
      </c>
      <c r="C93" s="16">
        <f ca="1">IF(SEV_REQUEST[[#This Row],[Created date]]="","",TODAY()-SEV_REQUEST[[#This Row],[Created date]])</f>
        <v>2</v>
      </c>
      <c r="D93" s="4" t="s">
        <v>145</v>
      </c>
      <c r="E93" s="5" t="s">
        <v>140</v>
      </c>
      <c r="F93" s="5" t="s">
        <v>83</v>
      </c>
      <c r="G93" s="5" t="s">
        <v>12</v>
      </c>
      <c r="H93" s="5" t="s">
        <v>29</v>
      </c>
      <c r="I93" s="5" t="s">
        <v>146</v>
      </c>
      <c r="J93" s="5" t="s">
        <v>142</v>
      </c>
      <c r="K93" s="5" t="s">
        <v>17</v>
      </c>
      <c r="L93" s="5" t="s">
        <v>18</v>
      </c>
    </row>
    <row r="94" spans="1:12" x14ac:dyDescent="0.2">
      <c r="A94" s="6" t="str">
        <f>_xlfn.TEXTBEFORE(E94,"-")</f>
        <v>4</v>
      </c>
      <c r="B94" s="1" t="str">
        <f>_xlfn.TEXTBEFORE(_xlfn.TEXTAFTER(E94,"-"),"-")</f>
        <v>25</v>
      </c>
      <c r="C94" s="15">
        <f ca="1">IF(SEV_REQUEST[[#This Row],[Created date]]="","",TODAY()-SEV_REQUEST[[#This Row],[Created date]])</f>
        <v>86</v>
      </c>
      <c r="D94" s="2" t="s">
        <v>607</v>
      </c>
      <c r="E94" s="3" t="s">
        <v>608</v>
      </c>
      <c r="F94" s="3" t="s">
        <v>609</v>
      </c>
      <c r="G94" s="3" t="s">
        <v>610</v>
      </c>
      <c r="H94" s="3" t="s">
        <v>29</v>
      </c>
      <c r="I94" s="3" t="s">
        <v>15</v>
      </c>
      <c r="J94" s="3" t="s">
        <v>318</v>
      </c>
      <c r="K94" s="3" t="s">
        <v>17</v>
      </c>
      <c r="L94" s="3" t="s">
        <v>89</v>
      </c>
    </row>
    <row r="95" spans="1:12" x14ac:dyDescent="0.2">
      <c r="A95" s="6" t="str">
        <f>_xlfn.TEXTBEFORE(E95,"-")</f>
        <v>4</v>
      </c>
      <c r="B95" s="1" t="str">
        <f>_xlfn.TEXTBEFORE(_xlfn.TEXTAFTER(E95,"-"),"-")</f>
        <v>07</v>
      </c>
      <c r="C95" s="16">
        <f ca="1">IF(SEV_REQUEST[[#This Row],[Created date]]="","",TODAY()-SEV_REQUEST[[#This Row],[Created date]])</f>
        <v>67</v>
      </c>
      <c r="D95" s="4" t="s">
        <v>591</v>
      </c>
      <c r="E95" s="5" t="s">
        <v>592</v>
      </c>
      <c r="F95" s="5" t="s">
        <v>593</v>
      </c>
      <c r="G95" s="5" t="s">
        <v>587</v>
      </c>
      <c r="H95" s="5" t="s">
        <v>255</v>
      </c>
      <c r="I95" s="5" t="s">
        <v>15</v>
      </c>
      <c r="J95" s="5" t="s">
        <v>318</v>
      </c>
      <c r="K95" s="5" t="s">
        <v>17</v>
      </c>
      <c r="L95" s="5" t="s">
        <v>18</v>
      </c>
    </row>
    <row r="96" spans="1:12" x14ac:dyDescent="0.2">
      <c r="A96" s="6" t="str">
        <f>_xlfn.TEXTBEFORE(E96,"-")</f>
        <v>4</v>
      </c>
      <c r="B96" s="1" t="str">
        <f>_xlfn.TEXTBEFORE(_xlfn.TEXTAFTER(E96,"-"),"-")</f>
        <v>27</v>
      </c>
      <c r="C96" s="15">
        <f ca="1">IF(SEV_REQUEST[[#This Row],[Created date]]="","",TODAY()-SEV_REQUEST[[#This Row],[Created date]])</f>
        <v>66</v>
      </c>
      <c r="D96" s="2" t="s">
        <v>589</v>
      </c>
      <c r="E96" s="3" t="s">
        <v>590</v>
      </c>
      <c r="F96" s="3" t="s">
        <v>587</v>
      </c>
      <c r="G96" s="3" t="s">
        <v>584</v>
      </c>
      <c r="H96" s="3" t="s">
        <v>53</v>
      </c>
      <c r="I96" s="3" t="s">
        <v>54</v>
      </c>
      <c r="J96" s="3" t="s">
        <v>318</v>
      </c>
      <c r="K96" s="3" t="s">
        <v>17</v>
      </c>
      <c r="L96" s="3" t="s">
        <v>89</v>
      </c>
    </row>
    <row r="97" spans="1:12" x14ac:dyDescent="0.2">
      <c r="A97" s="6" t="str">
        <f>_xlfn.TEXTBEFORE(E97,"-")</f>
        <v>4</v>
      </c>
      <c r="B97" s="1" t="str">
        <f>_xlfn.TEXTBEFORE(_xlfn.TEXTAFTER(E97,"-"),"-")</f>
        <v>27</v>
      </c>
      <c r="C97" s="15">
        <f ca="1">IF(SEV_REQUEST[[#This Row],[Created date]]="","",TODAY()-SEV_REQUEST[[#This Row],[Created date]])</f>
        <v>58</v>
      </c>
      <c r="D97" s="2" t="s">
        <v>563</v>
      </c>
      <c r="E97" s="3" t="s">
        <v>564</v>
      </c>
      <c r="F97" s="3" t="s">
        <v>565</v>
      </c>
      <c r="G97" s="3" t="s">
        <v>560</v>
      </c>
      <c r="H97" s="3" t="s">
        <v>29</v>
      </c>
      <c r="I97" s="3" t="s">
        <v>370</v>
      </c>
      <c r="J97" s="3" t="s">
        <v>318</v>
      </c>
      <c r="K97" s="3" t="s">
        <v>17</v>
      </c>
      <c r="L97" s="3" t="s">
        <v>89</v>
      </c>
    </row>
    <row r="98" spans="1:12" x14ac:dyDescent="0.2">
      <c r="A98" s="6" t="str">
        <f>_xlfn.TEXTBEFORE(E98,"-")</f>
        <v>4</v>
      </c>
      <c r="B98" s="1" t="str">
        <f>_xlfn.TEXTBEFORE(_xlfn.TEXTAFTER(E98,"-"),"-")</f>
        <v>23</v>
      </c>
      <c r="C98" s="16">
        <f ca="1">IF(SEV_REQUEST[[#This Row],[Created date]]="","",TODAY()-SEV_REQUEST[[#This Row],[Created date]])</f>
        <v>50</v>
      </c>
      <c r="D98" s="4" t="s">
        <v>546</v>
      </c>
      <c r="E98" s="5" t="s">
        <v>547</v>
      </c>
      <c r="F98" s="5" t="s">
        <v>543</v>
      </c>
      <c r="G98" s="5" t="s">
        <v>544</v>
      </c>
      <c r="H98" s="5" t="s">
        <v>25</v>
      </c>
      <c r="I98" s="5" t="s">
        <v>63</v>
      </c>
      <c r="J98" s="5" t="s">
        <v>318</v>
      </c>
      <c r="K98" s="5" t="s">
        <v>17</v>
      </c>
      <c r="L98" s="5" t="s">
        <v>18</v>
      </c>
    </row>
    <row r="99" spans="1:12" x14ac:dyDescent="0.2">
      <c r="A99" s="6" t="str">
        <f>_xlfn.TEXTBEFORE(E99,"-")</f>
        <v>4</v>
      </c>
      <c r="B99" s="1" t="str">
        <f>_xlfn.TEXTBEFORE(_xlfn.TEXTAFTER(E99,"-"),"-")</f>
        <v>12</v>
      </c>
      <c r="C99" s="15">
        <f ca="1">IF(SEV_REQUEST[[#This Row],[Created date]]="","",TODAY()-SEV_REQUEST[[#This Row],[Created date]])</f>
        <v>45</v>
      </c>
      <c r="D99" s="2" t="s">
        <v>528</v>
      </c>
      <c r="E99" s="3" t="s">
        <v>529</v>
      </c>
      <c r="F99" s="3" t="s">
        <v>530</v>
      </c>
      <c r="G99" s="3" t="s">
        <v>524</v>
      </c>
      <c r="H99" s="3" t="s">
        <v>35</v>
      </c>
      <c r="I99" s="3" t="s">
        <v>15</v>
      </c>
      <c r="J99" s="3" t="s">
        <v>318</v>
      </c>
      <c r="K99" s="3" t="s">
        <v>17</v>
      </c>
      <c r="L99" s="3" t="s">
        <v>18</v>
      </c>
    </row>
    <row r="100" spans="1:12" x14ac:dyDescent="0.2">
      <c r="A100" s="6" t="str">
        <f>_xlfn.TEXTBEFORE(E100,"-")</f>
        <v>4</v>
      </c>
      <c r="B100" s="1" t="str">
        <f>_xlfn.TEXTBEFORE(_xlfn.TEXTAFTER(E100,"-"),"-")</f>
        <v>23</v>
      </c>
      <c r="C100" s="15">
        <f ca="1">IF(SEV_REQUEST[[#This Row],[Created date]]="","",TODAY()-SEV_REQUEST[[#This Row],[Created date]])</f>
        <v>33</v>
      </c>
      <c r="D100" s="2" t="s">
        <v>493</v>
      </c>
      <c r="E100" s="3" t="s">
        <v>494</v>
      </c>
      <c r="F100" s="3" t="s">
        <v>492</v>
      </c>
      <c r="G100" s="3" t="s">
        <v>483</v>
      </c>
      <c r="H100" s="3" t="s">
        <v>29</v>
      </c>
      <c r="I100" s="3" t="s">
        <v>389</v>
      </c>
      <c r="J100" s="3" t="s">
        <v>318</v>
      </c>
      <c r="K100" s="3" t="s">
        <v>17</v>
      </c>
      <c r="L100" s="3" t="s">
        <v>89</v>
      </c>
    </row>
    <row r="101" spans="1:12" x14ac:dyDescent="0.2">
      <c r="A101" s="6" t="str">
        <f>_xlfn.TEXTBEFORE(E101,"-")</f>
        <v>4</v>
      </c>
      <c r="B101" s="1" t="str">
        <f>_xlfn.TEXTBEFORE(_xlfn.TEXTAFTER(E101,"-"),"-")</f>
        <v>24</v>
      </c>
      <c r="C101" s="16">
        <f ca="1">IF(SEV_REQUEST[[#This Row],[Created date]]="","",TODAY()-SEV_REQUEST[[#This Row],[Created date]])</f>
        <v>20</v>
      </c>
      <c r="D101" s="4" t="s">
        <v>412</v>
      </c>
      <c r="E101" s="5" t="s">
        <v>413</v>
      </c>
      <c r="F101" s="5" t="s">
        <v>411</v>
      </c>
      <c r="G101" s="5" t="s">
        <v>405</v>
      </c>
      <c r="H101" s="5" t="s">
        <v>44</v>
      </c>
      <c r="I101" s="5" t="s">
        <v>414</v>
      </c>
      <c r="J101" s="5" t="s">
        <v>318</v>
      </c>
      <c r="K101" s="5" t="s">
        <v>17</v>
      </c>
      <c r="L101" s="5" t="s">
        <v>18</v>
      </c>
    </row>
    <row r="102" spans="1:12" x14ac:dyDescent="0.2">
      <c r="A102" s="6" t="str">
        <f>_xlfn.TEXTBEFORE(E102,"-")</f>
        <v>4</v>
      </c>
      <c r="B102" s="1" t="str">
        <f>_xlfn.TEXTBEFORE(_xlfn.TEXTAFTER(E102,"-"),"-")</f>
        <v>24</v>
      </c>
      <c r="C102" s="15">
        <f ca="1">IF(SEV_REQUEST[[#This Row],[Created date]]="","",TODAY()-SEV_REQUEST[[#This Row],[Created date]])</f>
        <v>20</v>
      </c>
      <c r="D102" s="2" t="s">
        <v>415</v>
      </c>
      <c r="E102" s="3" t="s">
        <v>413</v>
      </c>
      <c r="F102" s="3" t="s">
        <v>411</v>
      </c>
      <c r="G102" s="3" t="s">
        <v>405</v>
      </c>
      <c r="H102" s="3" t="s">
        <v>53</v>
      </c>
      <c r="I102" s="3" t="s">
        <v>416</v>
      </c>
      <c r="J102" s="3" t="s">
        <v>318</v>
      </c>
      <c r="K102" s="3" t="s">
        <v>17</v>
      </c>
      <c r="L102" s="3" t="s">
        <v>89</v>
      </c>
    </row>
    <row r="103" spans="1:12" x14ac:dyDescent="0.2">
      <c r="A103" s="6" t="str">
        <f>_xlfn.TEXTBEFORE(E103,"-")</f>
        <v>4</v>
      </c>
      <c r="B103" s="1" t="str">
        <f>_xlfn.TEXTBEFORE(_xlfn.TEXTAFTER(E103,"-"),"-")</f>
        <v>21</v>
      </c>
      <c r="C103" s="15">
        <f ca="1">IF(SEV_REQUEST[[#This Row],[Created date]]="","",TODAY()-SEV_REQUEST[[#This Row],[Created date]])</f>
        <v>20</v>
      </c>
      <c r="D103" s="2" t="s">
        <v>419</v>
      </c>
      <c r="E103" s="3" t="s">
        <v>418</v>
      </c>
      <c r="F103" s="3" t="s">
        <v>411</v>
      </c>
      <c r="G103" s="3" t="s">
        <v>405</v>
      </c>
      <c r="H103" s="3" t="s">
        <v>29</v>
      </c>
      <c r="I103" s="3" t="s">
        <v>234</v>
      </c>
      <c r="J103" s="3" t="s">
        <v>318</v>
      </c>
      <c r="K103" s="3" t="s">
        <v>17</v>
      </c>
      <c r="L103" s="3" t="s">
        <v>89</v>
      </c>
    </row>
    <row r="104" spans="1:12" x14ac:dyDescent="0.2">
      <c r="A104" s="6" t="str">
        <f>_xlfn.TEXTBEFORE(E104,"-")</f>
        <v>4</v>
      </c>
      <c r="B104" s="1" t="str">
        <f>_xlfn.TEXTBEFORE(_xlfn.TEXTAFTER(E104,"-"),"-")</f>
        <v>26</v>
      </c>
      <c r="C104" s="15">
        <f ca="1">IF(SEV_REQUEST[[#This Row],[Created date]]="","",TODAY()-SEV_REQUEST[[#This Row],[Created date]])</f>
        <v>19</v>
      </c>
      <c r="D104" s="2" t="s">
        <v>403</v>
      </c>
      <c r="E104" s="3" t="s">
        <v>404</v>
      </c>
      <c r="F104" s="3" t="s">
        <v>405</v>
      </c>
      <c r="G104" s="3" t="s">
        <v>392</v>
      </c>
      <c r="H104" s="3" t="s">
        <v>25</v>
      </c>
      <c r="I104" s="3" t="s">
        <v>26</v>
      </c>
      <c r="J104" s="3" t="s">
        <v>318</v>
      </c>
      <c r="K104" s="3" t="s">
        <v>17</v>
      </c>
      <c r="L104" s="3" t="s">
        <v>18</v>
      </c>
    </row>
    <row r="105" spans="1:12" x14ac:dyDescent="0.2">
      <c r="A105" s="6" t="str">
        <f>_xlfn.TEXTBEFORE(E105,"-")</f>
        <v>4</v>
      </c>
      <c r="B105" s="1" t="str">
        <f>_xlfn.TEXTBEFORE(_xlfn.TEXTAFTER(E105,"-"),"-")</f>
        <v>25</v>
      </c>
      <c r="C105" s="16">
        <f ca="1">IF(SEV_REQUEST[[#This Row],[Created date]]="","",TODAY()-SEV_REQUEST[[#This Row],[Created date]])</f>
        <v>12</v>
      </c>
      <c r="D105" s="4" t="s">
        <v>331</v>
      </c>
      <c r="E105" s="5" t="s">
        <v>332</v>
      </c>
      <c r="F105" s="5" t="s">
        <v>333</v>
      </c>
      <c r="G105" s="5" t="s">
        <v>321</v>
      </c>
      <c r="H105" s="5" t="s">
        <v>29</v>
      </c>
      <c r="I105" s="5" t="s">
        <v>157</v>
      </c>
      <c r="J105" s="5" t="s">
        <v>318</v>
      </c>
      <c r="K105" s="5" t="s">
        <v>17</v>
      </c>
      <c r="L105" s="5" t="s">
        <v>89</v>
      </c>
    </row>
    <row r="106" spans="1:12" x14ac:dyDescent="0.2">
      <c r="A106" s="6" t="str">
        <f>_xlfn.TEXTBEFORE(E106,"-")</f>
        <v>4</v>
      </c>
      <c r="B106" s="1" t="str">
        <f>_xlfn.TEXTBEFORE(_xlfn.TEXTAFTER(E106,"-"),"-")</f>
        <v>21</v>
      </c>
      <c r="C106" s="16">
        <f ca="1">IF(SEV_REQUEST[[#This Row],[Created date]]="","",TODAY()-SEV_REQUEST[[#This Row],[Created date]])</f>
        <v>11</v>
      </c>
      <c r="D106" s="4" t="s">
        <v>322</v>
      </c>
      <c r="E106" s="5" t="s">
        <v>323</v>
      </c>
      <c r="F106" s="5" t="s">
        <v>321</v>
      </c>
      <c r="G106" s="5" t="s">
        <v>317</v>
      </c>
      <c r="H106" s="5" t="s">
        <v>25</v>
      </c>
      <c r="I106" s="5" t="s">
        <v>324</v>
      </c>
      <c r="J106" s="5" t="s">
        <v>318</v>
      </c>
      <c r="K106" s="5" t="s">
        <v>17</v>
      </c>
      <c r="L106" s="5" t="s">
        <v>18</v>
      </c>
    </row>
    <row r="107" spans="1:12" x14ac:dyDescent="0.2">
      <c r="A107" s="6" t="str">
        <f>_xlfn.TEXTBEFORE(E107,"-")</f>
        <v>4</v>
      </c>
      <c r="B107" s="1" t="str">
        <f>_xlfn.TEXTBEFORE(_xlfn.TEXTAFTER(E107,"-"),"-")</f>
        <v>21</v>
      </c>
      <c r="C107" s="15">
        <f ca="1">IF(SEV_REQUEST[[#This Row],[Created date]]="","",TODAY()-SEV_REQUEST[[#This Row],[Created date]])</f>
        <v>11</v>
      </c>
      <c r="D107" s="2" t="s">
        <v>325</v>
      </c>
      <c r="E107" s="3" t="s">
        <v>323</v>
      </c>
      <c r="F107" s="3" t="s">
        <v>321</v>
      </c>
      <c r="G107" s="3" t="s">
        <v>317</v>
      </c>
      <c r="H107" s="3" t="s">
        <v>29</v>
      </c>
      <c r="I107" s="3" t="s">
        <v>326</v>
      </c>
      <c r="J107" s="3" t="s">
        <v>318</v>
      </c>
      <c r="K107" s="3" t="s">
        <v>17</v>
      </c>
      <c r="L107" s="3" t="s">
        <v>18</v>
      </c>
    </row>
    <row r="108" spans="1:12" x14ac:dyDescent="0.2">
      <c r="A108" s="6" t="str">
        <f>_xlfn.TEXTBEFORE(E108,"-")</f>
        <v>4</v>
      </c>
      <c r="B108" s="1" t="str">
        <f>_xlfn.TEXTBEFORE(_xlfn.TEXTAFTER(E108,"-"),"-")</f>
        <v>27</v>
      </c>
      <c r="C108" s="16">
        <f ca="1">IF(SEV_REQUEST[[#This Row],[Created date]]="","",TODAY()-SEV_REQUEST[[#This Row],[Created date]])</f>
        <v>11</v>
      </c>
      <c r="D108" s="4" t="s">
        <v>327</v>
      </c>
      <c r="E108" s="5" t="s">
        <v>328</v>
      </c>
      <c r="F108" s="5" t="s">
        <v>321</v>
      </c>
      <c r="G108" s="5" t="s">
        <v>317</v>
      </c>
      <c r="H108" s="5" t="s">
        <v>25</v>
      </c>
      <c r="I108" s="5" t="s">
        <v>15</v>
      </c>
      <c r="J108" s="5" t="s">
        <v>318</v>
      </c>
      <c r="K108" s="5" t="s">
        <v>17</v>
      </c>
      <c r="L108" s="5" t="s">
        <v>18</v>
      </c>
    </row>
    <row r="109" spans="1:12" x14ac:dyDescent="0.2">
      <c r="A109" s="6" t="str">
        <f>_xlfn.TEXTBEFORE(E109,"-")</f>
        <v>4</v>
      </c>
      <c r="B109" s="1" t="str">
        <f>_xlfn.TEXTBEFORE(_xlfn.TEXTAFTER(E109,"-"),"-")</f>
        <v>11</v>
      </c>
      <c r="C109" s="16">
        <f ca="1">IF(SEV_REQUEST[[#This Row],[Created date]]="","",TODAY()-SEV_REQUEST[[#This Row],[Created date]])</f>
        <v>10</v>
      </c>
      <c r="D109" s="4" t="s">
        <v>315</v>
      </c>
      <c r="E109" s="5" t="s">
        <v>316</v>
      </c>
      <c r="F109" s="5" t="s">
        <v>317</v>
      </c>
      <c r="G109" s="5" t="s">
        <v>299</v>
      </c>
      <c r="H109" s="5" t="s">
        <v>25</v>
      </c>
      <c r="I109" s="5" t="s">
        <v>119</v>
      </c>
      <c r="J109" s="5" t="s">
        <v>318</v>
      </c>
      <c r="K109" s="5" t="s">
        <v>17</v>
      </c>
      <c r="L109" s="5" t="s">
        <v>89</v>
      </c>
    </row>
    <row r="110" spans="1:12" x14ac:dyDescent="0.2">
      <c r="A110" s="6" t="str">
        <f>_xlfn.TEXTBEFORE(E110,"-")</f>
        <v>5</v>
      </c>
      <c r="B110" s="1" t="str">
        <f>_xlfn.TEXTBEFORE(_xlfn.TEXTAFTER(E110,"-"),"-")</f>
        <v>02</v>
      </c>
      <c r="C110" s="16">
        <f ca="1">IF(SEV_REQUEST[[#This Row],[Created date]]="","",TODAY()-SEV_REQUEST[[#This Row],[Created date]])</f>
        <v>129</v>
      </c>
      <c r="D110" s="4" t="s">
        <v>619</v>
      </c>
      <c r="E110" s="5" t="s">
        <v>620</v>
      </c>
      <c r="F110" s="5" t="s">
        <v>621</v>
      </c>
      <c r="G110" s="5" t="s">
        <v>622</v>
      </c>
      <c r="H110" s="5" t="s">
        <v>29</v>
      </c>
      <c r="I110" s="5" t="s">
        <v>623</v>
      </c>
      <c r="J110" s="5" t="s">
        <v>45</v>
      </c>
      <c r="K110" s="5" t="s">
        <v>17</v>
      </c>
      <c r="L110" s="5" t="s">
        <v>89</v>
      </c>
    </row>
    <row r="111" spans="1:12" x14ac:dyDescent="0.2">
      <c r="A111" s="6" t="str">
        <f>_xlfn.TEXTBEFORE(E111,"-")</f>
        <v>5</v>
      </c>
      <c r="B111" s="1" t="str">
        <f>_xlfn.TEXTBEFORE(_xlfn.TEXTAFTER(E111,"-"),"-")</f>
        <v>03</v>
      </c>
      <c r="C111" s="16">
        <f ca="1">IF(SEV_REQUEST[[#This Row],[Created date]]="","",TODAY()-SEV_REQUEST[[#This Row],[Created date]])</f>
        <v>15</v>
      </c>
      <c r="D111" s="4" t="s">
        <v>372</v>
      </c>
      <c r="E111" s="5" t="s">
        <v>373</v>
      </c>
      <c r="F111" s="5" t="s">
        <v>367</v>
      </c>
      <c r="G111" s="5" t="s">
        <v>354</v>
      </c>
      <c r="H111" s="5" t="s">
        <v>44</v>
      </c>
      <c r="I111" s="5" t="s">
        <v>374</v>
      </c>
      <c r="J111" s="5" t="s">
        <v>45</v>
      </c>
      <c r="K111" s="5" t="s">
        <v>17</v>
      </c>
      <c r="L111" s="5" t="s">
        <v>18</v>
      </c>
    </row>
    <row r="112" spans="1:12" x14ac:dyDescent="0.2">
      <c r="A112" s="6" t="str">
        <f>_xlfn.TEXTBEFORE(E112,"-")</f>
        <v>5</v>
      </c>
      <c r="B112" s="1" t="str">
        <f>_xlfn.TEXTBEFORE(_xlfn.TEXTAFTER(E112,"-"),"-")</f>
        <v>18</v>
      </c>
      <c r="C112" s="15">
        <f ca="1">IF(SEV_REQUEST[[#This Row],[Created date]]="","",TODAY()-SEV_REQUEST[[#This Row],[Created date]])</f>
        <v>1</v>
      </c>
      <c r="D112" s="2" t="s">
        <v>42</v>
      </c>
      <c r="E112" s="3" t="s">
        <v>43</v>
      </c>
      <c r="F112" s="3" t="s">
        <v>12</v>
      </c>
      <c r="G112" s="3" t="s">
        <v>13</v>
      </c>
      <c r="H112" s="3" t="s">
        <v>44</v>
      </c>
      <c r="I112" s="3" t="s">
        <v>15</v>
      </c>
      <c r="J112" s="3" t="s">
        <v>45</v>
      </c>
      <c r="K112" s="3" t="s">
        <v>17</v>
      </c>
      <c r="L112" s="3" t="s">
        <v>18</v>
      </c>
    </row>
    <row r="113" spans="1:12" x14ac:dyDescent="0.2">
      <c r="A113" s="6" t="str">
        <f>_xlfn.TEXTBEFORE(E113,"-")</f>
        <v xml:space="preserve">Pool </v>
      </c>
      <c r="B113" s="1" t="e">
        <f>_xlfn.TEXTBEFORE(_xlfn.TEXTAFTER(E113,"-"),"-")</f>
        <v>#N/A</v>
      </c>
      <c r="C113" s="16">
        <f ca="1">IF(SEV_REQUEST[[#This Row],[Created date]]="","",TODAY()-SEV_REQUEST[[#This Row],[Created date]])</f>
        <v>9</v>
      </c>
      <c r="D113" s="4" t="s">
        <v>306</v>
      </c>
      <c r="E113" s="5" t="s">
        <v>307</v>
      </c>
      <c r="F113" s="5" t="s">
        <v>299</v>
      </c>
      <c r="G113" s="5" t="s">
        <v>308</v>
      </c>
      <c r="H113" s="5" t="s">
        <v>309</v>
      </c>
      <c r="I113" s="5" t="s">
        <v>310</v>
      </c>
      <c r="J113" s="5" t="s">
        <v>311</v>
      </c>
      <c r="K113" s="5" t="s">
        <v>17</v>
      </c>
      <c r="L113" s="5" t="s">
        <v>89</v>
      </c>
    </row>
    <row r="114" spans="1:12" x14ac:dyDescent="0.2">
      <c r="A114" s="6" t="str">
        <f>_xlfn.TEXTBEFORE(E114,"-")</f>
        <v>8</v>
      </c>
      <c r="B114" s="1" t="str">
        <f>_xlfn.TEXTBEFORE(_xlfn.TEXTAFTER(E114,"-"),"-")</f>
        <v>01</v>
      </c>
      <c r="C114" s="16">
        <f ca="1">IF(SEV_REQUEST[[#This Row],[Created date]]="","",TODAY()-SEV_REQUEST[[#This Row],[Created date]])</f>
        <v>72</v>
      </c>
      <c r="D114" s="4" t="s">
        <v>598</v>
      </c>
      <c r="E114" s="5" t="s">
        <v>599</v>
      </c>
      <c r="F114" s="5" t="s">
        <v>600</v>
      </c>
      <c r="G114" s="5" t="s">
        <v>596</v>
      </c>
      <c r="H114" s="5" t="s">
        <v>53</v>
      </c>
      <c r="I114" s="5" t="s">
        <v>379</v>
      </c>
      <c r="J114" s="5" t="s">
        <v>16</v>
      </c>
      <c r="K114" s="5" t="s">
        <v>17</v>
      </c>
      <c r="L114" s="5" t="s">
        <v>18</v>
      </c>
    </row>
    <row r="115" spans="1:12" x14ac:dyDescent="0.2">
      <c r="A115" s="6" t="str">
        <f>_xlfn.TEXTBEFORE(E115,"-")</f>
        <v>3</v>
      </c>
      <c r="B115" s="1" t="str">
        <f>_xlfn.TEXTBEFORE(_xlfn.TEXTAFTER(E115,"-"),"-")</f>
        <v>02</v>
      </c>
      <c r="C115" s="15">
        <f ca="1">IF(SEV_REQUEST[[#This Row],[Created date]]="","",TODAY()-SEV_REQUEST[[#This Row],[Created date]])</f>
        <v>63</v>
      </c>
      <c r="D115" s="2" t="s">
        <v>572</v>
      </c>
      <c r="E115" s="3" t="s">
        <v>123</v>
      </c>
      <c r="F115" s="3" t="s">
        <v>573</v>
      </c>
      <c r="G115" s="3" t="s">
        <v>574</v>
      </c>
      <c r="H115" s="3" t="s">
        <v>53</v>
      </c>
      <c r="I115" s="3" t="s">
        <v>575</v>
      </c>
      <c r="J115" s="3" t="s">
        <v>16</v>
      </c>
      <c r="K115" s="3" t="s">
        <v>17</v>
      </c>
      <c r="L115" s="3" t="s">
        <v>89</v>
      </c>
    </row>
    <row r="116" spans="1:12" x14ac:dyDescent="0.2">
      <c r="A116" s="6" t="str">
        <f>_xlfn.TEXTBEFORE(E116,"-")</f>
        <v>4c</v>
      </c>
      <c r="B116" s="1" t="str">
        <f>_xlfn.TEXTBEFORE(_xlfn.TEXTAFTER(E116,"-"),"-")</f>
        <v>02</v>
      </c>
      <c r="C116" s="16">
        <f ca="1">IF(SEV_REQUEST[[#This Row],[Created date]]="","",TODAY()-SEV_REQUEST[[#This Row],[Created date]])</f>
        <v>60</v>
      </c>
      <c r="D116" s="4" t="s">
        <v>570</v>
      </c>
      <c r="E116" s="5" t="s">
        <v>363</v>
      </c>
      <c r="F116" s="5" t="s">
        <v>571</v>
      </c>
      <c r="G116" s="5" t="s">
        <v>569</v>
      </c>
      <c r="H116" s="5" t="s">
        <v>53</v>
      </c>
      <c r="I116" s="5" t="s">
        <v>179</v>
      </c>
      <c r="J116" s="5" t="s">
        <v>16</v>
      </c>
      <c r="K116" s="5" t="s">
        <v>17</v>
      </c>
      <c r="L116" s="5" t="s">
        <v>18</v>
      </c>
    </row>
    <row r="117" spans="1:12" x14ac:dyDescent="0.2">
      <c r="A117" s="6" t="str">
        <f>_xlfn.TEXTBEFORE(E117,"-")</f>
        <v>3</v>
      </c>
      <c r="B117" s="1" t="str">
        <f>_xlfn.TEXTBEFORE(_xlfn.TEXTAFTER(E117,"-"),"-")</f>
        <v>01</v>
      </c>
      <c r="C117" s="15">
        <f ca="1">IF(SEV_REQUEST[[#This Row],[Created date]]="","",TODAY()-SEV_REQUEST[[#This Row],[Created date]])</f>
        <v>59</v>
      </c>
      <c r="D117" s="2" t="s">
        <v>567</v>
      </c>
      <c r="E117" s="3" t="s">
        <v>568</v>
      </c>
      <c r="F117" s="3" t="s">
        <v>569</v>
      </c>
      <c r="G117" s="3" t="s">
        <v>565</v>
      </c>
      <c r="H117" s="3" t="s">
        <v>53</v>
      </c>
      <c r="I117" s="3" t="s">
        <v>538</v>
      </c>
      <c r="J117" s="3" t="s">
        <v>16</v>
      </c>
      <c r="K117" s="3" t="s">
        <v>17</v>
      </c>
      <c r="L117" s="3" t="s">
        <v>18</v>
      </c>
    </row>
    <row r="118" spans="1:12" x14ac:dyDescent="0.2">
      <c r="A118" s="6" t="str">
        <f>_xlfn.TEXTBEFORE(E118,"-")</f>
        <v>4</v>
      </c>
      <c r="B118" s="1" t="str">
        <f>_xlfn.TEXTBEFORE(_xlfn.TEXTAFTER(E118,"-"),"-")</f>
        <v>05</v>
      </c>
      <c r="C118" s="15">
        <f ca="1">IF(SEV_REQUEST[[#This Row],[Created date]]="","",TODAY()-SEV_REQUEST[[#This Row],[Created date]])</f>
        <v>51</v>
      </c>
      <c r="D118" s="2" t="s">
        <v>548</v>
      </c>
      <c r="E118" s="3" t="s">
        <v>522</v>
      </c>
      <c r="F118" s="3" t="s">
        <v>549</v>
      </c>
      <c r="G118" s="3" t="s">
        <v>543</v>
      </c>
      <c r="H118" s="3" t="s">
        <v>25</v>
      </c>
      <c r="I118" s="3" t="s">
        <v>15</v>
      </c>
      <c r="J118" s="3" t="s">
        <v>16</v>
      </c>
      <c r="K118" s="3" t="s">
        <v>17</v>
      </c>
      <c r="L118" s="3" t="s">
        <v>18</v>
      </c>
    </row>
    <row r="119" spans="1:12" x14ac:dyDescent="0.2">
      <c r="A119" s="6" t="str">
        <f>_xlfn.TEXTBEFORE(E119,"-")</f>
        <v>4</v>
      </c>
      <c r="B119" s="1" t="str">
        <f>_xlfn.TEXTBEFORE(_xlfn.TEXTAFTER(E119,"-"),"-")</f>
        <v>11</v>
      </c>
      <c r="C119" s="15">
        <f ca="1">IF(SEV_REQUEST[[#This Row],[Created date]]="","",TODAY()-SEV_REQUEST[[#This Row],[Created date]])</f>
        <v>48</v>
      </c>
      <c r="D119" s="2" t="s">
        <v>534</v>
      </c>
      <c r="E119" s="3" t="s">
        <v>535</v>
      </c>
      <c r="F119" s="3" t="s">
        <v>536</v>
      </c>
      <c r="G119" s="3" t="s">
        <v>537</v>
      </c>
      <c r="H119" s="3" t="s">
        <v>53</v>
      </c>
      <c r="I119" s="3" t="s">
        <v>538</v>
      </c>
      <c r="J119" s="3" t="s">
        <v>16</v>
      </c>
      <c r="K119" s="3" t="s">
        <v>17</v>
      </c>
      <c r="L119" s="3" t="s">
        <v>18</v>
      </c>
    </row>
    <row r="120" spans="1:12" x14ac:dyDescent="0.2">
      <c r="A120" s="6" t="str">
        <f>_xlfn.TEXTBEFORE(E120,"-")</f>
        <v>4c</v>
      </c>
      <c r="B120" s="1" t="str">
        <f>_xlfn.TEXTBEFORE(_xlfn.TEXTAFTER(E120,"-"),"-")</f>
        <v>01</v>
      </c>
      <c r="C120" s="16">
        <f ca="1">IF(SEV_REQUEST[[#This Row],[Created date]]="","",TODAY()-SEV_REQUEST[[#This Row],[Created date]])</f>
        <v>48</v>
      </c>
      <c r="D120" s="4" t="s">
        <v>539</v>
      </c>
      <c r="E120" s="5" t="s">
        <v>540</v>
      </c>
      <c r="F120" s="5" t="s">
        <v>536</v>
      </c>
      <c r="G120" s="5" t="s">
        <v>537</v>
      </c>
      <c r="H120" s="5" t="s">
        <v>25</v>
      </c>
      <c r="I120" s="5" t="s">
        <v>541</v>
      </c>
      <c r="J120" s="5" t="s">
        <v>16</v>
      </c>
      <c r="K120" s="5" t="s">
        <v>17</v>
      </c>
      <c r="L120" s="5" t="s">
        <v>18</v>
      </c>
    </row>
    <row r="121" spans="1:12" x14ac:dyDescent="0.2">
      <c r="A121" s="6" t="str">
        <f>_xlfn.TEXTBEFORE(E121,"-")</f>
        <v>4</v>
      </c>
      <c r="B121" s="1" t="str">
        <f>_xlfn.TEXTBEFORE(_xlfn.TEXTAFTER(E121,"-"),"-")</f>
        <v>21</v>
      </c>
      <c r="C121" s="16">
        <f ca="1">IF(SEV_REQUEST[[#This Row],[Created date]]="","",TODAY()-SEV_REQUEST[[#This Row],[Created date]])</f>
        <v>46</v>
      </c>
      <c r="D121" s="4" t="s">
        <v>531</v>
      </c>
      <c r="E121" s="5" t="s">
        <v>532</v>
      </c>
      <c r="F121" s="5" t="s">
        <v>533</v>
      </c>
      <c r="G121" s="5" t="s">
        <v>530</v>
      </c>
      <c r="H121" s="5" t="s">
        <v>14</v>
      </c>
      <c r="I121" s="5" t="s">
        <v>137</v>
      </c>
      <c r="J121" s="5" t="s">
        <v>16</v>
      </c>
      <c r="K121" s="5" t="s">
        <v>17</v>
      </c>
      <c r="L121" s="5" t="s">
        <v>18</v>
      </c>
    </row>
    <row r="122" spans="1:12" x14ac:dyDescent="0.2">
      <c r="A122" s="6" t="str">
        <f>_xlfn.TEXTBEFORE(E122,"-")</f>
        <v>3</v>
      </c>
      <c r="B122" s="1" t="str">
        <f>_xlfn.TEXTBEFORE(_xlfn.TEXTAFTER(E122,"-"),"-")</f>
        <v>17</v>
      </c>
      <c r="C122" s="15">
        <f ca="1">IF(SEV_REQUEST[[#This Row],[Created date]]="","",TODAY()-SEV_REQUEST[[#This Row],[Created date]])</f>
        <v>43</v>
      </c>
      <c r="D122" s="2" t="s">
        <v>519</v>
      </c>
      <c r="E122" s="3" t="s">
        <v>520</v>
      </c>
      <c r="F122" s="3" t="s">
        <v>517</v>
      </c>
      <c r="G122" s="3" t="s">
        <v>518</v>
      </c>
      <c r="H122" s="3" t="s">
        <v>29</v>
      </c>
      <c r="I122" s="3" t="s">
        <v>283</v>
      </c>
      <c r="J122" s="3" t="s">
        <v>16</v>
      </c>
      <c r="K122" s="3" t="s">
        <v>17</v>
      </c>
      <c r="L122" s="3" t="s">
        <v>18</v>
      </c>
    </row>
    <row r="123" spans="1:12" x14ac:dyDescent="0.2">
      <c r="A123" s="6" t="str">
        <f>_xlfn.TEXTBEFORE(E123,"-")</f>
        <v>4</v>
      </c>
      <c r="B123" s="1" t="str">
        <f>_xlfn.TEXTBEFORE(_xlfn.TEXTAFTER(E123,"-"),"-")</f>
        <v>05</v>
      </c>
      <c r="C123" s="16">
        <f ca="1">IF(SEV_REQUEST[[#This Row],[Created date]]="","",TODAY()-SEV_REQUEST[[#This Row],[Created date]])</f>
        <v>43</v>
      </c>
      <c r="D123" s="4" t="s">
        <v>521</v>
      </c>
      <c r="E123" s="5" t="s">
        <v>522</v>
      </c>
      <c r="F123" s="5" t="s">
        <v>517</v>
      </c>
      <c r="G123" s="5" t="s">
        <v>518</v>
      </c>
      <c r="H123" s="5" t="s">
        <v>14</v>
      </c>
      <c r="I123" s="5" t="s">
        <v>205</v>
      </c>
      <c r="J123" s="5" t="s">
        <v>16</v>
      </c>
      <c r="K123" s="5" t="s">
        <v>17</v>
      </c>
      <c r="L123" s="5" t="s">
        <v>18</v>
      </c>
    </row>
    <row r="124" spans="1:12" x14ac:dyDescent="0.2">
      <c r="A124" s="6" t="str">
        <f>_xlfn.TEXTBEFORE(E124,"-")</f>
        <v>3</v>
      </c>
      <c r="B124" s="1" t="str">
        <f>_xlfn.TEXTBEFORE(_xlfn.TEXTAFTER(E124,"-"),"-")</f>
        <v>17</v>
      </c>
      <c r="C124" s="16">
        <f ca="1">IF(SEV_REQUEST[[#This Row],[Created date]]="","",TODAY()-SEV_REQUEST[[#This Row],[Created date]])</f>
        <v>33</v>
      </c>
      <c r="D124" s="4" t="s">
        <v>490</v>
      </c>
      <c r="E124" s="5" t="s">
        <v>491</v>
      </c>
      <c r="F124" s="5" t="s">
        <v>492</v>
      </c>
      <c r="G124" s="5" t="s">
        <v>483</v>
      </c>
      <c r="H124" s="5" t="s">
        <v>29</v>
      </c>
      <c r="I124" s="5" t="s">
        <v>343</v>
      </c>
      <c r="J124" s="5" t="s">
        <v>16</v>
      </c>
      <c r="K124" s="5" t="s">
        <v>17</v>
      </c>
      <c r="L124" s="5" t="s">
        <v>18</v>
      </c>
    </row>
    <row r="125" spans="1:12" x14ac:dyDescent="0.2">
      <c r="A125" s="6" t="str">
        <f>_xlfn.TEXTBEFORE(E125,"-")</f>
        <v>4</v>
      </c>
      <c r="B125" s="1" t="str">
        <f>_xlfn.TEXTBEFORE(_xlfn.TEXTAFTER(E125,"-"),"-")</f>
        <v>04</v>
      </c>
      <c r="C125" s="16">
        <f ca="1">IF(SEV_REQUEST[[#This Row],[Created date]]="","",TODAY()-SEV_REQUEST[[#This Row],[Created date]])</f>
        <v>32</v>
      </c>
      <c r="D125" s="4" t="s">
        <v>482</v>
      </c>
      <c r="E125" s="5" t="s">
        <v>471</v>
      </c>
      <c r="F125" s="5" t="s">
        <v>483</v>
      </c>
      <c r="G125" s="5" t="s">
        <v>481</v>
      </c>
      <c r="H125" s="5" t="s">
        <v>21</v>
      </c>
      <c r="I125" s="5" t="s">
        <v>15</v>
      </c>
      <c r="J125" s="5" t="s">
        <v>16</v>
      </c>
      <c r="K125" s="5" t="s">
        <v>17</v>
      </c>
      <c r="L125" s="5" t="s">
        <v>18</v>
      </c>
    </row>
    <row r="126" spans="1:12" x14ac:dyDescent="0.2">
      <c r="A126" s="6" t="str">
        <f>_xlfn.TEXTBEFORE(E126,"-")</f>
        <v>4</v>
      </c>
      <c r="B126" s="1" t="str">
        <f>_xlfn.TEXTBEFORE(_xlfn.TEXTAFTER(E126,"-"),"-")</f>
        <v>04</v>
      </c>
      <c r="C126" s="16">
        <f ca="1">IF(SEV_REQUEST[[#This Row],[Created date]]="","",TODAY()-SEV_REQUEST[[#This Row],[Created date]])</f>
        <v>28</v>
      </c>
      <c r="D126" s="4" t="s">
        <v>470</v>
      </c>
      <c r="E126" s="5" t="s">
        <v>471</v>
      </c>
      <c r="F126" s="5" t="s">
        <v>468</v>
      </c>
      <c r="G126" s="5" t="s">
        <v>469</v>
      </c>
      <c r="H126" s="5" t="s">
        <v>29</v>
      </c>
      <c r="I126" s="5" t="s">
        <v>15</v>
      </c>
      <c r="J126" s="5" t="s">
        <v>16</v>
      </c>
      <c r="K126" s="5" t="s">
        <v>17</v>
      </c>
      <c r="L126" s="5" t="s">
        <v>18</v>
      </c>
    </row>
    <row r="127" spans="1:12" x14ac:dyDescent="0.2">
      <c r="A127" s="6" t="str">
        <f>_xlfn.TEXTBEFORE(E127,"-")</f>
        <v>4</v>
      </c>
      <c r="B127" s="1" t="str">
        <f>_xlfn.TEXTBEFORE(_xlfn.TEXTAFTER(E127,"-"),"-")</f>
        <v>05</v>
      </c>
      <c r="C127" s="16">
        <f ca="1">IF(SEV_REQUEST[[#This Row],[Created date]]="","",TODAY()-SEV_REQUEST[[#This Row],[Created date]])</f>
        <v>25</v>
      </c>
      <c r="D127" s="4" t="s">
        <v>449</v>
      </c>
      <c r="E127" s="5" t="s">
        <v>450</v>
      </c>
      <c r="F127" s="5" t="s">
        <v>451</v>
      </c>
      <c r="G127" s="5" t="s">
        <v>441</v>
      </c>
      <c r="H127" s="5" t="s">
        <v>53</v>
      </c>
      <c r="I127" s="5" t="s">
        <v>452</v>
      </c>
      <c r="J127" s="5" t="s">
        <v>16</v>
      </c>
      <c r="K127" s="5" t="s">
        <v>17</v>
      </c>
      <c r="L127" s="5" t="s">
        <v>18</v>
      </c>
    </row>
    <row r="128" spans="1:12" x14ac:dyDescent="0.2">
      <c r="A128" s="6" t="str">
        <f>_xlfn.TEXTBEFORE(E128,"-")</f>
        <v>4</v>
      </c>
      <c r="B128" s="1" t="str">
        <f>_xlfn.TEXTBEFORE(_xlfn.TEXTAFTER(E128,"-"),"-")</f>
        <v>05</v>
      </c>
      <c r="C128" s="15">
        <f ca="1">IF(SEV_REQUEST[[#This Row],[Created date]]="","",TODAY()-SEV_REQUEST[[#This Row],[Created date]])</f>
        <v>25</v>
      </c>
      <c r="D128" s="2" t="s">
        <v>453</v>
      </c>
      <c r="E128" s="3" t="s">
        <v>450</v>
      </c>
      <c r="F128" s="3" t="s">
        <v>451</v>
      </c>
      <c r="G128" s="3" t="s">
        <v>441</v>
      </c>
      <c r="H128" s="3" t="s">
        <v>14</v>
      </c>
      <c r="I128" s="3" t="s">
        <v>137</v>
      </c>
      <c r="J128" s="3" t="s">
        <v>16</v>
      </c>
      <c r="K128" s="3" t="s">
        <v>17</v>
      </c>
      <c r="L128" s="3" t="s">
        <v>18</v>
      </c>
    </row>
    <row r="129" spans="1:12" x14ac:dyDescent="0.2">
      <c r="A129" s="6" t="str">
        <f>_xlfn.TEXTBEFORE(E129,"-")</f>
        <v>4</v>
      </c>
      <c r="B129" s="1" t="str">
        <f>_xlfn.TEXTBEFORE(_xlfn.TEXTAFTER(E129,"-"),"-")</f>
        <v>05</v>
      </c>
      <c r="C129" s="16">
        <f ca="1">IF(SEV_REQUEST[[#This Row],[Created date]]="","",TODAY()-SEV_REQUEST[[#This Row],[Created date]])</f>
        <v>25</v>
      </c>
      <c r="D129" s="4" t="s">
        <v>454</v>
      </c>
      <c r="E129" s="5" t="s">
        <v>450</v>
      </c>
      <c r="F129" s="5" t="s">
        <v>451</v>
      </c>
      <c r="G129" s="5" t="s">
        <v>441</v>
      </c>
      <c r="H129" s="5" t="s">
        <v>14</v>
      </c>
      <c r="I129" s="5" t="s">
        <v>455</v>
      </c>
      <c r="J129" s="5" t="s">
        <v>16</v>
      </c>
      <c r="K129" s="5" t="s">
        <v>17</v>
      </c>
      <c r="L129" s="5" t="s">
        <v>18</v>
      </c>
    </row>
    <row r="130" spans="1:12" x14ac:dyDescent="0.2">
      <c r="A130" s="6" t="str">
        <f>_xlfn.TEXTBEFORE(E130,"-")</f>
        <v>3</v>
      </c>
      <c r="B130" s="1" t="str">
        <f>_xlfn.TEXTBEFORE(_xlfn.TEXTAFTER(E130,"-"),"-")</f>
        <v>09</v>
      </c>
      <c r="C130" s="15">
        <f ca="1">IF(SEV_REQUEST[[#This Row],[Created date]]="","",TODAY()-SEV_REQUEST[[#This Row],[Created date]])</f>
        <v>25</v>
      </c>
      <c r="D130" s="2" t="s">
        <v>456</v>
      </c>
      <c r="E130" s="3" t="s">
        <v>457</v>
      </c>
      <c r="F130" s="3" t="s">
        <v>451</v>
      </c>
      <c r="G130" s="3" t="s">
        <v>441</v>
      </c>
      <c r="H130" s="3" t="s">
        <v>25</v>
      </c>
      <c r="I130" s="3" t="s">
        <v>63</v>
      </c>
      <c r="J130" s="3" t="s">
        <v>16</v>
      </c>
      <c r="K130" s="3" t="s">
        <v>17</v>
      </c>
      <c r="L130" s="3" t="s">
        <v>18</v>
      </c>
    </row>
    <row r="131" spans="1:12" x14ac:dyDescent="0.2">
      <c r="A131" s="6" t="str">
        <f>_xlfn.TEXTBEFORE(E131,"-")</f>
        <v>4</v>
      </c>
      <c r="B131" s="1" t="str">
        <f>_xlfn.TEXTBEFORE(_xlfn.TEXTAFTER(E131,"-"),"-")</f>
        <v>05</v>
      </c>
      <c r="C131" s="16">
        <f ca="1">IF(SEV_REQUEST[[#This Row],[Created date]]="","",TODAY()-SEV_REQUEST[[#This Row],[Created date]])</f>
        <v>25</v>
      </c>
      <c r="D131" s="4" t="s">
        <v>458</v>
      </c>
      <c r="E131" s="5" t="s">
        <v>450</v>
      </c>
      <c r="F131" s="5" t="s">
        <v>451</v>
      </c>
      <c r="G131" s="5" t="s">
        <v>441</v>
      </c>
      <c r="H131" s="5" t="s">
        <v>21</v>
      </c>
      <c r="I131" s="5" t="s">
        <v>15</v>
      </c>
      <c r="J131" s="5" t="s">
        <v>16</v>
      </c>
      <c r="K131" s="5" t="s">
        <v>17</v>
      </c>
      <c r="L131" s="5" t="s">
        <v>18</v>
      </c>
    </row>
    <row r="132" spans="1:12" x14ac:dyDescent="0.2">
      <c r="A132" s="6" t="str">
        <f>_xlfn.TEXTBEFORE(E132,"-")</f>
        <v>4</v>
      </c>
      <c r="B132" s="1" t="str">
        <f>_xlfn.TEXTBEFORE(_xlfn.TEXTAFTER(E132,"-"),"-")</f>
        <v>05</v>
      </c>
      <c r="C132" s="15">
        <f ca="1">IF(SEV_REQUEST[[#This Row],[Created date]]="","",TODAY()-SEV_REQUEST[[#This Row],[Created date]])</f>
        <v>25</v>
      </c>
      <c r="D132" s="2" t="s">
        <v>459</v>
      </c>
      <c r="E132" s="3" t="s">
        <v>450</v>
      </c>
      <c r="F132" s="3" t="s">
        <v>451</v>
      </c>
      <c r="G132" s="3" t="s">
        <v>441</v>
      </c>
      <c r="H132" s="3" t="s">
        <v>29</v>
      </c>
      <c r="I132" s="3" t="s">
        <v>212</v>
      </c>
      <c r="J132" s="3" t="s">
        <v>16</v>
      </c>
      <c r="K132" s="3" t="s">
        <v>17</v>
      </c>
      <c r="L132" s="3" t="s">
        <v>18</v>
      </c>
    </row>
    <row r="133" spans="1:12" x14ac:dyDescent="0.2">
      <c r="A133" s="6" t="str">
        <f>_xlfn.TEXTBEFORE(E133,"-")</f>
        <v>3</v>
      </c>
      <c r="B133" s="1" t="str">
        <f>_xlfn.TEXTBEFORE(_xlfn.TEXTAFTER(E133,"-"),"-")</f>
        <v>09</v>
      </c>
      <c r="C133" s="16">
        <f ca="1">IF(SEV_REQUEST[[#This Row],[Created date]]="","",TODAY()-SEV_REQUEST[[#This Row],[Created date]])</f>
        <v>25</v>
      </c>
      <c r="D133" s="4" t="s">
        <v>460</v>
      </c>
      <c r="E133" s="5" t="s">
        <v>457</v>
      </c>
      <c r="F133" s="5" t="s">
        <v>451</v>
      </c>
      <c r="G133" s="5" t="s">
        <v>441</v>
      </c>
      <c r="H133" s="5" t="s">
        <v>44</v>
      </c>
      <c r="I133" s="5" t="s">
        <v>461</v>
      </c>
      <c r="J133" s="5" t="s">
        <v>16</v>
      </c>
      <c r="K133" s="5" t="s">
        <v>17</v>
      </c>
      <c r="L133" s="5" t="s">
        <v>18</v>
      </c>
    </row>
    <row r="134" spans="1:12" x14ac:dyDescent="0.2">
      <c r="A134" s="6" t="str">
        <f>_xlfn.TEXTBEFORE(E134,"-")</f>
        <v>4c</v>
      </c>
      <c r="B134" s="1" t="str">
        <f>_xlfn.TEXTBEFORE(_xlfn.TEXTAFTER(E134,"-"),"-")</f>
        <v>02</v>
      </c>
      <c r="C134" s="16">
        <f ca="1">IF(SEV_REQUEST[[#This Row],[Created date]]="","",TODAY()-SEV_REQUEST[[#This Row],[Created date]])</f>
        <v>24</v>
      </c>
      <c r="D134" s="4" t="s">
        <v>442</v>
      </c>
      <c r="E134" s="5" t="s">
        <v>443</v>
      </c>
      <c r="F134" s="5" t="s">
        <v>441</v>
      </c>
      <c r="G134" s="5" t="s">
        <v>435</v>
      </c>
      <c r="H134" s="5" t="s">
        <v>29</v>
      </c>
      <c r="I134" s="5" t="s">
        <v>444</v>
      </c>
      <c r="J134" s="5" t="s">
        <v>16</v>
      </c>
      <c r="K134" s="5" t="s">
        <v>17</v>
      </c>
      <c r="L134" s="5" t="s">
        <v>18</v>
      </c>
    </row>
    <row r="135" spans="1:12" x14ac:dyDescent="0.2">
      <c r="A135" s="6" t="str">
        <f>_xlfn.TEXTBEFORE(E135,"-")</f>
        <v>4</v>
      </c>
      <c r="B135" s="1" t="str">
        <f>_xlfn.TEXTBEFORE(_xlfn.TEXTAFTER(E135,"-"),"-")</f>
        <v>21</v>
      </c>
      <c r="C135" s="16">
        <f ca="1">IF(SEV_REQUEST[[#This Row],[Created date]]="","",TODAY()-SEV_REQUEST[[#This Row],[Created date]])</f>
        <v>21</v>
      </c>
      <c r="D135" s="4" t="s">
        <v>426</v>
      </c>
      <c r="E135" s="5" t="s">
        <v>427</v>
      </c>
      <c r="F135" s="5" t="s">
        <v>424</v>
      </c>
      <c r="G135" s="5" t="s">
        <v>411</v>
      </c>
      <c r="H135" s="5" t="s">
        <v>29</v>
      </c>
      <c r="I135" s="5" t="s">
        <v>15</v>
      </c>
      <c r="J135" s="5" t="s">
        <v>16</v>
      </c>
      <c r="K135" s="5" t="s">
        <v>17</v>
      </c>
      <c r="L135" s="5" t="s">
        <v>18</v>
      </c>
    </row>
    <row r="136" spans="1:12" x14ac:dyDescent="0.2">
      <c r="A136" s="6" t="str">
        <f>_xlfn.TEXTBEFORE(E136,"-")</f>
        <v>3</v>
      </c>
      <c r="B136" s="1" t="str">
        <f>_xlfn.TEXTBEFORE(_xlfn.TEXTAFTER(E136,"-"),"-")</f>
        <v>13</v>
      </c>
      <c r="C136" s="16">
        <f ca="1">IF(SEV_REQUEST[[#This Row],[Created date]]="","",TODAY()-SEV_REQUEST[[#This Row],[Created date]])</f>
        <v>19</v>
      </c>
      <c r="D136" s="4" t="s">
        <v>406</v>
      </c>
      <c r="E136" s="5" t="s">
        <v>407</v>
      </c>
      <c r="F136" s="5" t="s">
        <v>405</v>
      </c>
      <c r="G136" s="5" t="s">
        <v>392</v>
      </c>
      <c r="H136" s="5" t="s">
        <v>29</v>
      </c>
      <c r="I136" s="5" t="s">
        <v>15</v>
      </c>
      <c r="J136" s="5" t="s">
        <v>16</v>
      </c>
      <c r="K136" s="5" t="s">
        <v>17</v>
      </c>
      <c r="L136" s="5" t="s">
        <v>18</v>
      </c>
    </row>
    <row r="137" spans="1:12" x14ac:dyDescent="0.2">
      <c r="A137" s="6" t="str">
        <f>_xlfn.TEXTBEFORE(E137,"-")</f>
        <v>3</v>
      </c>
      <c r="B137" s="1" t="str">
        <f>_xlfn.TEXTBEFORE(_xlfn.TEXTAFTER(E137,"-"),"-")</f>
        <v>13</v>
      </c>
      <c r="C137" s="15">
        <f ca="1">IF(SEV_REQUEST[[#This Row],[Created date]]="","",TODAY()-SEV_REQUEST[[#This Row],[Created date]])</f>
        <v>19</v>
      </c>
      <c r="D137" s="2" t="s">
        <v>408</v>
      </c>
      <c r="E137" s="3" t="s">
        <v>407</v>
      </c>
      <c r="F137" s="3" t="s">
        <v>405</v>
      </c>
      <c r="G137" s="3" t="s">
        <v>392</v>
      </c>
      <c r="H137" s="3" t="s">
        <v>29</v>
      </c>
      <c r="I137" s="3" t="s">
        <v>252</v>
      </c>
      <c r="J137" s="3" t="s">
        <v>16</v>
      </c>
      <c r="K137" s="3" t="s">
        <v>17</v>
      </c>
      <c r="L137" s="3" t="s">
        <v>18</v>
      </c>
    </row>
    <row r="138" spans="1:12" x14ac:dyDescent="0.2">
      <c r="A138" s="6" t="str">
        <f>_xlfn.TEXTBEFORE(E138,"-")</f>
        <v>3</v>
      </c>
      <c r="B138" s="1" t="str">
        <f>_xlfn.TEXTBEFORE(_xlfn.TEXTAFTER(E138,"-"),"-")</f>
        <v>13</v>
      </c>
      <c r="C138" s="16">
        <f ca="1">IF(SEV_REQUEST[[#This Row],[Created date]]="","",TODAY()-SEV_REQUEST[[#This Row],[Created date]])</f>
        <v>19</v>
      </c>
      <c r="D138" s="4" t="s">
        <v>409</v>
      </c>
      <c r="E138" s="5" t="s">
        <v>407</v>
      </c>
      <c r="F138" s="5" t="s">
        <v>405</v>
      </c>
      <c r="G138" s="5" t="s">
        <v>392</v>
      </c>
      <c r="H138" s="5" t="s">
        <v>25</v>
      </c>
      <c r="I138" s="5" t="s">
        <v>15</v>
      </c>
      <c r="J138" s="5" t="s">
        <v>16</v>
      </c>
      <c r="K138" s="5" t="s">
        <v>17</v>
      </c>
      <c r="L138" s="5" t="s">
        <v>18</v>
      </c>
    </row>
    <row r="139" spans="1:12" x14ac:dyDescent="0.2">
      <c r="A139" s="6" t="str">
        <f>_xlfn.TEXTBEFORE(E139,"-")</f>
        <v>3</v>
      </c>
      <c r="B139" s="1" t="str">
        <f>_xlfn.TEXTBEFORE(_xlfn.TEXTAFTER(E139,"-"),"-")</f>
        <v>02</v>
      </c>
      <c r="C139" s="16">
        <f ca="1">IF(SEV_REQUEST[[#This Row],[Created date]]="","",TODAY()-SEV_REQUEST[[#This Row],[Created date]])</f>
        <v>18</v>
      </c>
      <c r="D139" s="4" t="s">
        <v>393</v>
      </c>
      <c r="E139" s="5" t="s">
        <v>105</v>
      </c>
      <c r="F139" s="5" t="s">
        <v>392</v>
      </c>
      <c r="G139" s="5" t="s">
        <v>388</v>
      </c>
      <c r="H139" s="5" t="s">
        <v>53</v>
      </c>
      <c r="I139" s="5" t="s">
        <v>337</v>
      </c>
      <c r="J139" s="5" t="s">
        <v>16</v>
      </c>
      <c r="K139" s="5" t="s">
        <v>17</v>
      </c>
      <c r="L139" s="5" t="s">
        <v>18</v>
      </c>
    </row>
    <row r="140" spans="1:12" x14ac:dyDescent="0.2">
      <c r="A140" s="6" t="str">
        <f>_xlfn.TEXTBEFORE(E140,"-")</f>
        <v>4</v>
      </c>
      <c r="B140" s="1" t="str">
        <f>_xlfn.TEXTBEFORE(_xlfn.TEXTAFTER(E140,"-"),"-")</f>
        <v>04</v>
      </c>
      <c r="C140" s="15">
        <f ca="1">IF(SEV_REQUEST[[#This Row],[Created date]]="","",TODAY()-SEV_REQUEST[[#This Row],[Created date]])</f>
        <v>18</v>
      </c>
      <c r="D140" s="2" t="s">
        <v>394</v>
      </c>
      <c r="E140" s="3" t="s">
        <v>395</v>
      </c>
      <c r="F140" s="3" t="s">
        <v>392</v>
      </c>
      <c r="G140" s="3" t="s">
        <v>388</v>
      </c>
      <c r="H140" s="3" t="s">
        <v>21</v>
      </c>
      <c r="I140" s="3" t="s">
        <v>15</v>
      </c>
      <c r="J140" s="3" t="s">
        <v>16</v>
      </c>
      <c r="K140" s="3" t="s">
        <v>17</v>
      </c>
      <c r="L140" s="3" t="s">
        <v>18</v>
      </c>
    </row>
    <row r="141" spans="1:12" x14ac:dyDescent="0.2">
      <c r="A141" s="6" t="str">
        <f>_xlfn.TEXTBEFORE(E141,"-")</f>
        <v>4</v>
      </c>
      <c r="B141" s="1" t="str">
        <f>_xlfn.TEXTBEFORE(_xlfn.TEXTAFTER(E141,"-"),"-")</f>
        <v>07</v>
      </c>
      <c r="C141" s="15">
        <f ca="1">IF(SEV_REQUEST[[#This Row],[Created date]]="","",TODAY()-SEV_REQUEST[[#This Row],[Created date]])</f>
        <v>18</v>
      </c>
      <c r="D141" s="2" t="s">
        <v>399</v>
      </c>
      <c r="E141" s="3" t="s">
        <v>400</v>
      </c>
      <c r="F141" s="3" t="s">
        <v>392</v>
      </c>
      <c r="G141" s="3" t="s">
        <v>388</v>
      </c>
      <c r="H141" s="3" t="s">
        <v>21</v>
      </c>
      <c r="I141" s="3" t="s">
        <v>15</v>
      </c>
      <c r="J141" s="3" t="s">
        <v>16</v>
      </c>
      <c r="K141" s="3" t="s">
        <v>17</v>
      </c>
      <c r="L141" s="3" t="s">
        <v>18</v>
      </c>
    </row>
    <row r="142" spans="1:12" x14ac:dyDescent="0.2">
      <c r="A142" s="6" t="str">
        <f>_xlfn.TEXTBEFORE(E142,"-")</f>
        <v>4</v>
      </c>
      <c r="B142" s="1" t="str">
        <f>_xlfn.TEXTBEFORE(_xlfn.TEXTAFTER(E142,"-"),"-")</f>
        <v>07</v>
      </c>
      <c r="C142" s="16">
        <f ca="1">IF(SEV_REQUEST[[#This Row],[Created date]]="","",TODAY()-SEV_REQUEST[[#This Row],[Created date]])</f>
        <v>18</v>
      </c>
      <c r="D142" s="4" t="s">
        <v>401</v>
      </c>
      <c r="E142" s="5" t="s">
        <v>400</v>
      </c>
      <c r="F142" s="5" t="s">
        <v>392</v>
      </c>
      <c r="G142" s="5" t="s">
        <v>388</v>
      </c>
      <c r="H142" s="5" t="s">
        <v>21</v>
      </c>
      <c r="I142" s="5" t="s">
        <v>402</v>
      </c>
      <c r="J142" s="5" t="s">
        <v>16</v>
      </c>
      <c r="K142" s="5" t="s">
        <v>17</v>
      </c>
      <c r="L142" s="5" t="s">
        <v>18</v>
      </c>
    </row>
    <row r="143" spans="1:12" x14ac:dyDescent="0.2">
      <c r="A143" s="6" t="str">
        <f>_xlfn.TEXTBEFORE(E143,"-")</f>
        <v>3</v>
      </c>
      <c r="B143" s="1" t="str">
        <f>_xlfn.TEXTBEFORE(_xlfn.TEXTAFTER(E143,"-"),"-")</f>
        <v>01</v>
      </c>
      <c r="C143" s="15">
        <f ca="1">IF(SEV_REQUEST[[#This Row],[Created date]]="","",TODAY()-SEV_REQUEST[[#This Row],[Created date]])</f>
        <v>15</v>
      </c>
      <c r="D143" s="2" t="s">
        <v>365</v>
      </c>
      <c r="E143" s="3" t="s">
        <v>366</v>
      </c>
      <c r="F143" s="3" t="s">
        <v>367</v>
      </c>
      <c r="G143" s="3" t="s">
        <v>354</v>
      </c>
      <c r="H143" s="3" t="s">
        <v>29</v>
      </c>
      <c r="I143" s="3" t="s">
        <v>368</v>
      </c>
      <c r="J143" s="3" t="s">
        <v>16</v>
      </c>
      <c r="K143" s="3" t="s">
        <v>17</v>
      </c>
      <c r="L143" s="3" t="s">
        <v>18</v>
      </c>
    </row>
    <row r="144" spans="1:12" x14ac:dyDescent="0.2">
      <c r="A144" s="6" t="str">
        <f>_xlfn.TEXTBEFORE(E144,"-")</f>
        <v>3</v>
      </c>
      <c r="B144" s="1" t="str">
        <f>_xlfn.TEXTBEFORE(_xlfn.TEXTAFTER(E144,"-"),"-")</f>
        <v>01</v>
      </c>
      <c r="C144" s="16">
        <f ca="1">IF(SEV_REQUEST[[#This Row],[Created date]]="","",TODAY()-SEV_REQUEST[[#This Row],[Created date]])</f>
        <v>15</v>
      </c>
      <c r="D144" s="4" t="s">
        <v>369</v>
      </c>
      <c r="E144" s="5" t="s">
        <v>366</v>
      </c>
      <c r="F144" s="5" t="s">
        <v>367</v>
      </c>
      <c r="G144" s="5" t="s">
        <v>354</v>
      </c>
      <c r="H144" s="5" t="s">
        <v>29</v>
      </c>
      <c r="I144" s="5" t="s">
        <v>370</v>
      </c>
      <c r="J144" s="5" t="s">
        <v>16</v>
      </c>
      <c r="K144" s="5" t="s">
        <v>17</v>
      </c>
      <c r="L144" s="5" t="s">
        <v>18</v>
      </c>
    </row>
    <row r="145" spans="1:12" x14ac:dyDescent="0.2">
      <c r="A145" s="6" t="str">
        <f>_xlfn.TEXTBEFORE(E145,"-")</f>
        <v>4c</v>
      </c>
      <c r="B145" s="1" t="str">
        <f>_xlfn.TEXTBEFORE(_xlfn.TEXTAFTER(E145,"-"),"-")</f>
        <v>02</v>
      </c>
      <c r="C145" s="15">
        <f ca="1">IF(SEV_REQUEST[[#This Row],[Created date]]="","",TODAY()-SEV_REQUEST[[#This Row],[Created date]])</f>
        <v>15</v>
      </c>
      <c r="D145" s="2" t="s">
        <v>371</v>
      </c>
      <c r="E145" s="3" t="s">
        <v>345</v>
      </c>
      <c r="F145" s="3" t="s">
        <v>367</v>
      </c>
      <c r="G145" s="3" t="s">
        <v>354</v>
      </c>
      <c r="H145" s="3" t="s">
        <v>126</v>
      </c>
      <c r="I145" s="3" t="s">
        <v>159</v>
      </c>
      <c r="J145" s="3" t="s">
        <v>16</v>
      </c>
      <c r="K145" s="3" t="s">
        <v>17</v>
      </c>
      <c r="L145" s="3" t="s">
        <v>18</v>
      </c>
    </row>
    <row r="146" spans="1:12" x14ac:dyDescent="0.2">
      <c r="A146" s="6" t="str">
        <f>_xlfn.TEXTBEFORE(E146,"-")</f>
        <v>3</v>
      </c>
      <c r="B146" s="1" t="str">
        <f>_xlfn.TEXTBEFORE(_xlfn.TEXTAFTER(E146,"-"),"-")</f>
        <v>09</v>
      </c>
      <c r="C146" s="15">
        <f ca="1">IF(SEV_REQUEST[[#This Row],[Created date]]="","",TODAY()-SEV_REQUEST[[#This Row],[Created date]])</f>
        <v>15</v>
      </c>
      <c r="D146" s="2" t="s">
        <v>375</v>
      </c>
      <c r="E146" s="3" t="s">
        <v>376</v>
      </c>
      <c r="F146" s="3" t="s">
        <v>367</v>
      </c>
      <c r="G146" s="3" t="s">
        <v>354</v>
      </c>
      <c r="H146" s="3" t="s">
        <v>21</v>
      </c>
      <c r="I146" s="3" t="s">
        <v>15</v>
      </c>
      <c r="J146" s="3" t="s">
        <v>16</v>
      </c>
      <c r="K146" s="3" t="s">
        <v>17</v>
      </c>
      <c r="L146" s="3" t="s">
        <v>18</v>
      </c>
    </row>
    <row r="147" spans="1:12" x14ac:dyDescent="0.2">
      <c r="A147" s="6" t="str">
        <f>_xlfn.TEXTBEFORE(E147,"-")</f>
        <v>3</v>
      </c>
      <c r="B147" s="1" t="str">
        <f>_xlfn.TEXTBEFORE(_xlfn.TEXTAFTER(E147,"-"),"-")</f>
        <v>03</v>
      </c>
      <c r="C147" s="16">
        <f ca="1">IF(SEV_REQUEST[[#This Row],[Created date]]="","",TODAY()-SEV_REQUEST[[#This Row],[Created date]])</f>
        <v>15</v>
      </c>
      <c r="D147" s="4" t="s">
        <v>377</v>
      </c>
      <c r="E147" s="5" t="s">
        <v>378</v>
      </c>
      <c r="F147" s="5" t="s">
        <v>367</v>
      </c>
      <c r="G147" s="5" t="s">
        <v>354</v>
      </c>
      <c r="H147" s="5" t="s">
        <v>53</v>
      </c>
      <c r="I147" s="5" t="s">
        <v>379</v>
      </c>
      <c r="J147" s="5" t="s">
        <v>16</v>
      </c>
      <c r="K147" s="5" t="s">
        <v>17</v>
      </c>
      <c r="L147" s="5" t="s">
        <v>18</v>
      </c>
    </row>
    <row r="148" spans="1:12" x14ac:dyDescent="0.2">
      <c r="A148" s="6" t="str">
        <f>_xlfn.TEXTBEFORE(E148,"-")</f>
        <v>3</v>
      </c>
      <c r="B148" s="1" t="str">
        <f>_xlfn.TEXTBEFORE(_xlfn.TEXTAFTER(E148,"-"),"-")</f>
        <v>03</v>
      </c>
      <c r="C148" s="15">
        <f ca="1">IF(SEV_REQUEST[[#This Row],[Created date]]="","",TODAY()-SEV_REQUEST[[#This Row],[Created date]])</f>
        <v>15</v>
      </c>
      <c r="D148" s="2" t="s">
        <v>380</v>
      </c>
      <c r="E148" s="3" t="s">
        <v>378</v>
      </c>
      <c r="F148" s="3" t="s">
        <v>367</v>
      </c>
      <c r="G148" s="3" t="s">
        <v>354</v>
      </c>
      <c r="H148" s="3" t="s">
        <v>29</v>
      </c>
      <c r="I148" s="3" t="s">
        <v>283</v>
      </c>
      <c r="J148" s="3" t="s">
        <v>16</v>
      </c>
      <c r="K148" s="3" t="s">
        <v>17</v>
      </c>
      <c r="L148" s="3" t="s">
        <v>18</v>
      </c>
    </row>
    <row r="149" spans="1:12" x14ac:dyDescent="0.2">
      <c r="A149" s="6" t="str">
        <f>_xlfn.TEXTBEFORE(E149,"-")</f>
        <v>3</v>
      </c>
      <c r="B149" s="1" t="str">
        <f>_xlfn.TEXTBEFORE(_xlfn.TEXTAFTER(E149,"-"),"-")</f>
        <v>16</v>
      </c>
      <c r="C149" s="16">
        <f ca="1">IF(SEV_REQUEST[[#This Row],[Created date]]="","",TODAY()-SEV_REQUEST[[#This Row],[Created date]])</f>
        <v>15</v>
      </c>
      <c r="D149" s="4" t="s">
        <v>381</v>
      </c>
      <c r="E149" s="5" t="s">
        <v>382</v>
      </c>
      <c r="F149" s="5" t="s">
        <v>367</v>
      </c>
      <c r="G149" s="5" t="s">
        <v>354</v>
      </c>
      <c r="H149" s="5" t="s">
        <v>29</v>
      </c>
      <c r="I149" s="5" t="s">
        <v>146</v>
      </c>
      <c r="J149" s="5" t="s">
        <v>16</v>
      </c>
      <c r="K149" s="5" t="s">
        <v>17</v>
      </c>
      <c r="L149" s="5" t="s">
        <v>18</v>
      </c>
    </row>
    <row r="150" spans="1:12" x14ac:dyDescent="0.2">
      <c r="A150" s="6" t="str">
        <f>_xlfn.TEXTBEFORE(E150,"-")</f>
        <v>4</v>
      </c>
      <c r="B150" s="1" t="str">
        <f>_xlfn.TEXTBEFORE(_xlfn.TEXTAFTER(E150,"-"),"-")</f>
        <v>21</v>
      </c>
      <c r="C150" s="15">
        <f ca="1">IF(SEV_REQUEST[[#This Row],[Created date]]="","",TODAY()-SEV_REQUEST[[#This Row],[Created date]])</f>
        <v>14</v>
      </c>
      <c r="D150" s="2" t="s">
        <v>353</v>
      </c>
      <c r="E150" s="3" t="s">
        <v>323</v>
      </c>
      <c r="F150" s="3" t="s">
        <v>354</v>
      </c>
      <c r="G150" s="3" t="s">
        <v>336</v>
      </c>
      <c r="H150" s="3" t="s">
        <v>29</v>
      </c>
      <c r="I150" s="3" t="s">
        <v>355</v>
      </c>
      <c r="J150" s="3" t="s">
        <v>16</v>
      </c>
      <c r="K150" s="3" t="s">
        <v>17</v>
      </c>
      <c r="L150" s="3" t="s">
        <v>18</v>
      </c>
    </row>
    <row r="151" spans="1:12" x14ac:dyDescent="0.2">
      <c r="A151" s="6" t="str">
        <f>_xlfn.TEXTBEFORE(E151,"-")</f>
        <v>4c</v>
      </c>
      <c r="B151" s="1" t="str">
        <f>_xlfn.TEXTBEFORE(_xlfn.TEXTAFTER(E151,"-"),"-")</f>
        <v>02</v>
      </c>
      <c r="C151" s="16">
        <f ca="1">IF(SEV_REQUEST[[#This Row],[Created date]]="","",TODAY()-SEV_REQUEST[[#This Row],[Created date]])</f>
        <v>14</v>
      </c>
      <c r="D151" s="4" t="s">
        <v>356</v>
      </c>
      <c r="E151" s="5" t="s">
        <v>207</v>
      </c>
      <c r="F151" s="5" t="s">
        <v>354</v>
      </c>
      <c r="G151" s="5" t="s">
        <v>336</v>
      </c>
      <c r="H151" s="5" t="s">
        <v>14</v>
      </c>
      <c r="I151" s="5" t="s">
        <v>357</v>
      </c>
      <c r="J151" s="5" t="s">
        <v>16</v>
      </c>
      <c r="K151" s="5" t="s">
        <v>17</v>
      </c>
      <c r="L151" s="5" t="s">
        <v>18</v>
      </c>
    </row>
    <row r="152" spans="1:12" x14ac:dyDescent="0.2">
      <c r="A152" s="6" t="str">
        <f>_xlfn.TEXTBEFORE(E152,"-")</f>
        <v>4c</v>
      </c>
      <c r="B152" s="1" t="str">
        <f>_xlfn.TEXTBEFORE(_xlfn.TEXTAFTER(E152,"-"),"-")</f>
        <v>02</v>
      </c>
      <c r="C152" s="15">
        <f ca="1">IF(SEV_REQUEST[[#This Row],[Created date]]="","",TODAY()-SEV_REQUEST[[#This Row],[Created date]])</f>
        <v>14</v>
      </c>
      <c r="D152" s="2" t="s">
        <v>358</v>
      </c>
      <c r="E152" s="3" t="s">
        <v>207</v>
      </c>
      <c r="F152" s="3" t="s">
        <v>354</v>
      </c>
      <c r="G152" s="3" t="s">
        <v>336</v>
      </c>
      <c r="H152" s="3" t="s">
        <v>29</v>
      </c>
      <c r="I152" s="3" t="s">
        <v>212</v>
      </c>
      <c r="J152" s="3" t="s">
        <v>16</v>
      </c>
      <c r="K152" s="3" t="s">
        <v>17</v>
      </c>
      <c r="L152" s="3" t="s">
        <v>18</v>
      </c>
    </row>
    <row r="153" spans="1:12" x14ac:dyDescent="0.2">
      <c r="A153" s="6" t="str">
        <f>_xlfn.TEXTBEFORE(E153,"-")</f>
        <v>4</v>
      </c>
      <c r="B153" s="1" t="str">
        <f>_xlfn.TEXTBEFORE(_xlfn.TEXTAFTER(E153,"-"),"-")</f>
        <v>17</v>
      </c>
      <c r="C153" s="16">
        <f ca="1">IF(SEV_REQUEST[[#This Row],[Created date]]="","",TODAY()-SEV_REQUEST[[#This Row],[Created date]])</f>
        <v>14</v>
      </c>
      <c r="D153" s="4" t="s">
        <v>359</v>
      </c>
      <c r="E153" s="5" t="s">
        <v>360</v>
      </c>
      <c r="F153" s="5" t="s">
        <v>354</v>
      </c>
      <c r="G153" s="5" t="s">
        <v>336</v>
      </c>
      <c r="H153" s="5" t="s">
        <v>35</v>
      </c>
      <c r="I153" s="5" t="s">
        <v>361</v>
      </c>
      <c r="J153" s="5" t="s">
        <v>16</v>
      </c>
      <c r="K153" s="5" t="s">
        <v>17</v>
      </c>
      <c r="L153" s="5" t="s">
        <v>18</v>
      </c>
    </row>
    <row r="154" spans="1:12" x14ac:dyDescent="0.2">
      <c r="A154" s="6" t="str">
        <f>_xlfn.TEXTBEFORE(E154,"-")</f>
        <v>4c</v>
      </c>
      <c r="B154" s="1" t="str">
        <f>_xlfn.TEXTBEFORE(_xlfn.TEXTAFTER(E154,"-"),"-")</f>
        <v>02</v>
      </c>
      <c r="C154" s="15">
        <f ca="1">IF(SEV_REQUEST[[#This Row],[Created date]]="","",TODAY()-SEV_REQUEST[[#This Row],[Created date]])</f>
        <v>14</v>
      </c>
      <c r="D154" s="2" t="s">
        <v>362</v>
      </c>
      <c r="E154" s="3" t="s">
        <v>363</v>
      </c>
      <c r="F154" s="3" t="s">
        <v>354</v>
      </c>
      <c r="G154" s="3" t="s">
        <v>336</v>
      </c>
      <c r="H154" s="3" t="s">
        <v>21</v>
      </c>
      <c r="I154" s="3" t="s">
        <v>15</v>
      </c>
      <c r="J154" s="3" t="s">
        <v>16</v>
      </c>
      <c r="K154" s="3" t="s">
        <v>17</v>
      </c>
      <c r="L154" s="3" t="s">
        <v>18</v>
      </c>
    </row>
    <row r="155" spans="1:12" x14ac:dyDescent="0.2">
      <c r="A155" s="6" t="str">
        <f>_xlfn.TEXTBEFORE(E155,"-")</f>
        <v>4c</v>
      </c>
      <c r="B155" s="1" t="str">
        <f>_xlfn.TEXTBEFORE(_xlfn.TEXTAFTER(E155,"-"),"-")</f>
        <v>02</v>
      </c>
      <c r="C155" s="16">
        <f ca="1">IF(SEV_REQUEST[[#This Row],[Created date]]="","",TODAY()-SEV_REQUEST[[#This Row],[Created date]])</f>
        <v>14</v>
      </c>
      <c r="D155" s="4" t="s">
        <v>364</v>
      </c>
      <c r="E155" s="5" t="s">
        <v>363</v>
      </c>
      <c r="F155" s="5" t="s">
        <v>354</v>
      </c>
      <c r="G155" s="5" t="s">
        <v>336</v>
      </c>
      <c r="H155" s="5" t="s">
        <v>99</v>
      </c>
      <c r="I155" s="5" t="s">
        <v>100</v>
      </c>
      <c r="J155" s="5" t="s">
        <v>16</v>
      </c>
      <c r="K155" s="5" t="s">
        <v>17</v>
      </c>
      <c r="L155" s="5" t="s">
        <v>18</v>
      </c>
    </row>
    <row r="156" spans="1:12" x14ac:dyDescent="0.2">
      <c r="A156" s="6" t="str">
        <f>_xlfn.TEXTBEFORE(E156,"-")</f>
        <v>3</v>
      </c>
      <c r="B156" s="1" t="str">
        <f>_xlfn.TEXTBEFORE(_xlfn.TEXTAFTER(E156,"-"),"-")</f>
        <v>33</v>
      </c>
      <c r="C156" s="16">
        <f ca="1">IF(SEV_REQUEST[[#This Row],[Created date]]="","",TODAY()-SEV_REQUEST[[#This Row],[Created date]])</f>
        <v>13</v>
      </c>
      <c r="D156" s="4" t="s">
        <v>338</v>
      </c>
      <c r="E156" s="5" t="s">
        <v>339</v>
      </c>
      <c r="F156" s="5" t="s">
        <v>336</v>
      </c>
      <c r="G156" s="5" t="s">
        <v>333</v>
      </c>
      <c r="H156" s="5" t="s">
        <v>29</v>
      </c>
      <c r="I156" s="5" t="s">
        <v>15</v>
      </c>
      <c r="J156" s="5" t="s">
        <v>16</v>
      </c>
      <c r="K156" s="5" t="s">
        <v>17</v>
      </c>
      <c r="L156" s="5" t="s">
        <v>18</v>
      </c>
    </row>
    <row r="157" spans="1:12" x14ac:dyDescent="0.2">
      <c r="A157" s="6" t="str">
        <f>_xlfn.TEXTBEFORE(E157,"-")</f>
        <v>4c</v>
      </c>
      <c r="B157" s="1" t="str">
        <f>_xlfn.TEXTBEFORE(_xlfn.TEXTAFTER(E157,"-"),"-")</f>
        <v>02</v>
      </c>
      <c r="C157" s="15">
        <f ca="1">IF(SEV_REQUEST[[#This Row],[Created date]]="","",TODAY()-SEV_REQUEST[[#This Row],[Created date]])</f>
        <v>13</v>
      </c>
      <c r="D157" s="2" t="s">
        <v>350</v>
      </c>
      <c r="E157" s="3" t="s">
        <v>345</v>
      </c>
      <c r="F157" s="3" t="s">
        <v>336</v>
      </c>
      <c r="G157" s="3" t="s">
        <v>333</v>
      </c>
      <c r="H157" s="3" t="s">
        <v>29</v>
      </c>
      <c r="I157" s="3" t="s">
        <v>15</v>
      </c>
      <c r="J157" s="3" t="s">
        <v>16</v>
      </c>
      <c r="K157" s="3" t="s">
        <v>17</v>
      </c>
      <c r="L157" s="3" t="s">
        <v>18</v>
      </c>
    </row>
    <row r="158" spans="1:12" x14ac:dyDescent="0.2">
      <c r="A158" s="6" t="str">
        <f>_xlfn.TEXTBEFORE(E158,"-")</f>
        <v>3</v>
      </c>
      <c r="B158" s="1" t="str">
        <f>_xlfn.TEXTBEFORE(_xlfn.TEXTAFTER(E158,"-"),"-")</f>
        <v>28</v>
      </c>
      <c r="C158" s="16">
        <f ca="1">IF(SEV_REQUEST[[#This Row],[Created date]]="","",TODAY()-SEV_REQUEST[[#This Row],[Created date]])</f>
        <v>13</v>
      </c>
      <c r="D158" s="4" t="s">
        <v>351</v>
      </c>
      <c r="E158" s="5" t="s">
        <v>352</v>
      </c>
      <c r="F158" s="5" t="s">
        <v>336</v>
      </c>
      <c r="G158" s="5" t="s">
        <v>333</v>
      </c>
      <c r="H158" s="5" t="s">
        <v>29</v>
      </c>
      <c r="I158" s="5" t="s">
        <v>15</v>
      </c>
      <c r="J158" s="5" t="s">
        <v>16</v>
      </c>
      <c r="K158" s="5" t="s">
        <v>17</v>
      </c>
      <c r="L158" s="5" t="s">
        <v>18</v>
      </c>
    </row>
    <row r="159" spans="1:12" x14ac:dyDescent="0.2">
      <c r="A159" s="6" t="str">
        <f>_xlfn.TEXTBEFORE(E159,"-")</f>
        <v>3</v>
      </c>
      <c r="B159" s="1" t="str">
        <f>_xlfn.TEXTBEFORE(_xlfn.TEXTAFTER(E159,"-"),"-")</f>
        <v>17</v>
      </c>
      <c r="C159" s="15">
        <f ca="1">IF(SEV_REQUEST[[#This Row],[Created date]]="","",TODAY()-SEV_REQUEST[[#This Row],[Created date]])</f>
        <v>11</v>
      </c>
      <c r="D159" s="2" t="s">
        <v>329</v>
      </c>
      <c r="E159" s="3" t="s">
        <v>330</v>
      </c>
      <c r="F159" s="3" t="s">
        <v>321</v>
      </c>
      <c r="G159" s="3" t="s">
        <v>317</v>
      </c>
      <c r="H159" s="3" t="s">
        <v>99</v>
      </c>
      <c r="I159" s="3" t="s">
        <v>227</v>
      </c>
      <c r="J159" s="3" t="s">
        <v>16</v>
      </c>
      <c r="K159" s="3" t="s">
        <v>17</v>
      </c>
      <c r="L159" s="3" t="s">
        <v>18</v>
      </c>
    </row>
    <row r="160" spans="1:12" x14ac:dyDescent="0.2">
      <c r="A160" s="6" t="str">
        <f>_xlfn.TEXTBEFORE(E160,"-")</f>
        <v>3</v>
      </c>
      <c r="B160" s="1" t="str">
        <f>_xlfn.TEXTBEFORE(_xlfn.TEXTAFTER(E160,"-"),"-")</f>
        <v>29</v>
      </c>
      <c r="C160" s="16">
        <f ca="1">IF(SEV_REQUEST[[#This Row],[Created date]]="","",TODAY()-SEV_REQUEST[[#This Row],[Created date]])</f>
        <v>8</v>
      </c>
      <c r="D160" s="4" t="s">
        <v>294</v>
      </c>
      <c r="E160" s="5" t="s">
        <v>295</v>
      </c>
      <c r="F160" s="5" t="s">
        <v>292</v>
      </c>
      <c r="G160" s="5" t="s">
        <v>265</v>
      </c>
      <c r="H160" s="5" t="s">
        <v>53</v>
      </c>
      <c r="I160" s="5" t="s">
        <v>296</v>
      </c>
      <c r="J160" s="5" t="s">
        <v>16</v>
      </c>
      <c r="K160" s="5" t="s">
        <v>17</v>
      </c>
      <c r="L160" s="5" t="s">
        <v>18</v>
      </c>
    </row>
    <row r="161" spans="1:12" x14ac:dyDescent="0.2">
      <c r="A161" s="6" t="str">
        <f>_xlfn.TEXTBEFORE(E161,"-")</f>
        <v>4</v>
      </c>
      <c r="B161" s="1" t="str">
        <f>_xlfn.TEXTBEFORE(_xlfn.TEXTAFTER(E161,"-"),"-")</f>
        <v>01</v>
      </c>
      <c r="C161" s="16">
        <f ca="1">IF(SEV_REQUEST[[#This Row],[Created date]]="","",TODAY()-SEV_REQUEST[[#This Row],[Created date]])</f>
        <v>7</v>
      </c>
      <c r="D161" s="4" t="s">
        <v>263</v>
      </c>
      <c r="E161" s="5" t="s">
        <v>264</v>
      </c>
      <c r="F161" s="5" t="s">
        <v>265</v>
      </c>
      <c r="G161" s="5" t="s">
        <v>250</v>
      </c>
      <c r="H161" s="5" t="s">
        <v>25</v>
      </c>
      <c r="I161" s="5" t="s">
        <v>26</v>
      </c>
      <c r="J161" s="5" t="s">
        <v>16</v>
      </c>
      <c r="K161" s="5" t="s">
        <v>17</v>
      </c>
      <c r="L161" s="5" t="s">
        <v>18</v>
      </c>
    </row>
    <row r="162" spans="1:12" x14ac:dyDescent="0.2">
      <c r="A162" s="6" t="str">
        <f>_xlfn.TEXTBEFORE(E162,"-")</f>
        <v>5</v>
      </c>
      <c r="B162" s="1" t="str">
        <f>_xlfn.TEXTBEFORE(_xlfn.TEXTAFTER(E162,"-"),"-")</f>
        <v>18</v>
      </c>
      <c r="C162" s="16">
        <f ca="1">IF(SEV_REQUEST[[#This Row],[Created date]]="","",TODAY()-SEV_REQUEST[[#This Row],[Created date]])</f>
        <v>6</v>
      </c>
      <c r="D162" s="4" t="s">
        <v>253</v>
      </c>
      <c r="E162" s="5" t="s">
        <v>254</v>
      </c>
      <c r="F162" s="5" t="s">
        <v>250</v>
      </c>
      <c r="G162" s="5" t="s">
        <v>245</v>
      </c>
      <c r="H162" s="5" t="s">
        <v>255</v>
      </c>
      <c r="I162" s="5" t="s">
        <v>15</v>
      </c>
      <c r="J162" s="5" t="s">
        <v>16</v>
      </c>
      <c r="K162" s="5" t="s">
        <v>17</v>
      </c>
      <c r="L162" s="5" t="s">
        <v>18</v>
      </c>
    </row>
    <row r="163" spans="1:12" x14ac:dyDescent="0.2">
      <c r="A163" s="6" t="str">
        <f>_xlfn.TEXTBEFORE(E163,"-")</f>
        <v>7</v>
      </c>
      <c r="B163" s="1" t="str">
        <f>_xlfn.TEXTBEFORE(_xlfn.TEXTAFTER(E163,"-"),"-")</f>
        <v>11</v>
      </c>
      <c r="C163" s="15">
        <f ca="1">IF(SEV_REQUEST[[#This Row],[Created date]]="","",TODAY()-SEV_REQUEST[[#This Row],[Created date]])</f>
        <v>6</v>
      </c>
      <c r="D163" s="2" t="s">
        <v>256</v>
      </c>
      <c r="E163" s="3" t="s">
        <v>257</v>
      </c>
      <c r="F163" s="3" t="s">
        <v>250</v>
      </c>
      <c r="G163" s="3" t="s">
        <v>245</v>
      </c>
      <c r="H163" s="3" t="s">
        <v>255</v>
      </c>
      <c r="I163" s="3" t="s">
        <v>258</v>
      </c>
      <c r="J163" s="3" t="s">
        <v>16</v>
      </c>
      <c r="K163" s="3" t="s">
        <v>17</v>
      </c>
      <c r="L163" s="3" t="s">
        <v>18</v>
      </c>
    </row>
    <row r="164" spans="1:12" x14ac:dyDescent="0.2">
      <c r="A164" s="6" t="str">
        <f>_xlfn.TEXTBEFORE(E164,"-")</f>
        <v>3</v>
      </c>
      <c r="B164" s="1" t="str">
        <f>_xlfn.TEXTBEFORE(_xlfn.TEXTAFTER(E164,"-"),"-")</f>
        <v>08</v>
      </c>
      <c r="C164" s="16">
        <f ca="1">IF(SEV_REQUEST[[#This Row],[Created date]]="","",TODAY()-SEV_REQUEST[[#This Row],[Created date]])</f>
        <v>6</v>
      </c>
      <c r="D164" s="4" t="s">
        <v>259</v>
      </c>
      <c r="E164" s="5" t="s">
        <v>260</v>
      </c>
      <c r="F164" s="5" t="s">
        <v>250</v>
      </c>
      <c r="G164" s="5" t="s">
        <v>245</v>
      </c>
      <c r="H164" s="5" t="s">
        <v>21</v>
      </c>
      <c r="I164" s="5" t="s">
        <v>15</v>
      </c>
      <c r="J164" s="5" t="s">
        <v>16</v>
      </c>
      <c r="K164" s="5" t="s">
        <v>17</v>
      </c>
      <c r="L164" s="5" t="s">
        <v>18</v>
      </c>
    </row>
    <row r="165" spans="1:12" x14ac:dyDescent="0.2">
      <c r="A165" s="6" t="str">
        <f>_xlfn.TEXTBEFORE(E165,"-")</f>
        <v>3</v>
      </c>
      <c r="B165" s="1" t="str">
        <f>_xlfn.TEXTBEFORE(_xlfn.TEXTAFTER(E165,"-"),"-")</f>
        <v>27</v>
      </c>
      <c r="C165" s="16">
        <f ca="1">IF(SEV_REQUEST[[#This Row],[Created date]]="","",TODAY()-SEV_REQUEST[[#This Row],[Created date]])</f>
        <v>5</v>
      </c>
      <c r="D165" s="4" t="s">
        <v>243</v>
      </c>
      <c r="E165" s="5" t="s">
        <v>244</v>
      </c>
      <c r="F165" s="5" t="s">
        <v>245</v>
      </c>
      <c r="G165" s="5" t="s">
        <v>226</v>
      </c>
      <c r="H165" s="5" t="s">
        <v>53</v>
      </c>
      <c r="I165" s="5" t="s">
        <v>179</v>
      </c>
      <c r="J165" s="5" t="s">
        <v>16</v>
      </c>
      <c r="K165" s="5" t="s">
        <v>17</v>
      </c>
      <c r="L165" s="5" t="s">
        <v>18</v>
      </c>
    </row>
    <row r="166" spans="1:12" x14ac:dyDescent="0.2">
      <c r="A166" s="6" t="str">
        <f>_xlfn.TEXTBEFORE(E166,"-")</f>
        <v>3</v>
      </c>
      <c r="B166" s="1" t="str">
        <f>_xlfn.TEXTBEFORE(_xlfn.TEXTAFTER(E166,"-"),"-")</f>
        <v>01</v>
      </c>
      <c r="C166" s="15">
        <f ca="1">IF(SEV_REQUEST[[#This Row],[Created date]]="","",TODAY()-SEV_REQUEST[[#This Row],[Created date]])</f>
        <v>5</v>
      </c>
      <c r="D166" s="2" t="s">
        <v>246</v>
      </c>
      <c r="E166" s="3" t="s">
        <v>247</v>
      </c>
      <c r="F166" s="3" t="s">
        <v>245</v>
      </c>
      <c r="G166" s="3" t="s">
        <v>226</v>
      </c>
      <c r="H166" s="3" t="s">
        <v>21</v>
      </c>
      <c r="I166" s="3" t="s">
        <v>41</v>
      </c>
      <c r="J166" s="3" t="s">
        <v>16</v>
      </c>
      <c r="K166" s="3" t="s">
        <v>17</v>
      </c>
      <c r="L166" s="3" t="s">
        <v>18</v>
      </c>
    </row>
    <row r="167" spans="1:12" x14ac:dyDescent="0.2">
      <c r="A167" s="6" t="str">
        <f>_xlfn.TEXTBEFORE(E167,"-")</f>
        <v>7</v>
      </c>
      <c r="B167" s="1" t="str">
        <f>_xlfn.TEXTBEFORE(_xlfn.TEXTAFTER(E167,"-"),"-")</f>
        <v>03</v>
      </c>
      <c r="C167" s="16">
        <f ca="1">IF(SEV_REQUEST[[#This Row],[Created date]]="","",TODAY()-SEV_REQUEST[[#This Row],[Created date]])</f>
        <v>3</v>
      </c>
      <c r="D167" s="4" t="s">
        <v>177</v>
      </c>
      <c r="E167" s="5" t="s">
        <v>178</v>
      </c>
      <c r="F167" s="5" t="s">
        <v>172</v>
      </c>
      <c r="G167" s="5" t="s">
        <v>83</v>
      </c>
      <c r="H167" s="5" t="s">
        <v>53</v>
      </c>
      <c r="I167" s="5" t="s">
        <v>179</v>
      </c>
      <c r="J167" s="5" t="s">
        <v>16</v>
      </c>
      <c r="K167" s="5" t="s">
        <v>17</v>
      </c>
      <c r="L167" s="5" t="s">
        <v>18</v>
      </c>
    </row>
    <row r="168" spans="1:12" x14ac:dyDescent="0.2">
      <c r="A168" s="6" t="str">
        <f>_xlfn.TEXTBEFORE(E168,"-")</f>
        <v>3</v>
      </c>
      <c r="B168" s="1" t="str">
        <f>_xlfn.TEXTBEFORE(_xlfn.TEXTAFTER(E168,"-"),"-")</f>
        <v>33</v>
      </c>
      <c r="C168" s="15">
        <f ca="1">IF(SEV_REQUEST[[#This Row],[Created date]]="","",TODAY()-SEV_REQUEST[[#This Row],[Created date]])</f>
        <v>3</v>
      </c>
      <c r="D168" s="2" t="s">
        <v>180</v>
      </c>
      <c r="E168" s="3" t="s">
        <v>181</v>
      </c>
      <c r="F168" s="3" t="s">
        <v>172</v>
      </c>
      <c r="G168" s="3" t="s">
        <v>83</v>
      </c>
      <c r="H168" s="3" t="s">
        <v>29</v>
      </c>
      <c r="I168" s="3" t="s">
        <v>182</v>
      </c>
      <c r="J168" s="3" t="s">
        <v>16</v>
      </c>
      <c r="K168" s="3" t="s">
        <v>17</v>
      </c>
      <c r="L168" s="3" t="s">
        <v>18</v>
      </c>
    </row>
    <row r="169" spans="1:12" x14ac:dyDescent="0.2">
      <c r="A169" s="6" t="str">
        <f>_xlfn.TEXTBEFORE(E169,"-")</f>
        <v>3</v>
      </c>
      <c r="B169" s="1" t="str">
        <f>_xlfn.TEXTBEFORE(_xlfn.TEXTAFTER(E169,"-"),"-")</f>
        <v>33</v>
      </c>
      <c r="C169" s="16">
        <f ca="1">IF(SEV_REQUEST[[#This Row],[Created date]]="","",TODAY()-SEV_REQUEST[[#This Row],[Created date]])</f>
        <v>3</v>
      </c>
      <c r="D169" s="4" t="s">
        <v>198</v>
      </c>
      <c r="E169" s="5" t="s">
        <v>199</v>
      </c>
      <c r="F169" s="5" t="s">
        <v>172</v>
      </c>
      <c r="G169" s="5" t="s">
        <v>83</v>
      </c>
      <c r="H169" s="5" t="s">
        <v>21</v>
      </c>
      <c r="I169" s="5" t="s">
        <v>15</v>
      </c>
      <c r="J169" s="5" t="s">
        <v>16</v>
      </c>
      <c r="K169" s="5" t="s">
        <v>17</v>
      </c>
      <c r="L169" s="5" t="s">
        <v>18</v>
      </c>
    </row>
    <row r="170" spans="1:12" x14ac:dyDescent="0.2">
      <c r="A170" s="6" t="str">
        <f>_xlfn.TEXTBEFORE(E170,"-")</f>
        <v>7</v>
      </c>
      <c r="B170" s="1" t="str">
        <f>_xlfn.TEXTBEFORE(_xlfn.TEXTAFTER(E170,"-"),"-")</f>
        <v>02</v>
      </c>
      <c r="C170" s="15">
        <f ca="1">IF(SEV_REQUEST[[#This Row],[Created date]]="","",TODAY()-SEV_REQUEST[[#This Row],[Created date]])</f>
        <v>3</v>
      </c>
      <c r="D170" s="2" t="s">
        <v>200</v>
      </c>
      <c r="E170" s="3" t="s">
        <v>201</v>
      </c>
      <c r="F170" s="3" t="s">
        <v>172</v>
      </c>
      <c r="G170" s="3" t="s">
        <v>83</v>
      </c>
      <c r="H170" s="3" t="s">
        <v>29</v>
      </c>
      <c r="I170" s="3" t="s">
        <v>202</v>
      </c>
      <c r="J170" s="3" t="s">
        <v>16</v>
      </c>
      <c r="K170" s="3" t="s">
        <v>17</v>
      </c>
      <c r="L170" s="3" t="s">
        <v>18</v>
      </c>
    </row>
    <row r="171" spans="1:12" x14ac:dyDescent="0.2">
      <c r="A171" s="6" t="str">
        <f>_xlfn.TEXTBEFORE(E171,"-")</f>
        <v>3</v>
      </c>
      <c r="B171" s="1" t="str">
        <f>_xlfn.TEXTBEFORE(_xlfn.TEXTAFTER(E171,"-"),"-")</f>
        <v>04</v>
      </c>
      <c r="C171" s="16">
        <f ca="1">IF(SEV_REQUEST[[#This Row],[Created date]]="","",TODAY()-SEV_REQUEST[[#This Row],[Created date]])</f>
        <v>3</v>
      </c>
      <c r="D171" s="4" t="s">
        <v>203</v>
      </c>
      <c r="E171" s="5" t="s">
        <v>204</v>
      </c>
      <c r="F171" s="5" t="s">
        <v>172</v>
      </c>
      <c r="G171" s="5" t="s">
        <v>83</v>
      </c>
      <c r="H171" s="5" t="s">
        <v>14</v>
      </c>
      <c r="I171" s="5" t="s">
        <v>205</v>
      </c>
      <c r="J171" s="5" t="s">
        <v>16</v>
      </c>
      <c r="K171" s="5" t="s">
        <v>17</v>
      </c>
      <c r="L171" s="5" t="s">
        <v>18</v>
      </c>
    </row>
    <row r="172" spans="1:12" x14ac:dyDescent="0.2">
      <c r="A172" s="6" t="str">
        <f>_xlfn.TEXTBEFORE(E172,"-")</f>
        <v>4c</v>
      </c>
      <c r="B172" s="1" t="str">
        <f>_xlfn.TEXTBEFORE(_xlfn.TEXTAFTER(E172,"-"),"-")</f>
        <v>02</v>
      </c>
      <c r="C172" s="15">
        <f ca="1">IF(SEV_REQUEST[[#This Row],[Created date]]="","",TODAY()-SEV_REQUEST[[#This Row],[Created date]])</f>
        <v>3</v>
      </c>
      <c r="D172" s="2" t="s">
        <v>206</v>
      </c>
      <c r="E172" s="3" t="s">
        <v>207</v>
      </c>
      <c r="F172" s="3" t="s">
        <v>172</v>
      </c>
      <c r="G172" s="3" t="s">
        <v>83</v>
      </c>
      <c r="H172" s="3" t="s">
        <v>29</v>
      </c>
      <c r="I172" s="3" t="s">
        <v>15</v>
      </c>
      <c r="J172" s="3" t="s">
        <v>16</v>
      </c>
      <c r="K172" s="3" t="s">
        <v>17</v>
      </c>
      <c r="L172" s="3" t="s">
        <v>18</v>
      </c>
    </row>
    <row r="173" spans="1:12" x14ac:dyDescent="0.2">
      <c r="A173" s="6" t="str">
        <f>_xlfn.TEXTBEFORE(E173,"-")</f>
        <v>4</v>
      </c>
      <c r="B173" s="1" t="str">
        <f>_xlfn.TEXTBEFORE(_xlfn.TEXTAFTER(E173,"-"),"-")</f>
        <v>12</v>
      </c>
      <c r="C173" s="16">
        <f ca="1">IF(SEV_REQUEST[[#This Row],[Created date]]="","",TODAY()-SEV_REQUEST[[#This Row],[Created date]])</f>
        <v>3</v>
      </c>
      <c r="D173" s="4" t="s">
        <v>208</v>
      </c>
      <c r="E173" s="5" t="s">
        <v>209</v>
      </c>
      <c r="F173" s="5" t="s">
        <v>172</v>
      </c>
      <c r="G173" s="5" t="s">
        <v>83</v>
      </c>
      <c r="H173" s="5" t="s">
        <v>99</v>
      </c>
      <c r="I173" s="5" t="s">
        <v>210</v>
      </c>
      <c r="J173" s="5" t="s">
        <v>16</v>
      </c>
      <c r="K173" s="5" t="s">
        <v>17</v>
      </c>
      <c r="L173" s="5" t="s">
        <v>18</v>
      </c>
    </row>
    <row r="174" spans="1:12" x14ac:dyDescent="0.2">
      <c r="A174" s="6" t="str">
        <f>_xlfn.TEXTBEFORE(E174,"-")</f>
        <v>4c</v>
      </c>
      <c r="B174" s="1" t="str">
        <f>_xlfn.TEXTBEFORE(_xlfn.TEXTAFTER(E174,"-"),"-")</f>
        <v>02</v>
      </c>
      <c r="C174" s="15">
        <f ca="1">IF(SEV_REQUEST[[#This Row],[Created date]]="","",TODAY()-SEV_REQUEST[[#This Row],[Created date]])</f>
        <v>3</v>
      </c>
      <c r="D174" s="2" t="s">
        <v>211</v>
      </c>
      <c r="E174" s="3" t="s">
        <v>207</v>
      </c>
      <c r="F174" s="3" t="s">
        <v>172</v>
      </c>
      <c r="G174" s="3" t="s">
        <v>83</v>
      </c>
      <c r="H174" s="3" t="s">
        <v>29</v>
      </c>
      <c r="I174" s="3" t="s">
        <v>212</v>
      </c>
      <c r="J174" s="3" t="s">
        <v>16</v>
      </c>
      <c r="K174" s="3" t="s">
        <v>17</v>
      </c>
      <c r="L174" s="3" t="s">
        <v>18</v>
      </c>
    </row>
    <row r="175" spans="1:12" x14ac:dyDescent="0.2">
      <c r="A175" s="6" t="str">
        <f>_xlfn.TEXTBEFORE(E175,"-")</f>
        <v>4</v>
      </c>
      <c r="B175" s="1" t="str">
        <f>_xlfn.TEXTBEFORE(_xlfn.TEXTAFTER(E175,"-"),"-")</f>
        <v>06</v>
      </c>
      <c r="C175" s="15">
        <f ca="1">IF(SEV_REQUEST[[#This Row],[Created date]]="","",TODAY()-SEV_REQUEST[[#This Row],[Created date]])</f>
        <v>2</v>
      </c>
      <c r="D175" s="2" t="s">
        <v>93</v>
      </c>
      <c r="E175" s="3" t="s">
        <v>94</v>
      </c>
      <c r="F175" s="3" t="s">
        <v>83</v>
      </c>
      <c r="G175" s="3" t="s">
        <v>12</v>
      </c>
      <c r="H175" s="3" t="s">
        <v>77</v>
      </c>
      <c r="I175" s="3" t="s">
        <v>78</v>
      </c>
      <c r="J175" s="3" t="s">
        <v>16</v>
      </c>
      <c r="K175" s="3" t="s">
        <v>17</v>
      </c>
      <c r="L175" s="3" t="s">
        <v>18</v>
      </c>
    </row>
    <row r="176" spans="1:12" x14ac:dyDescent="0.2">
      <c r="A176" s="6" t="str">
        <f>_xlfn.TEXTBEFORE(E176,"-")</f>
        <v>3</v>
      </c>
      <c r="B176" s="1" t="str">
        <f>_xlfn.TEXTBEFORE(_xlfn.TEXTAFTER(E176,"-"),"-")</f>
        <v>30</v>
      </c>
      <c r="C176" s="16">
        <f ca="1">IF(SEV_REQUEST[[#This Row],[Created date]]="","",TODAY()-SEV_REQUEST[[#This Row],[Created date]])</f>
        <v>2</v>
      </c>
      <c r="D176" s="4" t="s">
        <v>95</v>
      </c>
      <c r="E176" s="5" t="s">
        <v>96</v>
      </c>
      <c r="F176" s="5" t="s">
        <v>83</v>
      </c>
      <c r="G176" s="5" t="s">
        <v>12</v>
      </c>
      <c r="H176" s="5" t="s">
        <v>21</v>
      </c>
      <c r="I176" s="5" t="s">
        <v>15</v>
      </c>
      <c r="J176" s="5" t="s">
        <v>16</v>
      </c>
      <c r="K176" s="5" t="s">
        <v>17</v>
      </c>
      <c r="L176" s="5" t="s">
        <v>18</v>
      </c>
    </row>
    <row r="177" spans="1:12" x14ac:dyDescent="0.2">
      <c r="A177" s="6" t="str">
        <f>_xlfn.TEXTBEFORE(E177,"-")</f>
        <v>5</v>
      </c>
      <c r="B177" s="1" t="str">
        <f>_xlfn.TEXTBEFORE(_xlfn.TEXTAFTER(E177,"-"),"-")</f>
        <v>04</v>
      </c>
      <c r="C177" s="16">
        <f ca="1">IF(SEV_REQUEST[[#This Row],[Created date]]="","",TODAY()-SEV_REQUEST[[#This Row],[Created date]])</f>
        <v>2</v>
      </c>
      <c r="D177" s="4" t="s">
        <v>102</v>
      </c>
      <c r="E177" s="5" t="s">
        <v>103</v>
      </c>
      <c r="F177" s="5" t="s">
        <v>83</v>
      </c>
      <c r="G177" s="5" t="s">
        <v>12</v>
      </c>
      <c r="H177" s="5" t="s">
        <v>77</v>
      </c>
      <c r="I177" s="5" t="s">
        <v>78</v>
      </c>
      <c r="J177" s="5" t="s">
        <v>16</v>
      </c>
      <c r="K177" s="5" t="s">
        <v>17</v>
      </c>
      <c r="L177" s="5" t="s">
        <v>18</v>
      </c>
    </row>
    <row r="178" spans="1:12" x14ac:dyDescent="0.2">
      <c r="A178" s="6" t="str">
        <f>_xlfn.TEXTBEFORE(E178,"-")</f>
        <v>7</v>
      </c>
      <c r="B178" s="1" t="str">
        <f>_xlfn.TEXTBEFORE(_xlfn.TEXTAFTER(E178,"-"),"-")</f>
        <v>04</v>
      </c>
      <c r="C178" s="16">
        <f ca="1">IF(SEV_REQUEST[[#This Row],[Created date]]="","",TODAY()-SEV_REQUEST[[#This Row],[Created date]])</f>
        <v>2</v>
      </c>
      <c r="D178" s="4" t="s">
        <v>107</v>
      </c>
      <c r="E178" s="5" t="s">
        <v>108</v>
      </c>
      <c r="F178" s="5" t="s">
        <v>83</v>
      </c>
      <c r="G178" s="5" t="s">
        <v>12</v>
      </c>
      <c r="H178" s="5" t="s">
        <v>25</v>
      </c>
      <c r="I178" s="5" t="s">
        <v>109</v>
      </c>
      <c r="J178" s="5" t="s">
        <v>16</v>
      </c>
      <c r="K178" s="5" t="s">
        <v>17</v>
      </c>
      <c r="L178" s="5" t="s">
        <v>18</v>
      </c>
    </row>
    <row r="179" spans="1:12" x14ac:dyDescent="0.2">
      <c r="A179" s="6" t="str">
        <f>_xlfn.TEXTBEFORE(E179,"-")</f>
        <v>4</v>
      </c>
      <c r="B179" s="1" t="str">
        <f>_xlfn.TEXTBEFORE(_xlfn.TEXTAFTER(E179,"-"),"-")</f>
        <v>21</v>
      </c>
      <c r="C179" s="15">
        <f ca="1">IF(SEV_REQUEST[[#This Row],[Created date]]="","",TODAY()-SEV_REQUEST[[#This Row],[Created date]])</f>
        <v>2</v>
      </c>
      <c r="D179" s="2" t="s">
        <v>110</v>
      </c>
      <c r="E179" s="3" t="s">
        <v>24</v>
      </c>
      <c r="F179" s="3" t="s">
        <v>83</v>
      </c>
      <c r="G179" s="3" t="s">
        <v>12</v>
      </c>
      <c r="H179" s="3" t="s">
        <v>25</v>
      </c>
      <c r="I179" s="3" t="s">
        <v>15</v>
      </c>
      <c r="J179" s="3" t="s">
        <v>16</v>
      </c>
      <c r="K179" s="3" t="s">
        <v>17</v>
      </c>
      <c r="L179" s="3" t="s">
        <v>18</v>
      </c>
    </row>
    <row r="180" spans="1:12" x14ac:dyDescent="0.2">
      <c r="A180" s="6" t="str">
        <f>_xlfn.TEXTBEFORE(E180,"-")</f>
        <v>4</v>
      </c>
      <c r="B180" s="1" t="str">
        <f>_xlfn.TEXTBEFORE(_xlfn.TEXTAFTER(E180,"-"),"-")</f>
        <v>21</v>
      </c>
      <c r="C180" s="16">
        <f ca="1">IF(SEV_REQUEST[[#This Row],[Created date]]="","",TODAY()-SEV_REQUEST[[#This Row],[Created date]])</f>
        <v>2</v>
      </c>
      <c r="D180" s="4" t="s">
        <v>111</v>
      </c>
      <c r="E180" s="5" t="s">
        <v>24</v>
      </c>
      <c r="F180" s="5" t="s">
        <v>83</v>
      </c>
      <c r="G180" s="5" t="s">
        <v>12</v>
      </c>
      <c r="H180" s="5" t="s">
        <v>53</v>
      </c>
      <c r="I180" s="5" t="s">
        <v>112</v>
      </c>
      <c r="J180" s="5" t="s">
        <v>16</v>
      </c>
      <c r="K180" s="5" t="s">
        <v>17</v>
      </c>
      <c r="L180" s="5" t="s">
        <v>18</v>
      </c>
    </row>
    <row r="181" spans="1:12" x14ac:dyDescent="0.2">
      <c r="A181" s="6" t="str">
        <f>_xlfn.TEXTBEFORE(E181,"-")</f>
        <v>3</v>
      </c>
      <c r="B181" s="1" t="str">
        <f>_xlfn.TEXTBEFORE(_xlfn.TEXTAFTER(E181,"-"),"-")</f>
        <v>32</v>
      </c>
      <c r="C181" s="15">
        <f ca="1">IF(SEV_REQUEST[[#This Row],[Created date]]="","",TODAY()-SEV_REQUEST[[#This Row],[Created date]])</f>
        <v>2</v>
      </c>
      <c r="D181" s="2" t="s">
        <v>132</v>
      </c>
      <c r="E181" s="3" t="s">
        <v>133</v>
      </c>
      <c r="F181" s="3" t="s">
        <v>83</v>
      </c>
      <c r="G181" s="3" t="s">
        <v>12</v>
      </c>
      <c r="H181" s="3" t="s">
        <v>29</v>
      </c>
      <c r="I181" s="3" t="s">
        <v>134</v>
      </c>
      <c r="J181" s="3" t="s">
        <v>16</v>
      </c>
      <c r="K181" s="3" t="s">
        <v>17</v>
      </c>
      <c r="L181" s="3" t="s">
        <v>18</v>
      </c>
    </row>
    <row r="182" spans="1:12" x14ac:dyDescent="0.2">
      <c r="A182" s="6" t="str">
        <f>_xlfn.TEXTBEFORE(E182,"-")</f>
        <v>5</v>
      </c>
      <c r="B182" s="1" t="str">
        <f>_xlfn.TEXTBEFORE(_xlfn.TEXTAFTER(E182,"-"),"-")</f>
        <v>18</v>
      </c>
      <c r="C182" s="16">
        <f ca="1">IF(SEV_REQUEST[[#This Row],[Created date]]="","",TODAY()-SEV_REQUEST[[#This Row],[Created date]])</f>
        <v>2</v>
      </c>
      <c r="D182" s="4" t="s">
        <v>150</v>
      </c>
      <c r="E182" s="5" t="s">
        <v>151</v>
      </c>
      <c r="F182" s="5" t="s">
        <v>83</v>
      </c>
      <c r="G182" s="5" t="s">
        <v>12</v>
      </c>
      <c r="H182" s="5" t="s">
        <v>77</v>
      </c>
      <c r="I182" s="5" t="s">
        <v>78</v>
      </c>
      <c r="J182" s="5" t="s">
        <v>16</v>
      </c>
      <c r="K182" s="5" t="s">
        <v>17</v>
      </c>
      <c r="L182" s="5" t="s">
        <v>18</v>
      </c>
    </row>
    <row r="183" spans="1:12" x14ac:dyDescent="0.2">
      <c r="A183" s="6" t="str">
        <f>_xlfn.TEXTBEFORE(E183,"-")</f>
        <v>7</v>
      </c>
      <c r="B183" s="1" t="str">
        <f>_xlfn.TEXTBEFORE(_xlfn.TEXTAFTER(E183,"-"),"-")</f>
        <v>02</v>
      </c>
      <c r="C183" s="15">
        <f ca="1">IF(SEV_REQUEST[[#This Row],[Created date]]="","",TODAY()-SEV_REQUEST[[#This Row],[Created date]])</f>
        <v>2</v>
      </c>
      <c r="D183" s="2" t="s">
        <v>155</v>
      </c>
      <c r="E183" s="3" t="s">
        <v>156</v>
      </c>
      <c r="F183" s="3" t="s">
        <v>83</v>
      </c>
      <c r="G183" s="3" t="s">
        <v>12</v>
      </c>
      <c r="H183" s="3" t="s">
        <v>29</v>
      </c>
      <c r="I183" s="3" t="s">
        <v>157</v>
      </c>
      <c r="J183" s="3" t="s">
        <v>16</v>
      </c>
      <c r="K183" s="3" t="s">
        <v>17</v>
      </c>
      <c r="L183" s="3" t="s">
        <v>18</v>
      </c>
    </row>
    <row r="184" spans="1:12" x14ac:dyDescent="0.2">
      <c r="A184" s="6" t="str">
        <f>_xlfn.TEXTBEFORE(E184,"-")</f>
        <v>7</v>
      </c>
      <c r="B184" s="1" t="str">
        <f>_xlfn.TEXTBEFORE(_xlfn.TEXTAFTER(E184,"-"),"-")</f>
        <v>02</v>
      </c>
      <c r="C184" s="16">
        <f ca="1">IF(SEV_REQUEST[[#This Row],[Created date]]="","",TODAY()-SEV_REQUEST[[#This Row],[Created date]])</f>
        <v>2</v>
      </c>
      <c r="D184" s="4" t="s">
        <v>158</v>
      </c>
      <c r="E184" s="5" t="s">
        <v>156</v>
      </c>
      <c r="F184" s="5" t="s">
        <v>83</v>
      </c>
      <c r="G184" s="5" t="s">
        <v>12</v>
      </c>
      <c r="H184" s="5" t="s">
        <v>126</v>
      </c>
      <c r="I184" s="5" t="s">
        <v>159</v>
      </c>
      <c r="J184" s="5" t="s">
        <v>16</v>
      </c>
      <c r="K184" s="5" t="s">
        <v>17</v>
      </c>
      <c r="L184" s="5" t="s">
        <v>18</v>
      </c>
    </row>
    <row r="185" spans="1:12" x14ac:dyDescent="0.2">
      <c r="A185" s="6" t="str">
        <f>_xlfn.TEXTBEFORE(E185,"-")</f>
        <v>4c</v>
      </c>
      <c r="B185" s="1" t="str">
        <f>_xlfn.TEXTBEFORE(_xlfn.TEXTAFTER(E185,"-"),"-")</f>
        <v>01</v>
      </c>
      <c r="C185" s="15">
        <f ca="1">IF(SEV_REQUEST[[#This Row],[Created date]]="","",TODAY()-SEV_REQUEST[[#This Row],[Created date]])</f>
        <v>2</v>
      </c>
      <c r="D185" s="2" t="s">
        <v>164</v>
      </c>
      <c r="E185" s="3" t="s">
        <v>165</v>
      </c>
      <c r="F185" s="3" t="s">
        <v>83</v>
      </c>
      <c r="G185" s="3" t="s">
        <v>12</v>
      </c>
      <c r="H185" s="3" t="s">
        <v>14</v>
      </c>
      <c r="I185" s="3" t="s">
        <v>15</v>
      </c>
      <c r="J185" s="3" t="s">
        <v>16</v>
      </c>
      <c r="K185" s="3" t="s">
        <v>17</v>
      </c>
      <c r="L185" s="3" t="s">
        <v>18</v>
      </c>
    </row>
    <row r="186" spans="1:12" x14ac:dyDescent="0.2">
      <c r="A186" s="6" t="str">
        <f>_xlfn.TEXTBEFORE(E186,"-")</f>
        <v>3</v>
      </c>
      <c r="B186" s="1" t="str">
        <f>_xlfn.TEXTBEFORE(_xlfn.TEXTAFTER(E186,"-"),"-")</f>
        <v>09</v>
      </c>
      <c r="C186" s="15">
        <f ca="1">IF(SEV_REQUEST[[#This Row],[Created date]]="","",TODAY()-SEV_REQUEST[[#This Row],[Created date]])</f>
        <v>2</v>
      </c>
      <c r="D186" s="2" t="s">
        <v>169</v>
      </c>
      <c r="E186" s="3" t="s">
        <v>167</v>
      </c>
      <c r="F186" s="3" t="s">
        <v>83</v>
      </c>
      <c r="G186" s="3" t="s">
        <v>12</v>
      </c>
      <c r="H186" s="3" t="s">
        <v>29</v>
      </c>
      <c r="I186" s="3" t="s">
        <v>170</v>
      </c>
      <c r="J186" s="3" t="s">
        <v>16</v>
      </c>
      <c r="K186" s="3" t="s">
        <v>17</v>
      </c>
      <c r="L186" s="3" t="s">
        <v>18</v>
      </c>
    </row>
    <row r="187" spans="1:12" x14ac:dyDescent="0.2">
      <c r="A187" s="6" t="str">
        <f>_xlfn.TEXTBEFORE(E187,"-")</f>
        <v>8</v>
      </c>
      <c r="B187" s="1" t="str">
        <f>_xlfn.TEXTBEFORE(_xlfn.TEXTAFTER(E187,"-"),"-")</f>
        <v>01</v>
      </c>
      <c r="C187" s="15">
        <f ca="1">IF(SEV_REQUEST[[#This Row],[Created date]]="","",TODAY()-SEV_REQUEST[[#This Row],[Created date]])</f>
        <v>1</v>
      </c>
      <c r="D187" s="2" t="s">
        <v>10</v>
      </c>
      <c r="E187" s="3" t="s">
        <v>11</v>
      </c>
      <c r="F187" s="3" t="s">
        <v>12</v>
      </c>
      <c r="G187" s="3" t="s">
        <v>13</v>
      </c>
      <c r="H187" s="3" t="s">
        <v>14</v>
      </c>
      <c r="I187" s="3" t="s">
        <v>15</v>
      </c>
      <c r="J187" s="3" t="s">
        <v>16</v>
      </c>
      <c r="K187" s="3" t="s">
        <v>17</v>
      </c>
      <c r="L187" s="3" t="s">
        <v>18</v>
      </c>
    </row>
    <row r="188" spans="1:12" x14ac:dyDescent="0.2">
      <c r="A188" s="6" t="str">
        <f>_xlfn.TEXTBEFORE(E188,"-")</f>
        <v>8</v>
      </c>
      <c r="B188" s="1" t="str">
        <f>_xlfn.TEXTBEFORE(_xlfn.TEXTAFTER(E188,"-"),"-")</f>
        <v>01</v>
      </c>
      <c r="C188" s="16">
        <f ca="1">IF(SEV_REQUEST[[#This Row],[Created date]]="","",TODAY()-SEV_REQUEST[[#This Row],[Created date]])</f>
        <v>1</v>
      </c>
      <c r="D188" s="4" t="s">
        <v>19</v>
      </c>
      <c r="E188" s="5" t="s">
        <v>20</v>
      </c>
      <c r="F188" s="5" t="s">
        <v>12</v>
      </c>
      <c r="G188" s="5" t="s">
        <v>13</v>
      </c>
      <c r="H188" s="5" t="s">
        <v>21</v>
      </c>
      <c r="I188" s="5" t="s">
        <v>22</v>
      </c>
      <c r="J188" s="5" t="s">
        <v>16</v>
      </c>
      <c r="K188" s="5" t="s">
        <v>17</v>
      </c>
      <c r="L188" s="5" t="s">
        <v>18</v>
      </c>
    </row>
    <row r="189" spans="1:12" x14ac:dyDescent="0.2">
      <c r="A189" s="6" t="str">
        <f>_xlfn.TEXTBEFORE(E189,"-")</f>
        <v>4</v>
      </c>
      <c r="B189" s="1" t="str">
        <f>_xlfn.TEXTBEFORE(_xlfn.TEXTAFTER(E189,"-"),"-")</f>
        <v>21</v>
      </c>
      <c r="C189" s="15">
        <f ca="1">IF(SEV_REQUEST[[#This Row],[Created date]]="","",TODAY()-SEV_REQUEST[[#This Row],[Created date]])</f>
        <v>1</v>
      </c>
      <c r="D189" s="2" t="s">
        <v>23</v>
      </c>
      <c r="E189" s="3" t="s">
        <v>24</v>
      </c>
      <c r="F189" s="3" t="s">
        <v>12</v>
      </c>
      <c r="G189" s="3" t="s">
        <v>13</v>
      </c>
      <c r="H189" s="3" t="s">
        <v>25</v>
      </c>
      <c r="I189" s="3" t="s">
        <v>26</v>
      </c>
      <c r="J189" s="3" t="s">
        <v>16</v>
      </c>
      <c r="K189" s="3" t="s">
        <v>17</v>
      </c>
      <c r="L189" s="3" t="s">
        <v>18</v>
      </c>
    </row>
    <row r="190" spans="1:12" x14ac:dyDescent="0.2">
      <c r="A190" s="6" t="str">
        <f>_xlfn.TEXTBEFORE(E190,"-")</f>
        <v>4</v>
      </c>
      <c r="B190" s="1" t="str">
        <f>_xlfn.TEXTBEFORE(_xlfn.TEXTAFTER(E190,"-"),"-")</f>
        <v>27</v>
      </c>
      <c r="C190" s="16">
        <f ca="1">IF(SEV_REQUEST[[#This Row],[Created date]]="","",TODAY()-SEV_REQUEST[[#This Row],[Created date]])</f>
        <v>1</v>
      </c>
      <c r="D190" s="4" t="s">
        <v>27</v>
      </c>
      <c r="E190" s="5" t="s">
        <v>28</v>
      </c>
      <c r="F190" s="5" t="s">
        <v>12</v>
      </c>
      <c r="G190" s="5" t="s">
        <v>13</v>
      </c>
      <c r="H190" s="5" t="s">
        <v>29</v>
      </c>
      <c r="I190" s="5" t="s">
        <v>30</v>
      </c>
      <c r="J190" s="5" t="s">
        <v>16</v>
      </c>
      <c r="K190" s="5" t="s">
        <v>17</v>
      </c>
      <c r="L190" s="5" t="s">
        <v>18</v>
      </c>
    </row>
    <row r="191" spans="1:12" x14ac:dyDescent="0.2">
      <c r="A191" s="6" t="str">
        <f>_xlfn.TEXTBEFORE(E191,"-")</f>
        <v>8</v>
      </c>
      <c r="B191" s="1" t="str">
        <f>_xlfn.TEXTBEFORE(_xlfn.TEXTAFTER(E191,"-"),"-")</f>
        <v>01</v>
      </c>
      <c r="C191" s="15">
        <f ca="1">IF(SEV_REQUEST[[#This Row],[Created date]]="","",TODAY()-SEV_REQUEST[[#This Row],[Created date]])</f>
        <v>1</v>
      </c>
      <c r="D191" s="2" t="s">
        <v>31</v>
      </c>
      <c r="E191" s="3" t="s">
        <v>32</v>
      </c>
      <c r="F191" s="3" t="s">
        <v>12</v>
      </c>
      <c r="G191" s="3" t="s">
        <v>13</v>
      </c>
      <c r="H191" s="3" t="s">
        <v>21</v>
      </c>
      <c r="I191" s="3" t="s">
        <v>15</v>
      </c>
      <c r="J191" s="3" t="s">
        <v>16</v>
      </c>
      <c r="K191" s="3" t="s">
        <v>17</v>
      </c>
      <c r="L191" s="3" t="s">
        <v>18</v>
      </c>
    </row>
    <row r="192" spans="1:12" x14ac:dyDescent="0.2">
      <c r="A192" s="6" t="str">
        <f>_xlfn.TEXTBEFORE(E192,"-")</f>
        <v>4</v>
      </c>
      <c r="B192" s="1" t="str">
        <f>_xlfn.TEXTBEFORE(_xlfn.TEXTAFTER(E192,"-"),"-")</f>
        <v>22</v>
      </c>
      <c r="C192" s="16">
        <f ca="1">IF(SEV_REQUEST[[#This Row],[Created date]]="","",TODAY()-SEV_REQUEST[[#This Row],[Created date]])</f>
        <v>1</v>
      </c>
      <c r="D192" s="4" t="s">
        <v>33</v>
      </c>
      <c r="E192" s="5" t="s">
        <v>34</v>
      </c>
      <c r="F192" s="5" t="s">
        <v>12</v>
      </c>
      <c r="G192" s="5" t="s">
        <v>13</v>
      </c>
      <c r="H192" s="5" t="s">
        <v>35</v>
      </c>
      <c r="I192" s="5" t="s">
        <v>15</v>
      </c>
      <c r="J192" s="5" t="s">
        <v>16</v>
      </c>
      <c r="K192" s="5" t="s">
        <v>17</v>
      </c>
      <c r="L192" s="5" t="s">
        <v>18</v>
      </c>
    </row>
    <row r="193" spans="1:12" x14ac:dyDescent="0.2">
      <c r="A193" s="6" t="str">
        <f>_xlfn.TEXTBEFORE(E193,"-")</f>
        <v>8</v>
      </c>
      <c r="B193" s="1" t="str">
        <f>_xlfn.TEXTBEFORE(_xlfn.TEXTAFTER(E193,"-"),"-")</f>
        <v>01</v>
      </c>
      <c r="C193" s="15">
        <f ca="1">IF(SEV_REQUEST[[#This Row],[Created date]]="","",TODAY()-SEV_REQUEST[[#This Row],[Created date]])</f>
        <v>1</v>
      </c>
      <c r="D193" s="2" t="s">
        <v>36</v>
      </c>
      <c r="E193" s="3" t="s">
        <v>37</v>
      </c>
      <c r="F193" s="3" t="s">
        <v>12</v>
      </c>
      <c r="G193" s="3" t="s">
        <v>13</v>
      </c>
      <c r="H193" s="3" t="s">
        <v>25</v>
      </c>
      <c r="I193" s="3" t="s">
        <v>38</v>
      </c>
      <c r="J193" s="3" t="s">
        <v>16</v>
      </c>
      <c r="K193" s="3" t="s">
        <v>17</v>
      </c>
      <c r="L193" s="3" t="s">
        <v>18</v>
      </c>
    </row>
    <row r="194" spans="1:12" x14ac:dyDescent="0.2">
      <c r="A194" s="6" t="str">
        <f>_xlfn.TEXTBEFORE(E194,"-")</f>
        <v>3</v>
      </c>
      <c r="B194" s="1" t="str">
        <f>_xlfn.TEXTBEFORE(_xlfn.TEXTAFTER(E194,"-"),"-")</f>
        <v>31</v>
      </c>
      <c r="C194" s="16">
        <f ca="1">IF(SEV_REQUEST[[#This Row],[Created date]]="","",TODAY()-SEV_REQUEST[[#This Row],[Created date]])</f>
        <v>1</v>
      </c>
      <c r="D194" s="4" t="s">
        <v>39</v>
      </c>
      <c r="E194" s="5" t="s">
        <v>40</v>
      </c>
      <c r="F194" s="5" t="s">
        <v>12</v>
      </c>
      <c r="G194" s="5" t="s">
        <v>13</v>
      </c>
      <c r="H194" s="5" t="s">
        <v>21</v>
      </c>
      <c r="I194" s="5" t="s">
        <v>41</v>
      </c>
      <c r="J194" s="5" t="s">
        <v>16</v>
      </c>
      <c r="K194" s="5" t="s">
        <v>17</v>
      </c>
      <c r="L194" s="5" t="s">
        <v>18</v>
      </c>
    </row>
    <row r="195" spans="1:12" x14ac:dyDescent="0.2">
      <c r="A195" s="6" t="str">
        <f>_xlfn.TEXTBEFORE(E195,"-")</f>
        <v>3</v>
      </c>
      <c r="B195" s="1" t="str">
        <f>_xlfn.TEXTBEFORE(_xlfn.TEXTAFTER(E195,"-"),"-")</f>
        <v>27</v>
      </c>
      <c r="C195" s="16">
        <f ca="1">IF(SEV_REQUEST[[#This Row],[Created date]]="","",TODAY()-SEV_REQUEST[[#This Row],[Created date]])</f>
        <v>1</v>
      </c>
      <c r="D195" s="4" t="s">
        <v>46</v>
      </c>
      <c r="E195" s="5" t="s">
        <v>47</v>
      </c>
      <c r="F195" s="5" t="s">
        <v>12</v>
      </c>
      <c r="G195" s="5" t="s">
        <v>13</v>
      </c>
      <c r="H195" s="5" t="s">
        <v>21</v>
      </c>
      <c r="I195" s="5" t="s">
        <v>15</v>
      </c>
      <c r="J195" s="5" t="s">
        <v>16</v>
      </c>
      <c r="K195" s="5" t="s">
        <v>17</v>
      </c>
      <c r="L195" s="5" t="s">
        <v>18</v>
      </c>
    </row>
    <row r="196" spans="1:12" x14ac:dyDescent="0.2">
      <c r="A196" s="6" t="str">
        <f>_xlfn.TEXTBEFORE(E196,"-")</f>
        <v>4</v>
      </c>
      <c r="B196" s="1" t="str">
        <f>_xlfn.TEXTBEFORE(_xlfn.TEXTAFTER(E196,"-"),"-")</f>
        <v>25</v>
      </c>
      <c r="C196" s="16">
        <f ca="1">IF(SEV_REQUEST[[#This Row],[Created date]]="","",TODAY()-SEV_REQUEST[[#This Row],[Created date]])</f>
        <v>1</v>
      </c>
      <c r="D196" s="4" t="s">
        <v>51</v>
      </c>
      <c r="E196" s="5" t="s">
        <v>52</v>
      </c>
      <c r="F196" s="5" t="s">
        <v>12</v>
      </c>
      <c r="G196" s="5" t="s">
        <v>13</v>
      </c>
      <c r="H196" s="5" t="s">
        <v>53</v>
      </c>
      <c r="I196" s="5" t="s">
        <v>54</v>
      </c>
      <c r="J196" s="5" t="s">
        <v>16</v>
      </c>
      <c r="K196" s="5" t="s">
        <v>17</v>
      </c>
      <c r="L196" s="5" t="s">
        <v>18</v>
      </c>
    </row>
    <row r="197" spans="1:12" x14ac:dyDescent="0.2">
      <c r="A197" s="6" t="str">
        <f>_xlfn.TEXTBEFORE(E197,"-")</f>
        <v>3</v>
      </c>
      <c r="B197" s="1" t="str">
        <f>_xlfn.TEXTBEFORE(_xlfn.TEXTAFTER(E197,"-"),"-")</f>
        <v>18</v>
      </c>
      <c r="C197" s="16">
        <f ca="1">IF(SEV_REQUEST[[#This Row],[Created date]]="","",TODAY()-SEV_REQUEST[[#This Row],[Created date]])</f>
        <v>1</v>
      </c>
      <c r="D197" s="4" t="s">
        <v>59</v>
      </c>
      <c r="E197" s="5" t="s">
        <v>60</v>
      </c>
      <c r="F197" s="5" t="s">
        <v>12</v>
      </c>
      <c r="G197" s="5" t="s">
        <v>13</v>
      </c>
      <c r="H197" s="5" t="s">
        <v>21</v>
      </c>
      <c r="I197" s="5" t="s">
        <v>15</v>
      </c>
      <c r="J197" s="5" t="s">
        <v>16</v>
      </c>
      <c r="K197" s="5" t="s">
        <v>17</v>
      </c>
      <c r="L197" s="5" t="s">
        <v>18</v>
      </c>
    </row>
    <row r="198" spans="1:12" x14ac:dyDescent="0.2">
      <c r="A198" s="6" t="str">
        <f>_xlfn.TEXTBEFORE(E198,"-")</f>
        <v>5</v>
      </c>
      <c r="B198" s="1" t="str">
        <f>_xlfn.TEXTBEFORE(_xlfn.TEXTAFTER(E198,"-"),"-")</f>
        <v>18</v>
      </c>
      <c r="C198" s="15">
        <f ca="1">IF(SEV_REQUEST[[#This Row],[Created date]]="","",TODAY()-SEV_REQUEST[[#This Row],[Created date]])</f>
        <v>1</v>
      </c>
      <c r="D198" s="2" t="s">
        <v>61</v>
      </c>
      <c r="E198" s="3" t="s">
        <v>62</v>
      </c>
      <c r="F198" s="3" t="s">
        <v>12</v>
      </c>
      <c r="G198" s="3" t="s">
        <v>13</v>
      </c>
      <c r="H198" s="3" t="s">
        <v>25</v>
      </c>
      <c r="I198" s="3" t="s">
        <v>63</v>
      </c>
      <c r="J198" s="3" t="s">
        <v>16</v>
      </c>
      <c r="K198" s="3" t="s">
        <v>17</v>
      </c>
      <c r="L198" s="3" t="s">
        <v>18</v>
      </c>
    </row>
    <row r="199" spans="1:12" x14ac:dyDescent="0.2">
      <c r="A199" s="6" t="str">
        <f>_xlfn.TEXTBEFORE(E199,"-")</f>
        <v>5</v>
      </c>
      <c r="B199" s="1" t="str">
        <f>_xlfn.TEXTBEFORE(_xlfn.TEXTAFTER(E199,"-"),"-")</f>
        <v>18</v>
      </c>
      <c r="C199" s="16">
        <f ca="1">IF(SEV_REQUEST[[#This Row],[Created date]]="","",TODAY()-SEV_REQUEST[[#This Row],[Created date]])</f>
        <v>1</v>
      </c>
      <c r="D199" s="4" t="s">
        <v>64</v>
      </c>
      <c r="E199" s="5" t="s">
        <v>65</v>
      </c>
      <c r="F199" s="5" t="s">
        <v>12</v>
      </c>
      <c r="G199" s="5" t="s">
        <v>13</v>
      </c>
      <c r="H199" s="5" t="s">
        <v>25</v>
      </c>
      <c r="I199" s="5" t="s">
        <v>66</v>
      </c>
      <c r="J199" s="5" t="s">
        <v>16</v>
      </c>
      <c r="K199" s="5" t="s">
        <v>17</v>
      </c>
      <c r="L199" s="5" t="s">
        <v>18</v>
      </c>
    </row>
    <row r="200" spans="1:12" x14ac:dyDescent="0.2">
      <c r="A200" s="6" t="str">
        <f>_xlfn.TEXTBEFORE(E200,"-")</f>
        <v>3</v>
      </c>
      <c r="B200" s="1" t="str">
        <f>_xlfn.TEXTBEFORE(_xlfn.TEXTAFTER(E200,"-"),"-")</f>
        <v>09</v>
      </c>
      <c r="C200" s="15">
        <f ca="1">IF(SEV_REQUEST[[#This Row],[Created date]]="","",TODAY()-SEV_REQUEST[[#This Row],[Created date]])</f>
        <v>1</v>
      </c>
      <c r="D200" s="2" t="s">
        <v>67</v>
      </c>
      <c r="E200" s="3" t="s">
        <v>68</v>
      </c>
      <c r="F200" s="3" t="s">
        <v>12</v>
      </c>
      <c r="G200" s="3" t="s">
        <v>13</v>
      </c>
      <c r="H200" s="3" t="s">
        <v>14</v>
      </c>
      <c r="I200" s="3" t="s">
        <v>69</v>
      </c>
      <c r="J200" s="3" t="s">
        <v>16</v>
      </c>
      <c r="K200" s="3" t="s">
        <v>17</v>
      </c>
      <c r="L200" s="3" t="s">
        <v>18</v>
      </c>
    </row>
    <row r="201" spans="1:12" x14ac:dyDescent="0.2">
      <c r="A201" s="6" t="str">
        <f>_xlfn.TEXTBEFORE(E201,"-")</f>
        <v>4</v>
      </c>
      <c r="B201" s="1" t="str">
        <f>_xlfn.TEXTBEFORE(_xlfn.TEXTAFTER(E201,"-"),"-")</f>
        <v>01</v>
      </c>
      <c r="C201" s="15">
        <f ca="1">IF(SEV_REQUEST[[#This Row],[Created date]]="","",TODAY()-SEV_REQUEST[[#This Row],[Created date]])</f>
        <v>1</v>
      </c>
      <c r="D201" s="2" t="s">
        <v>73</v>
      </c>
      <c r="E201" s="3" t="s">
        <v>74</v>
      </c>
      <c r="F201" s="3" t="s">
        <v>12</v>
      </c>
      <c r="G201" s="3" t="s">
        <v>13</v>
      </c>
      <c r="H201" s="3" t="s">
        <v>25</v>
      </c>
      <c r="I201" s="3" t="s">
        <v>38</v>
      </c>
      <c r="J201" s="3" t="s">
        <v>16</v>
      </c>
      <c r="K201" s="3" t="s">
        <v>17</v>
      </c>
      <c r="L201" s="3" t="s">
        <v>18</v>
      </c>
    </row>
    <row r="202" spans="1:12" x14ac:dyDescent="0.2">
      <c r="A202" s="6" t="str">
        <f>_xlfn.TEXTBEFORE(E202,"-")</f>
        <v>4</v>
      </c>
      <c r="B202" s="1" t="str">
        <f>_xlfn.TEXTBEFORE(_xlfn.TEXTAFTER(E202,"-"),"-")</f>
        <v>23</v>
      </c>
      <c r="C202" s="16">
        <f ca="1">IF(SEV_REQUEST[[#This Row],[Created date]]="","",TODAY()-SEV_REQUEST[[#This Row],[Created date]])</f>
        <v>1</v>
      </c>
      <c r="D202" s="4" t="s">
        <v>75</v>
      </c>
      <c r="E202" s="5" t="s">
        <v>76</v>
      </c>
      <c r="F202" s="5" t="s">
        <v>12</v>
      </c>
      <c r="G202" s="5" t="s">
        <v>13</v>
      </c>
      <c r="H202" s="5" t="s">
        <v>77</v>
      </c>
      <c r="I202" s="5" t="s">
        <v>78</v>
      </c>
      <c r="J202" s="5" t="s">
        <v>16</v>
      </c>
      <c r="K202" s="5" t="s">
        <v>17</v>
      </c>
      <c r="L202" s="5" t="s">
        <v>18</v>
      </c>
    </row>
    <row r="203" spans="1:12" x14ac:dyDescent="0.2">
      <c r="A203" s="6" t="str">
        <f>_xlfn.TEXTBEFORE(E203,"-")</f>
        <v>3</v>
      </c>
      <c r="B203" s="1" t="str">
        <f>_xlfn.TEXTBEFORE(_xlfn.TEXTAFTER(E203,"-"),"-")</f>
        <v>28</v>
      </c>
      <c r="C203" s="16">
        <f ca="1">IF(SEV_REQUEST[[#This Row],[Created date]]="","",TODAY()-SEV_REQUEST[[#This Row],[Created date]])</f>
        <v>58</v>
      </c>
      <c r="D203" s="4" t="s">
        <v>566</v>
      </c>
      <c r="E203" s="5" t="s">
        <v>391</v>
      </c>
      <c r="F203" s="5" t="s">
        <v>565</v>
      </c>
      <c r="G203" s="5" t="s">
        <v>560</v>
      </c>
      <c r="H203" s="5" t="s">
        <v>44</v>
      </c>
      <c r="I203" s="5" t="s">
        <v>374</v>
      </c>
      <c r="J203" s="5" t="s">
        <v>57</v>
      </c>
      <c r="K203" s="5" t="s">
        <v>17</v>
      </c>
      <c r="L203" s="5" t="s">
        <v>18</v>
      </c>
    </row>
    <row r="204" spans="1:12" x14ac:dyDescent="0.2">
      <c r="A204" s="6" t="str">
        <f>_xlfn.TEXTBEFORE(E204,"-")</f>
        <v>3</v>
      </c>
      <c r="B204" s="1" t="str">
        <f>_xlfn.TEXTBEFORE(_xlfn.TEXTAFTER(E204,"-"),"-")</f>
        <v>24</v>
      </c>
      <c r="C204" s="15">
        <f ca="1">IF(SEV_REQUEST[[#This Row],[Created date]]="","",TODAY()-SEV_REQUEST[[#This Row],[Created date]])</f>
        <v>32</v>
      </c>
      <c r="D204" s="2" t="s">
        <v>484</v>
      </c>
      <c r="E204" s="3" t="s">
        <v>485</v>
      </c>
      <c r="F204" s="3" t="s">
        <v>483</v>
      </c>
      <c r="G204" s="3" t="s">
        <v>481</v>
      </c>
      <c r="H204" s="3" t="s">
        <v>25</v>
      </c>
      <c r="I204" s="3" t="s">
        <v>15</v>
      </c>
      <c r="J204" s="3" t="s">
        <v>57</v>
      </c>
      <c r="K204" s="3" t="s">
        <v>17</v>
      </c>
      <c r="L204" s="3" t="s">
        <v>18</v>
      </c>
    </row>
    <row r="205" spans="1:12" x14ac:dyDescent="0.2">
      <c r="A205" s="6" t="str">
        <f>_xlfn.TEXTBEFORE(E205,"-")</f>
        <v>3</v>
      </c>
      <c r="B205" s="1" t="str">
        <f>_xlfn.TEXTBEFORE(_xlfn.TEXTAFTER(E205,"-"),"-")</f>
        <v>33</v>
      </c>
      <c r="C205" s="15">
        <f ca="1">IF(SEV_REQUEST[[#This Row],[Created date]]="","",TODAY()-SEV_REQUEST[[#This Row],[Created date]])</f>
        <v>29</v>
      </c>
      <c r="D205" s="2" t="s">
        <v>472</v>
      </c>
      <c r="E205" s="3" t="s">
        <v>473</v>
      </c>
      <c r="F205" s="3" t="s">
        <v>474</v>
      </c>
      <c r="G205" s="3" t="s">
        <v>468</v>
      </c>
      <c r="H205" s="3" t="s">
        <v>29</v>
      </c>
      <c r="I205" s="3" t="s">
        <v>475</v>
      </c>
      <c r="J205" s="3" t="s">
        <v>57</v>
      </c>
      <c r="K205" s="3" t="s">
        <v>17</v>
      </c>
      <c r="L205" s="3" t="s">
        <v>18</v>
      </c>
    </row>
    <row r="206" spans="1:12" x14ac:dyDescent="0.2">
      <c r="A206" s="6" t="str">
        <f>_xlfn.TEXTBEFORE(E206,"-")</f>
        <v>3</v>
      </c>
      <c r="B206" s="1" t="str">
        <f>_xlfn.TEXTBEFORE(_xlfn.TEXTAFTER(E206,"-"),"-")</f>
        <v>33</v>
      </c>
      <c r="C206" s="15">
        <f ca="1">IF(SEV_REQUEST[[#This Row],[Created date]]="","",TODAY()-SEV_REQUEST[[#This Row],[Created date]])</f>
        <v>23</v>
      </c>
      <c r="D206" s="2" t="s">
        <v>433</v>
      </c>
      <c r="E206" s="3" t="s">
        <v>434</v>
      </c>
      <c r="F206" s="3" t="s">
        <v>435</v>
      </c>
      <c r="G206" s="3" t="s">
        <v>436</v>
      </c>
      <c r="H206" s="3" t="s">
        <v>25</v>
      </c>
      <c r="I206" s="3" t="s">
        <v>437</v>
      </c>
      <c r="J206" s="3" t="s">
        <v>57</v>
      </c>
      <c r="K206" s="3" t="s">
        <v>17</v>
      </c>
      <c r="L206" s="3" t="s">
        <v>18</v>
      </c>
    </row>
    <row r="207" spans="1:12" x14ac:dyDescent="0.2">
      <c r="A207" s="6" t="str">
        <f>_xlfn.TEXTBEFORE(E207,"-")</f>
        <v>3</v>
      </c>
      <c r="B207" s="1" t="str">
        <f>_xlfn.TEXTBEFORE(_xlfn.TEXTAFTER(E207,"-"),"-")</f>
        <v>28</v>
      </c>
      <c r="C207" s="15">
        <f ca="1">IF(SEV_REQUEST[[#This Row],[Created date]]="","",TODAY()-SEV_REQUEST[[#This Row],[Created date]])</f>
        <v>18</v>
      </c>
      <c r="D207" s="2" t="s">
        <v>390</v>
      </c>
      <c r="E207" s="3" t="s">
        <v>391</v>
      </c>
      <c r="F207" s="3" t="s">
        <v>392</v>
      </c>
      <c r="G207" s="3" t="s">
        <v>388</v>
      </c>
      <c r="H207" s="3" t="s">
        <v>99</v>
      </c>
      <c r="I207" s="3" t="s">
        <v>100</v>
      </c>
      <c r="J207" s="3" t="s">
        <v>57</v>
      </c>
      <c r="K207" s="3" t="s">
        <v>17</v>
      </c>
      <c r="L207" s="3" t="s">
        <v>18</v>
      </c>
    </row>
    <row r="208" spans="1:12" x14ac:dyDescent="0.2">
      <c r="A208" s="6" t="str">
        <f>_xlfn.TEXTBEFORE(E208,"-")</f>
        <v>3</v>
      </c>
      <c r="B208" s="1" t="str">
        <f>_xlfn.TEXTBEFORE(_xlfn.TEXTAFTER(E208,"-"),"-")</f>
        <v>30</v>
      </c>
      <c r="C208" s="15">
        <f ca="1">IF(SEV_REQUEST[[#This Row],[Created date]]="","",TODAY()-SEV_REQUEST[[#This Row],[Created date]])</f>
        <v>13</v>
      </c>
      <c r="D208" s="2" t="s">
        <v>340</v>
      </c>
      <c r="E208" s="3" t="s">
        <v>96</v>
      </c>
      <c r="F208" s="3" t="s">
        <v>336</v>
      </c>
      <c r="G208" s="3" t="s">
        <v>333</v>
      </c>
      <c r="H208" s="3" t="s">
        <v>29</v>
      </c>
      <c r="I208" s="3" t="s">
        <v>234</v>
      </c>
      <c r="J208" s="3" t="s">
        <v>57</v>
      </c>
      <c r="K208" s="3" t="s">
        <v>17</v>
      </c>
      <c r="L208" s="3" t="s">
        <v>18</v>
      </c>
    </row>
    <row r="209" spans="1:12" x14ac:dyDescent="0.2">
      <c r="A209" s="6" t="str">
        <f>_xlfn.TEXTBEFORE(E209,"-")</f>
        <v>3</v>
      </c>
      <c r="B209" s="1" t="str">
        <f>_xlfn.TEXTBEFORE(_xlfn.TEXTAFTER(E209,"-"),"-")</f>
        <v>20</v>
      </c>
      <c r="C209" s="15">
        <f ca="1">IF(SEV_REQUEST[[#This Row],[Created date]]="","",TODAY()-SEV_REQUEST[[#This Row],[Created date]])</f>
        <v>9</v>
      </c>
      <c r="D209" s="2" t="s">
        <v>297</v>
      </c>
      <c r="E209" s="3" t="s">
        <v>298</v>
      </c>
      <c r="F209" s="3" t="s">
        <v>299</v>
      </c>
      <c r="G209" s="3" t="s">
        <v>292</v>
      </c>
      <c r="H209" s="3" t="s">
        <v>25</v>
      </c>
      <c r="I209" s="3" t="s">
        <v>15</v>
      </c>
      <c r="J209" s="3" t="s">
        <v>57</v>
      </c>
      <c r="K209" s="3" t="s">
        <v>17</v>
      </c>
      <c r="L209" s="3" t="s">
        <v>18</v>
      </c>
    </row>
    <row r="210" spans="1:12" x14ac:dyDescent="0.2">
      <c r="A210" s="6" t="str">
        <f>_xlfn.TEXTBEFORE(E210,"-")</f>
        <v>3</v>
      </c>
      <c r="B210" s="1" t="str">
        <f>_xlfn.TEXTBEFORE(_xlfn.TEXTAFTER(E210,"-"),"-")</f>
        <v>30</v>
      </c>
      <c r="C210" s="16">
        <f ca="1">IF(SEV_REQUEST[[#This Row],[Created date]]="","",TODAY()-SEV_REQUEST[[#This Row],[Created date]])</f>
        <v>7</v>
      </c>
      <c r="D210" s="4" t="s">
        <v>269</v>
      </c>
      <c r="E210" s="5" t="s">
        <v>96</v>
      </c>
      <c r="F210" s="5" t="s">
        <v>265</v>
      </c>
      <c r="G210" s="5" t="s">
        <v>250</v>
      </c>
      <c r="H210" s="5" t="s">
        <v>21</v>
      </c>
      <c r="I210" s="5" t="s">
        <v>15</v>
      </c>
      <c r="J210" s="5" t="s">
        <v>57</v>
      </c>
      <c r="K210" s="5" t="s">
        <v>17</v>
      </c>
      <c r="L210" s="5" t="s">
        <v>18</v>
      </c>
    </row>
    <row r="211" spans="1:12" x14ac:dyDescent="0.2">
      <c r="A211" s="6" t="str">
        <f>_xlfn.TEXTBEFORE(E211,"-")</f>
        <v>3</v>
      </c>
      <c r="B211" s="1" t="str">
        <f>_xlfn.TEXTBEFORE(_xlfn.TEXTAFTER(E211,"-"),"-")</f>
        <v>30</v>
      </c>
      <c r="C211" s="15">
        <f ca="1">IF(SEV_REQUEST[[#This Row],[Created date]]="","",TODAY()-SEV_REQUEST[[#This Row],[Created date]])</f>
        <v>7</v>
      </c>
      <c r="D211" s="2" t="s">
        <v>284</v>
      </c>
      <c r="E211" s="3" t="s">
        <v>96</v>
      </c>
      <c r="F211" s="3" t="s">
        <v>265</v>
      </c>
      <c r="G211" s="3" t="s">
        <v>250</v>
      </c>
      <c r="H211" s="3" t="s">
        <v>21</v>
      </c>
      <c r="I211" s="3" t="s">
        <v>15</v>
      </c>
      <c r="J211" s="3" t="s">
        <v>57</v>
      </c>
      <c r="K211" s="3" t="s">
        <v>17</v>
      </c>
      <c r="L211" s="3" t="s">
        <v>18</v>
      </c>
    </row>
    <row r="212" spans="1:12" x14ac:dyDescent="0.2">
      <c r="A212" s="6" t="str">
        <f>_xlfn.TEXTBEFORE(E212,"-")</f>
        <v>3</v>
      </c>
      <c r="B212" s="1" t="str">
        <f>_xlfn.TEXTBEFORE(_xlfn.TEXTAFTER(E212,"-"),"-")</f>
        <v>30</v>
      </c>
      <c r="C212" s="15">
        <f ca="1">IF(SEV_REQUEST[[#This Row],[Created date]]="","",TODAY()-SEV_REQUEST[[#This Row],[Created date]])</f>
        <v>6</v>
      </c>
      <c r="D212" s="2" t="s">
        <v>251</v>
      </c>
      <c r="E212" s="3" t="s">
        <v>96</v>
      </c>
      <c r="F212" s="3" t="s">
        <v>250</v>
      </c>
      <c r="G212" s="3" t="s">
        <v>245</v>
      </c>
      <c r="H212" s="3" t="s">
        <v>29</v>
      </c>
      <c r="I212" s="3" t="s">
        <v>252</v>
      </c>
      <c r="J212" s="3" t="s">
        <v>57</v>
      </c>
      <c r="K212" s="3" t="s">
        <v>17</v>
      </c>
      <c r="L212" s="3" t="s">
        <v>18</v>
      </c>
    </row>
    <row r="213" spans="1:12" x14ac:dyDescent="0.2">
      <c r="A213" s="6" t="str">
        <f>_xlfn.TEXTBEFORE(E213,"-")</f>
        <v>3</v>
      </c>
      <c r="B213" s="1" t="str">
        <f>_xlfn.TEXTBEFORE(_xlfn.TEXTAFTER(E213,"-"),"-")</f>
        <v>31</v>
      </c>
      <c r="C213" s="16">
        <f ca="1">IF(SEV_REQUEST[[#This Row],[Created date]]="","",TODAY()-SEV_REQUEST[[#This Row],[Created date]])</f>
        <v>4</v>
      </c>
      <c r="D213" s="4" t="s">
        <v>228</v>
      </c>
      <c r="E213" s="5" t="s">
        <v>229</v>
      </c>
      <c r="F213" s="5" t="s">
        <v>226</v>
      </c>
      <c r="G213" s="5" t="s">
        <v>172</v>
      </c>
      <c r="H213" s="5" t="s">
        <v>99</v>
      </c>
      <c r="I213" s="5" t="s">
        <v>195</v>
      </c>
      <c r="J213" s="5" t="s">
        <v>57</v>
      </c>
      <c r="K213" s="5" t="s">
        <v>17</v>
      </c>
      <c r="L213" s="5" t="s">
        <v>18</v>
      </c>
    </row>
    <row r="214" spans="1:12" x14ac:dyDescent="0.2">
      <c r="A214" s="6" t="str">
        <f>_xlfn.TEXTBEFORE(E214,"-")</f>
        <v>3</v>
      </c>
      <c r="B214" s="1" t="str">
        <f>_xlfn.TEXTBEFORE(_xlfn.TEXTAFTER(E214,"-"),"-")</f>
        <v>30</v>
      </c>
      <c r="C214" s="16">
        <f ca="1">IF(SEV_REQUEST[[#This Row],[Created date]]="","",TODAY()-SEV_REQUEST[[#This Row],[Created date]])</f>
        <v>3</v>
      </c>
      <c r="D214" s="4" t="s">
        <v>171</v>
      </c>
      <c r="E214" s="5" t="s">
        <v>96</v>
      </c>
      <c r="F214" s="5" t="s">
        <v>172</v>
      </c>
      <c r="G214" s="5" t="s">
        <v>83</v>
      </c>
      <c r="H214" s="5" t="s">
        <v>25</v>
      </c>
      <c r="I214" s="5" t="s">
        <v>173</v>
      </c>
      <c r="J214" s="5" t="s">
        <v>57</v>
      </c>
      <c r="K214" s="5" t="s">
        <v>17</v>
      </c>
      <c r="L214" s="5" t="s">
        <v>18</v>
      </c>
    </row>
    <row r="215" spans="1:12" x14ac:dyDescent="0.2">
      <c r="A215" s="6" t="str">
        <f>_xlfn.TEXTBEFORE(E215,"-")</f>
        <v>3</v>
      </c>
      <c r="B215" s="1" t="str">
        <f>_xlfn.TEXTBEFORE(_xlfn.TEXTAFTER(E215,"-"),"-")</f>
        <v>32</v>
      </c>
      <c r="C215" s="15">
        <f ca="1">IF(SEV_REQUEST[[#This Row],[Created date]]="","",TODAY()-SEV_REQUEST[[#This Row],[Created date]])</f>
        <v>3</v>
      </c>
      <c r="D215" s="2" t="s">
        <v>215</v>
      </c>
      <c r="E215" s="3" t="s">
        <v>216</v>
      </c>
      <c r="F215" s="3" t="s">
        <v>172</v>
      </c>
      <c r="G215" s="3" t="s">
        <v>83</v>
      </c>
      <c r="H215" s="3" t="s">
        <v>21</v>
      </c>
      <c r="I215" s="3" t="s">
        <v>15</v>
      </c>
      <c r="J215" s="3" t="s">
        <v>57</v>
      </c>
      <c r="K215" s="3" t="s">
        <v>17</v>
      </c>
      <c r="L215" s="3" t="s">
        <v>18</v>
      </c>
    </row>
    <row r="216" spans="1:12" x14ac:dyDescent="0.2">
      <c r="A216" s="6" t="str">
        <f>_xlfn.TEXTBEFORE(E216,"-")</f>
        <v>5</v>
      </c>
      <c r="B216" s="1" t="str">
        <f>_xlfn.TEXTBEFORE(_xlfn.TEXTAFTER(E216,"-"),"-")</f>
        <v>04</v>
      </c>
      <c r="C216" s="15">
        <f ca="1">IF(SEV_REQUEST[[#This Row],[Created date]]="","",TODAY()-SEV_REQUEST[[#This Row],[Created date]])</f>
        <v>50</v>
      </c>
      <c r="D216" s="2" t="s">
        <v>542</v>
      </c>
      <c r="E216" s="3" t="s">
        <v>103</v>
      </c>
      <c r="F216" s="3" t="s">
        <v>543</v>
      </c>
      <c r="G216" s="3" t="s">
        <v>544</v>
      </c>
      <c r="H216" s="3" t="s">
        <v>25</v>
      </c>
      <c r="I216" s="3" t="s">
        <v>545</v>
      </c>
      <c r="J216" s="3" t="s">
        <v>101</v>
      </c>
      <c r="K216" s="3" t="s">
        <v>17</v>
      </c>
      <c r="L216" s="3" t="s">
        <v>89</v>
      </c>
    </row>
    <row r="217" spans="1:12" x14ac:dyDescent="0.2">
      <c r="A217" s="6" t="str">
        <f>_xlfn.TEXTBEFORE(E217,"-")</f>
        <v>5</v>
      </c>
      <c r="B217" s="1" t="str">
        <f>_xlfn.TEXTBEFORE(_xlfn.TEXTAFTER(E217,"-"),"-")</f>
        <v>18</v>
      </c>
      <c r="C217" s="16">
        <f ca="1">IF(SEV_REQUEST[[#This Row],[Created date]]="","",TODAY()-SEV_REQUEST[[#This Row],[Created date]])</f>
        <v>17</v>
      </c>
      <c r="D217" s="4" t="s">
        <v>386</v>
      </c>
      <c r="E217" s="5" t="s">
        <v>387</v>
      </c>
      <c r="F217" s="5" t="s">
        <v>388</v>
      </c>
      <c r="G217" s="5" t="s">
        <v>385</v>
      </c>
      <c r="H217" s="5" t="s">
        <v>29</v>
      </c>
      <c r="I217" s="5" t="s">
        <v>389</v>
      </c>
      <c r="J217" s="5" t="s">
        <v>101</v>
      </c>
      <c r="K217" s="5" t="s">
        <v>17</v>
      </c>
      <c r="L217" s="5" t="s">
        <v>18</v>
      </c>
    </row>
    <row r="218" spans="1:12" x14ac:dyDescent="0.2">
      <c r="A218" s="6" t="str">
        <f>_xlfn.TEXTBEFORE(E218,"-")</f>
        <v>5</v>
      </c>
      <c r="B218" s="1" t="str">
        <f>_xlfn.TEXTBEFORE(_xlfn.TEXTAFTER(E218,"-"),"-")</f>
        <v>18</v>
      </c>
      <c r="C218" s="16">
        <f ca="1">IF(SEV_REQUEST[[#This Row],[Created date]]="","",TODAY()-SEV_REQUEST[[#This Row],[Created date]])</f>
        <v>7</v>
      </c>
      <c r="D218" s="4" t="s">
        <v>272</v>
      </c>
      <c r="E218" s="5" t="s">
        <v>273</v>
      </c>
      <c r="F218" s="5" t="s">
        <v>265</v>
      </c>
      <c r="G218" s="5" t="s">
        <v>250</v>
      </c>
      <c r="H218" s="5" t="s">
        <v>99</v>
      </c>
      <c r="I218" s="5" t="s">
        <v>15</v>
      </c>
      <c r="J218" s="5" t="s">
        <v>101</v>
      </c>
      <c r="K218" s="5" t="s">
        <v>17</v>
      </c>
      <c r="L218" s="5" t="s">
        <v>18</v>
      </c>
    </row>
    <row r="219" spans="1:12" x14ac:dyDescent="0.2">
      <c r="A219" s="6" t="str">
        <f>_xlfn.TEXTBEFORE(E219,"-")</f>
        <v>5</v>
      </c>
      <c r="B219" s="1" t="str">
        <f>_xlfn.TEXTBEFORE(_xlfn.TEXTAFTER(E219,"-"),"-")</f>
        <v>01</v>
      </c>
      <c r="C219" s="15">
        <f ca="1">IF(SEV_REQUEST[[#This Row],[Created date]]="","",TODAY()-SEV_REQUEST[[#This Row],[Created date]])</f>
        <v>4</v>
      </c>
      <c r="D219" s="2" t="s">
        <v>224</v>
      </c>
      <c r="E219" s="3" t="s">
        <v>225</v>
      </c>
      <c r="F219" s="3" t="s">
        <v>226</v>
      </c>
      <c r="G219" s="3" t="s">
        <v>172</v>
      </c>
      <c r="H219" s="3" t="s">
        <v>99</v>
      </c>
      <c r="I219" s="3" t="s">
        <v>227</v>
      </c>
      <c r="J219" s="3" t="s">
        <v>101</v>
      </c>
      <c r="K219" s="3" t="s">
        <v>17</v>
      </c>
      <c r="L219" s="3" t="s">
        <v>18</v>
      </c>
    </row>
    <row r="220" spans="1:12" x14ac:dyDescent="0.2">
      <c r="A220" s="6" t="str">
        <f>_xlfn.TEXTBEFORE(E220,"-")</f>
        <v>7</v>
      </c>
      <c r="B220" s="1" t="str">
        <f>_xlfn.TEXTBEFORE(_xlfn.TEXTAFTER(E220,"-"),"-")</f>
        <v>04</v>
      </c>
      <c r="C220" s="16">
        <f ca="1">IF(SEV_REQUEST[[#This Row],[Created date]]="","",TODAY()-SEV_REQUEST[[#This Row],[Created date]])</f>
        <v>4</v>
      </c>
      <c r="D220" s="4" t="s">
        <v>238</v>
      </c>
      <c r="E220" s="5" t="s">
        <v>239</v>
      </c>
      <c r="F220" s="5" t="s">
        <v>226</v>
      </c>
      <c r="G220" s="5" t="s">
        <v>172</v>
      </c>
      <c r="H220" s="5" t="s">
        <v>21</v>
      </c>
      <c r="I220" s="5" t="s">
        <v>240</v>
      </c>
      <c r="J220" s="5" t="s">
        <v>101</v>
      </c>
      <c r="K220" s="5" t="s">
        <v>17</v>
      </c>
      <c r="L220" s="5" t="s">
        <v>89</v>
      </c>
    </row>
    <row r="221" spans="1:12" x14ac:dyDescent="0.2">
      <c r="A221" s="6" t="str">
        <f>_xlfn.TEXTBEFORE(E221,"-")</f>
        <v>5</v>
      </c>
      <c r="B221" s="1" t="str">
        <f>_xlfn.TEXTBEFORE(_xlfn.TEXTAFTER(E221,"-"),"-")</f>
        <v>02</v>
      </c>
      <c r="C221" s="15">
        <f ca="1">IF(SEV_REQUEST[[#This Row],[Created date]]="","",TODAY()-SEV_REQUEST[[#This Row],[Created date]])</f>
        <v>3</v>
      </c>
      <c r="D221" s="2" t="s">
        <v>174</v>
      </c>
      <c r="E221" s="3" t="s">
        <v>175</v>
      </c>
      <c r="F221" s="3" t="s">
        <v>172</v>
      </c>
      <c r="G221" s="3" t="s">
        <v>83</v>
      </c>
      <c r="H221" s="3" t="s">
        <v>14</v>
      </c>
      <c r="I221" s="3" t="s">
        <v>176</v>
      </c>
      <c r="J221" s="3" t="s">
        <v>101</v>
      </c>
      <c r="K221" s="3" t="s">
        <v>17</v>
      </c>
      <c r="L221" s="3" t="s">
        <v>89</v>
      </c>
    </row>
    <row r="222" spans="1:12" x14ac:dyDescent="0.2">
      <c r="A222" s="6" t="str">
        <f>_xlfn.TEXTBEFORE(E222,"-")</f>
        <v>5</v>
      </c>
      <c r="B222" s="1" t="str">
        <f>_xlfn.TEXTBEFORE(_xlfn.TEXTAFTER(E222,"-"),"-")</f>
        <v>01</v>
      </c>
      <c r="C222" s="15">
        <f ca="1">IF(SEV_REQUEST[[#This Row],[Created date]]="","",TODAY()-SEV_REQUEST[[#This Row],[Created date]])</f>
        <v>3</v>
      </c>
      <c r="D222" s="2" t="s">
        <v>186</v>
      </c>
      <c r="E222" s="3" t="s">
        <v>187</v>
      </c>
      <c r="F222" s="3" t="s">
        <v>172</v>
      </c>
      <c r="G222" s="3" t="s">
        <v>83</v>
      </c>
      <c r="H222" s="3" t="s">
        <v>29</v>
      </c>
      <c r="I222" s="3" t="s">
        <v>15</v>
      </c>
      <c r="J222" s="3" t="s">
        <v>101</v>
      </c>
      <c r="K222" s="3" t="s">
        <v>17</v>
      </c>
      <c r="L222" s="3" t="s">
        <v>18</v>
      </c>
    </row>
    <row r="223" spans="1:12" x14ac:dyDescent="0.2">
      <c r="A223" s="6" t="str">
        <f>_xlfn.TEXTBEFORE(E223,"-")</f>
        <v>5</v>
      </c>
      <c r="B223" s="1" t="str">
        <f>_xlfn.TEXTBEFORE(_xlfn.TEXTAFTER(E223,"-"),"-")</f>
        <v>18</v>
      </c>
      <c r="C223" s="15">
        <f ca="1">IF(SEV_REQUEST[[#This Row],[Created date]]="","",TODAY()-SEV_REQUEST[[#This Row],[Created date]])</f>
        <v>3</v>
      </c>
      <c r="D223" s="2" t="s">
        <v>190</v>
      </c>
      <c r="E223" s="3" t="s">
        <v>191</v>
      </c>
      <c r="F223" s="3" t="s">
        <v>172</v>
      </c>
      <c r="G223" s="3" t="s">
        <v>83</v>
      </c>
      <c r="H223" s="3" t="s">
        <v>35</v>
      </c>
      <c r="I223" s="3" t="s">
        <v>15</v>
      </c>
      <c r="J223" s="3" t="s">
        <v>101</v>
      </c>
      <c r="K223" s="3" t="s">
        <v>17</v>
      </c>
      <c r="L223" s="3" t="s">
        <v>18</v>
      </c>
    </row>
    <row r="224" spans="1:12" x14ac:dyDescent="0.2">
      <c r="A224" s="6" t="str">
        <f>_xlfn.TEXTBEFORE(E224,"-")</f>
        <v>5</v>
      </c>
      <c r="B224" s="1" t="str">
        <f>_xlfn.TEXTBEFORE(_xlfn.TEXTAFTER(E224,"-"),"-")</f>
        <v>17</v>
      </c>
      <c r="C224" s="15">
        <f ca="1">IF(SEV_REQUEST[[#This Row],[Created date]]="","",TODAY()-SEV_REQUEST[[#This Row],[Created date]])</f>
        <v>2</v>
      </c>
      <c r="D224" s="2" t="s">
        <v>97</v>
      </c>
      <c r="E224" s="3" t="s">
        <v>98</v>
      </c>
      <c r="F224" s="3" t="s">
        <v>83</v>
      </c>
      <c r="G224" s="3" t="s">
        <v>12</v>
      </c>
      <c r="H224" s="3" t="s">
        <v>99</v>
      </c>
      <c r="I224" s="3" t="s">
        <v>100</v>
      </c>
      <c r="J224" s="3" t="s">
        <v>101</v>
      </c>
      <c r="K224" s="3" t="s">
        <v>17</v>
      </c>
      <c r="L224" s="3" t="s">
        <v>89</v>
      </c>
    </row>
    <row r="225" spans="1:12" x14ac:dyDescent="0.2">
      <c r="A225" s="6" t="str">
        <f>_xlfn.TEXTBEFORE(E225,"-")</f>
        <v>5</v>
      </c>
      <c r="B225" s="1" t="str">
        <f>_xlfn.TEXTBEFORE(_xlfn.TEXTAFTER(E225,"-"),"-")</f>
        <v>18</v>
      </c>
      <c r="C225" s="16">
        <f ca="1">IF(SEV_REQUEST[[#This Row],[Created date]]="","",TODAY()-SEV_REQUEST[[#This Row],[Created date]])</f>
        <v>2</v>
      </c>
      <c r="D225" s="4" t="s">
        <v>117</v>
      </c>
      <c r="E225" s="5" t="s">
        <v>118</v>
      </c>
      <c r="F225" s="5" t="s">
        <v>83</v>
      </c>
      <c r="G225" s="5" t="s">
        <v>12</v>
      </c>
      <c r="H225" s="5" t="s">
        <v>25</v>
      </c>
      <c r="I225" s="5" t="s">
        <v>119</v>
      </c>
      <c r="J225" s="5" t="s">
        <v>101</v>
      </c>
      <c r="K225" s="5" t="s">
        <v>17</v>
      </c>
      <c r="L225" s="5" t="s">
        <v>18</v>
      </c>
    </row>
    <row r="226" spans="1:12" x14ac:dyDescent="0.2">
      <c r="A226" s="6" t="str">
        <f>_xlfn.TEXTBEFORE(E226,"-")</f>
        <v>5</v>
      </c>
      <c r="B226" s="1" t="str">
        <f>_xlfn.TEXTBEFORE(_xlfn.TEXTAFTER(E226,"-"),"-")</f>
        <v>18</v>
      </c>
      <c r="C226" s="15">
        <f ca="1">IF(SEV_REQUEST[[#This Row],[Created date]]="","",TODAY()-SEV_REQUEST[[#This Row],[Created date]])</f>
        <v>2</v>
      </c>
      <c r="D226" s="2" t="s">
        <v>120</v>
      </c>
      <c r="E226" s="3" t="s">
        <v>118</v>
      </c>
      <c r="F226" s="3" t="s">
        <v>83</v>
      </c>
      <c r="G226" s="3" t="s">
        <v>12</v>
      </c>
      <c r="H226" s="3" t="s">
        <v>14</v>
      </c>
      <c r="I226" s="3" t="s">
        <v>121</v>
      </c>
      <c r="J226" s="3" t="s">
        <v>101</v>
      </c>
      <c r="K226" s="3" t="s">
        <v>17</v>
      </c>
      <c r="L226" s="3" t="s">
        <v>18</v>
      </c>
    </row>
    <row r="227" spans="1:12" x14ac:dyDescent="0.2">
      <c r="A227" s="6" t="str">
        <f>_xlfn.TEXTBEFORE(E227,"-")</f>
        <v>5</v>
      </c>
      <c r="B227" s="1" t="str">
        <f>_xlfn.TEXTBEFORE(_xlfn.TEXTAFTER(E227,"-"),"-")</f>
        <v>18</v>
      </c>
      <c r="C227" s="16">
        <f ca="1">IF(SEV_REQUEST[[#This Row],[Created date]]="","",TODAY()-SEV_REQUEST[[#This Row],[Created date]])</f>
        <v>2</v>
      </c>
      <c r="D227" s="4" t="s">
        <v>135</v>
      </c>
      <c r="E227" s="5" t="s">
        <v>136</v>
      </c>
      <c r="F227" s="5" t="s">
        <v>83</v>
      </c>
      <c r="G227" s="5" t="s">
        <v>12</v>
      </c>
      <c r="H227" s="5" t="s">
        <v>14</v>
      </c>
      <c r="I227" s="5" t="s">
        <v>137</v>
      </c>
      <c r="J227" s="5" t="s">
        <v>101</v>
      </c>
      <c r="K227" s="5" t="s">
        <v>17</v>
      </c>
      <c r="L227" s="5" t="s">
        <v>18</v>
      </c>
    </row>
    <row r="228" spans="1:12" x14ac:dyDescent="0.2">
      <c r="A228" s="6" t="str">
        <f>_xlfn.TEXTBEFORE(E228,"-")</f>
        <v>5</v>
      </c>
      <c r="B228" s="1" t="str">
        <f>_xlfn.TEXTBEFORE(_xlfn.TEXTAFTER(E228,"-"),"-")</f>
        <v>18</v>
      </c>
      <c r="C228" s="15">
        <f ca="1">IF(SEV_REQUEST[[#This Row],[Created date]]="","",TODAY()-SEV_REQUEST[[#This Row],[Created date]])</f>
        <v>2</v>
      </c>
      <c r="D228" s="2" t="s">
        <v>138</v>
      </c>
      <c r="E228" s="3" t="s">
        <v>136</v>
      </c>
      <c r="F228" s="3" t="s">
        <v>83</v>
      </c>
      <c r="G228" s="3" t="s">
        <v>12</v>
      </c>
      <c r="H228" s="3" t="s">
        <v>99</v>
      </c>
      <c r="I228" s="3" t="s">
        <v>100</v>
      </c>
      <c r="J228" s="3" t="s">
        <v>101</v>
      </c>
      <c r="K228" s="3" t="s">
        <v>17</v>
      </c>
      <c r="L228" s="3" t="s">
        <v>18</v>
      </c>
    </row>
    <row r="229" spans="1:12" x14ac:dyDescent="0.2">
      <c r="A229" s="6" t="str">
        <f>_xlfn.TEXTBEFORE(E229,"-")</f>
        <v>5</v>
      </c>
      <c r="B229" s="1" t="str">
        <f>_xlfn.TEXTBEFORE(_xlfn.TEXTAFTER(E229,"-"),"-")</f>
        <v>11</v>
      </c>
      <c r="C229" s="15">
        <f ca="1">IF(SEV_REQUEST[[#This Row],[Created date]]="","",TODAY()-SEV_REQUEST[[#This Row],[Created date]])</f>
        <v>2</v>
      </c>
      <c r="D229" s="2" t="s">
        <v>160</v>
      </c>
      <c r="E229" s="3" t="s">
        <v>161</v>
      </c>
      <c r="F229" s="3" t="s">
        <v>83</v>
      </c>
      <c r="G229" s="3" t="s">
        <v>12</v>
      </c>
      <c r="H229" s="3" t="s">
        <v>21</v>
      </c>
      <c r="I229" s="3" t="s">
        <v>15</v>
      </c>
      <c r="J229" s="3" t="s">
        <v>101</v>
      </c>
      <c r="K229" s="3" t="s">
        <v>17</v>
      </c>
      <c r="L229" s="3" t="s">
        <v>18</v>
      </c>
    </row>
    <row r="230" spans="1:12" x14ac:dyDescent="0.2">
      <c r="A230" s="6" t="str">
        <f>_xlfn.TEXTBEFORE(E230,"-")</f>
        <v>5</v>
      </c>
      <c r="B230" s="1" t="str">
        <f>_xlfn.TEXTBEFORE(_xlfn.TEXTAFTER(E230,"-"),"-")</f>
        <v>08</v>
      </c>
      <c r="C230" s="15">
        <f ca="1">IF(SEV_REQUEST[[#This Row],[Created date]]="","",TODAY()-SEV_REQUEST[[#This Row],[Created date]])</f>
        <v>122</v>
      </c>
      <c r="D230" s="2" t="s">
        <v>614</v>
      </c>
      <c r="E230" s="3" t="s">
        <v>615</v>
      </c>
      <c r="F230" s="3" t="s">
        <v>616</v>
      </c>
      <c r="G230" s="3" t="s">
        <v>617</v>
      </c>
      <c r="H230" s="3" t="s">
        <v>25</v>
      </c>
      <c r="I230" s="3" t="s">
        <v>545</v>
      </c>
      <c r="J230" s="3" t="s">
        <v>618</v>
      </c>
      <c r="K230" s="3" t="s">
        <v>289</v>
      </c>
      <c r="L230" s="3" t="s">
        <v>89</v>
      </c>
    </row>
    <row r="231" spans="1:12" x14ac:dyDescent="0.2">
      <c r="A231" s="6" t="e">
        <f>_xlfn.TEXTBEFORE(E231,"-")</f>
        <v>#N/A</v>
      </c>
      <c r="B231" s="1" t="e">
        <f>_xlfn.TEXTBEFORE(_xlfn.TEXTAFTER(E231,"-"),"-")</f>
        <v>#N/A</v>
      </c>
      <c r="C231" s="55">
        <f ca="1">IF(SEV_REQUEST[[#This Row],[Created date]]="","",TODAY()-SEV_REQUEST[[#This Row],[Created date]])</f>
        <v>7</v>
      </c>
      <c r="D231" s="56" t="s">
        <v>285</v>
      </c>
      <c r="E231" s="19" t="s">
        <v>286</v>
      </c>
      <c r="F231" s="19" t="s">
        <v>265</v>
      </c>
      <c r="G231" s="19" t="s">
        <v>13</v>
      </c>
      <c r="H231" s="19" t="s">
        <v>287</v>
      </c>
      <c r="I231" s="19" t="s">
        <v>15</v>
      </c>
      <c r="J231" s="19" t="s">
        <v>288</v>
      </c>
      <c r="K231" s="19" t="s">
        <v>289</v>
      </c>
      <c r="L231" s="19" t="s">
        <v>18</v>
      </c>
    </row>
  </sheetData>
  <pageMargins left="0.75" right="0.75" top="0.75" bottom="0.5" header="0.5" footer="0.75"/>
  <pageSetup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D333-51E1-7246-B3F5-421BF4B053FE}">
  <dimension ref="B1:AJ235"/>
  <sheetViews>
    <sheetView workbookViewId="0">
      <selection activeCell="T5" sqref="T5"/>
    </sheetView>
  </sheetViews>
  <sheetFormatPr baseColWidth="10" defaultRowHeight="15" x14ac:dyDescent="0.2"/>
  <cols>
    <col min="1" max="1" width="3.33203125" style="17" customWidth="1"/>
    <col min="2" max="2" width="13" style="21" bestFit="1" customWidth="1"/>
    <col min="3" max="3" width="15.6640625" style="21" bestFit="1" customWidth="1"/>
    <col min="4" max="4" width="8.83203125" style="21" bestFit="1" customWidth="1"/>
    <col min="5" max="5" width="27.5" style="21" bestFit="1" customWidth="1"/>
    <col min="6" max="6" width="9.33203125" style="21" bestFit="1" customWidth="1"/>
    <col min="7" max="7" width="2.83203125" style="17" customWidth="1"/>
    <col min="8" max="8" width="10.1640625" style="21" bestFit="1" customWidth="1"/>
    <col min="9" max="9" width="14.33203125" style="21" bestFit="1" customWidth="1"/>
    <col min="10" max="10" width="8.83203125" style="21" bestFit="1" customWidth="1"/>
    <col min="11" max="11" width="26" style="21" customWidth="1"/>
    <col min="12" max="12" width="11" style="21" customWidth="1"/>
    <col min="13" max="13" width="2.83203125" style="17" customWidth="1"/>
    <col min="14" max="14" width="10.6640625" style="21" bestFit="1" customWidth="1"/>
    <col min="15" max="15" width="15.6640625" style="21" bestFit="1" customWidth="1"/>
    <col min="16" max="16" width="8.83203125" style="21" bestFit="1" customWidth="1"/>
    <col min="17" max="17" width="27.5" style="21" bestFit="1" customWidth="1"/>
    <col min="18" max="18" width="10.1640625" style="21" customWidth="1"/>
    <col min="19" max="19" width="2.83203125" style="17" customWidth="1"/>
    <col min="20" max="20" width="10.6640625" style="21" bestFit="1" customWidth="1"/>
    <col min="21" max="21" width="15.6640625" style="21" bestFit="1" customWidth="1"/>
    <col min="22" max="22" width="8.83203125" style="21" bestFit="1" customWidth="1"/>
    <col min="23" max="23" width="27.5" style="21" bestFit="1" customWidth="1"/>
    <col min="24" max="24" width="10.1640625" style="24" customWidth="1"/>
    <col min="25" max="25" width="1.1640625" style="17" customWidth="1"/>
    <col min="26" max="26" width="12.33203125" style="21" customWidth="1"/>
    <col min="27" max="27" width="17.6640625" style="21" customWidth="1"/>
    <col min="28" max="28" width="8.83203125" style="21" bestFit="1" customWidth="1"/>
    <col min="29" max="29" width="22.6640625" style="21" customWidth="1"/>
    <col min="30" max="30" width="10.83203125" style="21"/>
    <col min="31" max="31" width="3" style="17" customWidth="1"/>
    <col min="32" max="32" width="10.6640625" style="21" bestFit="1" customWidth="1"/>
    <col min="33" max="33" width="11.5" style="21" customWidth="1"/>
    <col min="34" max="34" width="8.83203125" style="21" bestFit="1" customWidth="1"/>
    <col min="35" max="35" width="28.83203125" style="21" customWidth="1"/>
    <col min="36" max="36" width="15.5" style="21" customWidth="1"/>
    <col min="37" max="16384" width="10.83203125" style="17"/>
  </cols>
  <sheetData>
    <row r="1" spans="2:36" x14ac:dyDescent="0.2">
      <c r="B1" s="20"/>
      <c r="C1" s="20"/>
      <c r="D1" s="20"/>
      <c r="E1" s="20"/>
      <c r="F1" s="20"/>
      <c r="H1" s="20"/>
      <c r="I1" s="20"/>
      <c r="J1" s="20"/>
      <c r="K1" s="20"/>
      <c r="L1" s="20"/>
      <c r="N1" s="20"/>
      <c r="O1" s="20"/>
      <c r="P1" s="20"/>
      <c r="Q1" s="20"/>
      <c r="R1" s="20"/>
      <c r="T1" s="20"/>
      <c r="U1" s="20"/>
      <c r="V1" s="20"/>
      <c r="W1" s="20"/>
      <c r="X1" s="26"/>
      <c r="Z1" s="20"/>
      <c r="AA1" s="20"/>
      <c r="AB1" s="20"/>
      <c r="AC1" s="20"/>
      <c r="AD1" s="20"/>
      <c r="AF1" s="20"/>
      <c r="AG1" s="20"/>
      <c r="AH1" s="20"/>
      <c r="AI1" s="20"/>
      <c r="AJ1" s="20"/>
    </row>
    <row r="2" spans="2:36" x14ac:dyDescent="0.2">
      <c r="B2" s="20"/>
      <c r="C2" s="20"/>
      <c r="D2" s="20"/>
      <c r="E2" s="20"/>
      <c r="F2" s="20"/>
      <c r="H2" s="20"/>
      <c r="I2" s="20"/>
      <c r="J2" s="20"/>
      <c r="K2" s="20"/>
      <c r="L2" s="20"/>
      <c r="N2" s="20"/>
      <c r="O2" s="20"/>
      <c r="P2" s="20"/>
      <c r="Q2" s="20"/>
      <c r="R2" s="20"/>
      <c r="T2" s="20"/>
      <c r="U2" s="20"/>
      <c r="V2" s="20"/>
      <c r="W2" s="20"/>
      <c r="X2" s="26"/>
      <c r="Z2" s="20"/>
      <c r="AA2" s="20"/>
      <c r="AB2" s="20"/>
      <c r="AC2" s="20"/>
      <c r="AD2" s="20"/>
      <c r="AF2" s="20"/>
      <c r="AG2" s="20"/>
      <c r="AH2" s="20"/>
      <c r="AI2" s="20"/>
      <c r="AJ2" s="20"/>
    </row>
    <row r="3" spans="2:36" ht="15" customHeight="1" x14ac:dyDescent="0.2">
      <c r="B3" s="40" t="s">
        <v>626</v>
      </c>
      <c r="C3" s="40"/>
      <c r="D3" s="40"/>
      <c r="E3" s="40"/>
      <c r="F3" s="40"/>
      <c r="H3" s="43" t="s">
        <v>627</v>
      </c>
      <c r="I3" s="43"/>
      <c r="J3" s="43"/>
      <c r="K3" s="43"/>
      <c r="L3" s="43"/>
      <c r="N3" s="43" t="s">
        <v>630</v>
      </c>
      <c r="O3" s="43"/>
      <c r="P3" s="43"/>
      <c r="Q3" s="43"/>
      <c r="R3" s="43"/>
      <c r="T3" s="41" t="s">
        <v>628</v>
      </c>
      <c r="U3" s="41"/>
      <c r="V3" s="41"/>
      <c r="W3" s="41"/>
      <c r="X3" s="41"/>
      <c r="Z3" s="41" t="s">
        <v>631</v>
      </c>
      <c r="AA3" s="41"/>
      <c r="AB3" s="41"/>
      <c r="AC3" s="41"/>
      <c r="AD3" s="41"/>
      <c r="AF3" s="42" t="s">
        <v>629</v>
      </c>
      <c r="AG3" s="42"/>
      <c r="AH3" s="42"/>
      <c r="AI3" s="42"/>
      <c r="AJ3" s="42"/>
    </row>
    <row r="4" spans="2:36" ht="15" customHeight="1" x14ac:dyDescent="0.2">
      <c r="B4" s="40"/>
      <c r="C4" s="40"/>
      <c r="D4" s="40"/>
      <c r="E4" s="40"/>
      <c r="F4" s="40"/>
      <c r="H4" s="43"/>
      <c r="I4" s="43"/>
      <c r="J4" s="43"/>
      <c r="K4" s="43"/>
      <c r="L4" s="43"/>
      <c r="N4" s="43"/>
      <c r="O4" s="43"/>
      <c r="P4" s="43"/>
      <c r="Q4" s="43"/>
      <c r="R4" s="43"/>
      <c r="T4" s="41"/>
      <c r="U4" s="41"/>
      <c r="V4" s="41"/>
      <c r="W4" s="41"/>
      <c r="X4" s="41"/>
      <c r="Z4" s="41"/>
      <c r="AA4" s="41"/>
      <c r="AB4" s="41"/>
      <c r="AC4" s="41"/>
      <c r="AD4" s="41"/>
      <c r="AF4" s="42"/>
      <c r="AG4" s="42"/>
      <c r="AH4" s="42"/>
      <c r="AI4" s="42"/>
      <c r="AJ4" s="42"/>
    </row>
    <row r="5" spans="2:36" x14ac:dyDescent="0.2">
      <c r="B5" s="22" t="str" cm="1">
        <f t="array" aca="1" ref="B5:F235" ca="1">_xlfn._xlws.PY(0,0,SEV_REQUEST[])</f>
        <v>Unit</v>
      </c>
      <c r="C5" s="22" t="str">
        <f ca="1"/>
        <v>Assigned to</v>
      </c>
      <c r="D5" s="22" t="str">
        <f ca="1"/>
        <v>Days open</v>
      </c>
      <c r="E5" s="22" t="str">
        <f ca="1"/>
        <v>Issue</v>
      </c>
      <c r="F5" s="22" t="str">
        <f ca="1"/>
        <v>Status</v>
      </c>
      <c r="H5" s="22" t="str" cm="1">
        <f t="array" aca="1" ref="H5:L95" ca="1">_xlfn._xlws.PY(1,0,SEV_REQUEST[])</f>
        <v>Unit</v>
      </c>
      <c r="I5" s="22" t="str">
        <f ca="1"/>
        <v>Assigned to</v>
      </c>
      <c r="J5" s="22" t="str">
        <f ca="1"/>
        <v>Days open</v>
      </c>
      <c r="K5" s="22" t="str">
        <f ca="1"/>
        <v>Issue</v>
      </c>
      <c r="L5" s="22" t="str">
        <f ca="1"/>
        <v>Status</v>
      </c>
      <c r="N5" s="22" t="str" cm="1">
        <f t="array" aca="1" ref="N5:R67" ca="1">_xlfn._xlws.PY(2,0,SEV_REQUEST[])</f>
        <v>Unit</v>
      </c>
      <c r="O5" s="22" t="str">
        <f ca="1"/>
        <v>Assigned to</v>
      </c>
      <c r="P5" s="22" t="str">
        <f ca="1"/>
        <v>Days open</v>
      </c>
      <c r="Q5" s="22" t="str">
        <f ca="1"/>
        <v>Issue</v>
      </c>
      <c r="R5" s="22" t="str">
        <f ca="1"/>
        <v>Status</v>
      </c>
      <c r="T5" s="22" t="str" cm="1">
        <f t="array" aca="1" ref="T5:X21" ca="1">_xlfn._xlws.PY(3,0,SEV_REQUEST[])</f>
        <v>Unit</v>
      </c>
      <c r="U5" s="22" t="str">
        <f ca="1"/>
        <v>Assigned to</v>
      </c>
      <c r="V5" s="22" t="str">
        <f ca="1"/>
        <v>Days open</v>
      </c>
      <c r="W5" s="22" t="str">
        <f ca="1"/>
        <v>Issue</v>
      </c>
      <c r="X5" s="25" t="str">
        <f ca="1"/>
        <v>Status</v>
      </c>
      <c r="Z5" s="22" t="str" cm="1">
        <f t="array" aca="1" ref="Z5:AD171" ca="1">_xlfn._xlws.PY(4,0,SEV_REQUEST[])</f>
        <v>Unit</v>
      </c>
      <c r="AA5" s="22" t="str">
        <f ca="1"/>
        <v>Assigned to</v>
      </c>
      <c r="AB5" s="22" t="str">
        <f ca="1"/>
        <v>Days open</v>
      </c>
      <c r="AC5" s="22" t="str">
        <f ca="1"/>
        <v>Issue</v>
      </c>
      <c r="AD5" s="22" t="str">
        <f ca="1"/>
        <v>Status</v>
      </c>
      <c r="AF5" s="22" t="str" cm="1">
        <f t="array" aca="1" ref="AF5:AJ79" ca="1">_xlfn._xlws.PY(5,0,SEV_REQUEST[])</f>
        <v>Unit</v>
      </c>
      <c r="AG5" s="22" t="str">
        <f ca="1"/>
        <v>Assigned to</v>
      </c>
      <c r="AH5" s="22" t="str">
        <f ca="1"/>
        <v>Days open</v>
      </c>
      <c r="AI5" s="22" t="str">
        <f ca="1"/>
        <v>Issue</v>
      </c>
      <c r="AJ5" s="22" t="str">
        <f ca="1"/>
        <v>Status</v>
      </c>
    </row>
    <row r="6" spans="2:36" x14ac:dyDescent="0.2">
      <c r="B6" s="21" t="str">
        <f ca="1"/>
        <v>5-02-0306</v>
      </c>
      <c r="C6" s="21" t="str">
        <f ca="1"/>
        <v>Roberto Palacios</v>
      </c>
      <c r="D6" s="21">
        <f ca="1"/>
        <v>129</v>
      </c>
      <c r="E6" s="21" t="str">
        <f ca="1"/>
        <v>Frig is noisy</v>
      </c>
      <c r="F6" s="21" t="str">
        <f ca="1"/>
        <v>On hold</v>
      </c>
      <c r="H6" s="21" t="str">
        <f ca="1"/>
        <v>8-01-3120</v>
      </c>
      <c r="I6" s="21" t="str">
        <f ca="1"/>
        <v>Unassigned</v>
      </c>
      <c r="J6" s="21">
        <f ca="1"/>
        <v>72</v>
      </c>
      <c r="K6" s="21" t="str">
        <f ca="1"/>
        <v>Cabinet door missing</v>
      </c>
      <c r="L6" s="21" t="str">
        <f ca="1"/>
        <v>In progress</v>
      </c>
      <c r="N6" s="21" t="str">
        <f ca="1"/>
        <v>5-02-0306</v>
      </c>
      <c r="O6" s="21" t="str">
        <f ca="1"/>
        <v>Roberto Palacios</v>
      </c>
      <c r="P6" s="21">
        <f ca="1"/>
        <v>129</v>
      </c>
      <c r="Q6" s="21" t="str">
        <f ca="1"/>
        <v>Frig is noisy</v>
      </c>
      <c r="R6" s="21" t="str">
        <f ca="1"/>
        <v>On hold</v>
      </c>
      <c r="T6" s="21" t="str">
        <f ca="1"/>
        <v>8-01-3120</v>
      </c>
      <c r="U6" s="21" t="str">
        <f ca="1"/>
        <v>Unassigned</v>
      </c>
      <c r="V6" s="21">
        <f ca="1"/>
        <v>72</v>
      </c>
      <c r="W6" s="21" t="str">
        <f ca="1"/>
        <v>Cabinet door missing</v>
      </c>
      <c r="X6" s="24" t="str">
        <f ca="1"/>
        <v>In progress</v>
      </c>
      <c r="Z6" s="21" t="str">
        <f ca="1"/>
        <v>3-01-0205</v>
      </c>
      <c r="AA6" s="21" t="str">
        <f ca="1"/>
        <v>Dennis Arevalo</v>
      </c>
      <c r="AB6" s="21">
        <f ca="1"/>
        <v>93</v>
      </c>
      <c r="AC6" s="21" t="str">
        <f ca="1"/>
        <v>Other - Please see comments</v>
      </c>
      <c r="AD6" s="21" t="str">
        <f ca="1"/>
        <v>In progress</v>
      </c>
      <c r="AF6" s="21" t="str">
        <f ca="1"/>
        <v>3-02-0304</v>
      </c>
      <c r="AG6" s="21" t="str">
        <f ca="1"/>
        <v>Unassigned</v>
      </c>
      <c r="AH6" s="21">
        <f ca="1"/>
        <v>63</v>
      </c>
      <c r="AI6" s="21" t="str">
        <f ca="1"/>
        <v>Broken Window</v>
      </c>
      <c r="AJ6" s="21" t="str">
        <f ca="1"/>
        <v>On hold</v>
      </c>
    </row>
    <row r="7" spans="2:36" x14ac:dyDescent="0.2">
      <c r="B7" s="21" t="str">
        <f ca="1"/>
        <v>5-08-0125</v>
      </c>
      <c r="C7" s="21" t="str">
        <f ca="1"/>
        <v>Adrian Wright</v>
      </c>
      <c r="D7" s="21">
        <f ca="1"/>
        <v>122</v>
      </c>
      <c r="E7" s="23" t="str">
        <f ca="1"/>
        <v>Mirror-other problem</v>
      </c>
      <c r="F7" s="23" t="str">
        <f ca="1"/>
        <v>On hold</v>
      </c>
      <c r="G7" s="18"/>
      <c r="H7" s="23" t="str">
        <f ca="1"/>
        <v>3-02-0304</v>
      </c>
      <c r="I7" s="23" t="str">
        <f ca="1"/>
        <v>Unassigned</v>
      </c>
      <c r="J7" s="23">
        <f ca="1"/>
        <v>63</v>
      </c>
      <c r="K7" s="23" t="str">
        <f ca="1"/>
        <v>Broken Window</v>
      </c>
      <c r="L7" s="23" t="str">
        <f ca="1"/>
        <v>On hold</v>
      </c>
      <c r="M7" s="18"/>
      <c r="N7" s="23" t="str">
        <f ca="1"/>
        <v>5-08-0125</v>
      </c>
      <c r="O7" s="23" t="str">
        <f ca="1"/>
        <v>Adrian Wright</v>
      </c>
      <c r="P7" s="23">
        <f ca="1"/>
        <v>122</v>
      </c>
      <c r="Q7" s="23" t="str">
        <f ca="1"/>
        <v>Mirror-other problem</v>
      </c>
      <c r="R7" s="23" t="str">
        <f ca="1"/>
        <v>On hold</v>
      </c>
      <c r="S7" s="18"/>
      <c r="T7" s="21" t="str">
        <f ca="1"/>
        <v>5-18-0137</v>
      </c>
      <c r="U7" s="21" t="str">
        <f ca="1"/>
        <v>Unassigned</v>
      </c>
      <c r="V7" s="21">
        <f ca="1"/>
        <v>6</v>
      </c>
      <c r="W7" s="21" t="str">
        <f ca="1"/>
        <v>Other - Please see comments</v>
      </c>
      <c r="X7" s="24" t="str">
        <f ca="1"/>
        <v>In progress</v>
      </c>
      <c r="Y7" s="18"/>
      <c r="Z7" s="23" t="str">
        <f ca="1"/>
        <v>4-25-0304</v>
      </c>
      <c r="AA7" s="23" t="str">
        <f ca="1"/>
        <v>Rayniel Rincon</v>
      </c>
      <c r="AB7" s="23">
        <f ca="1"/>
        <v>86</v>
      </c>
      <c r="AC7" s="23" t="str">
        <f ca="1"/>
        <v>Other - Please see comments</v>
      </c>
      <c r="AD7" s="23" t="str">
        <f ca="1"/>
        <v>On hold</v>
      </c>
      <c r="AF7" s="21" t="str">
        <f ca="1"/>
        <v>4c-02-S306</v>
      </c>
      <c r="AG7" s="21" t="str">
        <f ca="1"/>
        <v>Unassigned</v>
      </c>
      <c r="AH7" s="21">
        <f ca="1"/>
        <v>60</v>
      </c>
      <c r="AI7" s="21" t="str">
        <f ca="1"/>
        <v>Drafts or poor air circulation</v>
      </c>
      <c r="AJ7" s="21" t="str">
        <f ca="1"/>
        <v>In progress</v>
      </c>
    </row>
    <row r="8" spans="2:36" x14ac:dyDescent="0.2">
      <c r="B8" s="21" t="str">
        <f ca="1"/>
        <v>3-01-0205</v>
      </c>
      <c r="C8" s="21" t="str">
        <f ca="1"/>
        <v>Dennis Arevalo</v>
      </c>
      <c r="D8" s="21">
        <f ca="1"/>
        <v>93</v>
      </c>
      <c r="E8" s="21" t="str">
        <f ca="1"/>
        <v>Other - Please see comments</v>
      </c>
      <c r="F8" s="21" t="str">
        <f ca="1"/>
        <v>In progress</v>
      </c>
      <c r="H8" s="21" t="str">
        <f ca="1"/>
        <v>4c-02-S306</v>
      </c>
      <c r="I8" s="21" t="str">
        <f ca="1"/>
        <v>Unassigned</v>
      </c>
      <c r="J8" s="21">
        <f ca="1"/>
        <v>60</v>
      </c>
      <c r="K8" s="21" t="str">
        <f ca="1"/>
        <v>Drafts or poor air circulation</v>
      </c>
      <c r="L8" s="21" t="str">
        <f ca="1"/>
        <v>In progress</v>
      </c>
      <c r="N8" s="21" t="str">
        <f ca="1"/>
        <v>5-15-0301</v>
      </c>
      <c r="O8" s="21" t="str">
        <f ca="1"/>
        <v>Facilities Tech</v>
      </c>
      <c r="P8" s="21">
        <f ca="1"/>
        <v>74</v>
      </c>
      <c r="Q8" s="21" t="str">
        <f ca="1"/>
        <v>Other - Please see comments</v>
      </c>
      <c r="R8" s="21" t="str">
        <f ca="1"/>
        <v>On hold</v>
      </c>
      <c r="T8" s="21" t="str">
        <f ca="1"/>
        <v>7-11-0508</v>
      </c>
      <c r="U8" s="21" t="str">
        <f ca="1"/>
        <v>Unassigned</v>
      </c>
      <c r="V8" s="21">
        <f ca="1"/>
        <v>6</v>
      </c>
      <c r="W8" s="21" t="str">
        <f ca="1"/>
        <v>Make Ready</v>
      </c>
      <c r="X8" s="24" t="str">
        <f ca="1"/>
        <v>In progress</v>
      </c>
      <c r="Z8" s="21" t="str">
        <f ca="1"/>
        <v>4-26-0328</v>
      </c>
      <c r="AA8" s="21" t="str">
        <f ca="1"/>
        <v>Rafael Anez</v>
      </c>
      <c r="AB8" s="21">
        <f ca="1"/>
        <v>74</v>
      </c>
      <c r="AC8" s="21" t="str">
        <f ca="1"/>
        <v>Other Issue</v>
      </c>
      <c r="AD8" s="21" t="str">
        <f ca="1"/>
        <v>On hold</v>
      </c>
      <c r="AF8" s="21" t="str">
        <f ca="1"/>
        <v>3-01-0209</v>
      </c>
      <c r="AG8" s="21" t="str">
        <f ca="1"/>
        <v>Unassigned</v>
      </c>
      <c r="AH8" s="21">
        <f ca="1"/>
        <v>59</v>
      </c>
      <c r="AI8" s="21" t="str">
        <f ca="1"/>
        <v>Water or liquid coming through</v>
      </c>
      <c r="AJ8" s="21" t="str">
        <f ca="1"/>
        <v>In progress</v>
      </c>
    </row>
    <row r="9" spans="2:36" x14ac:dyDescent="0.2">
      <c r="B9" s="21" t="str">
        <f ca="1"/>
        <v>4-25-0304</v>
      </c>
      <c r="C9" s="21" t="str">
        <f ca="1"/>
        <v>Rayniel Rincon</v>
      </c>
      <c r="D9" s="21">
        <f ca="1"/>
        <v>86</v>
      </c>
      <c r="E9" s="21" t="str">
        <f ca="1"/>
        <v>Other - Please see comments</v>
      </c>
      <c r="F9" s="21" t="str">
        <f ca="1"/>
        <v>On hold</v>
      </c>
      <c r="H9" s="21" t="str">
        <f ca="1"/>
        <v>3-01-0209</v>
      </c>
      <c r="I9" s="21" t="str">
        <f ca="1"/>
        <v>Unassigned</v>
      </c>
      <c r="J9" s="21">
        <f ca="1"/>
        <v>59</v>
      </c>
      <c r="K9" s="21" t="str">
        <f ca="1"/>
        <v>Water or liquid coming through</v>
      </c>
      <c r="L9" s="21" t="str">
        <f ca="1"/>
        <v>In progress</v>
      </c>
      <c r="N9" s="21" t="str">
        <f ca="1"/>
        <v>8-01-3120</v>
      </c>
      <c r="O9" s="21" t="str">
        <f ca="1"/>
        <v>Unassigned</v>
      </c>
      <c r="P9" s="21">
        <f ca="1"/>
        <v>72</v>
      </c>
      <c r="Q9" s="21" t="str">
        <f ca="1"/>
        <v>Cabinet door missing</v>
      </c>
      <c r="R9" s="21" t="str">
        <f ca="1"/>
        <v>In progress</v>
      </c>
      <c r="T9" s="21" t="str">
        <f ca="1"/>
        <v>7-03-0113</v>
      </c>
      <c r="U9" s="21" t="str">
        <f ca="1"/>
        <v>Unassigned</v>
      </c>
      <c r="V9" s="21">
        <f ca="1"/>
        <v>3</v>
      </c>
      <c r="W9" s="21" t="str">
        <f ca="1"/>
        <v>Drafts or poor air circulation</v>
      </c>
      <c r="X9" s="24" t="str">
        <f ca="1"/>
        <v>In progress</v>
      </c>
      <c r="Z9" s="21" t="str">
        <f ca="1"/>
        <v>4-24-0109</v>
      </c>
      <c r="AA9" s="21" t="str">
        <f ca="1"/>
        <v>Dennis Arevalo</v>
      </c>
      <c r="AB9" s="21">
        <f ca="1"/>
        <v>71</v>
      </c>
      <c r="AC9" s="21" t="str">
        <f ca="1"/>
        <v>Other - Please see comments</v>
      </c>
      <c r="AD9" s="21" t="str">
        <f ca="1"/>
        <v>On hold</v>
      </c>
      <c r="AF9" s="21" t="str">
        <f ca="1"/>
        <v>4-05-5791</v>
      </c>
      <c r="AG9" s="21" t="str">
        <f ca="1"/>
        <v>Unassigned</v>
      </c>
      <c r="AH9" s="21">
        <f ca="1"/>
        <v>51</v>
      </c>
      <c r="AI9" s="21" t="str">
        <f ca="1"/>
        <v>Other - Please see comments</v>
      </c>
      <c r="AJ9" s="21" t="str">
        <f ca="1"/>
        <v>In progress</v>
      </c>
    </row>
    <row r="10" spans="2:36" x14ac:dyDescent="0.2">
      <c r="B10" s="21" t="str">
        <f ca="1"/>
        <v>4-26-0328</v>
      </c>
      <c r="C10" s="21" t="str">
        <f ca="1"/>
        <v>Rafael Anez</v>
      </c>
      <c r="D10" s="21">
        <f ca="1"/>
        <v>74</v>
      </c>
      <c r="E10" s="21" t="str">
        <f ca="1"/>
        <v>Other Issue</v>
      </c>
      <c r="F10" s="21" t="str">
        <f ca="1"/>
        <v>On hold</v>
      </c>
      <c r="H10" s="21" t="str">
        <f ca="1"/>
        <v>4-05-5791</v>
      </c>
      <c r="I10" s="21" t="str">
        <f ca="1"/>
        <v>Unassigned</v>
      </c>
      <c r="J10" s="21">
        <f ca="1"/>
        <v>51</v>
      </c>
      <c r="K10" s="21" t="str">
        <f ca="1"/>
        <v>Other - Please see comments</v>
      </c>
      <c r="L10" s="21" t="str">
        <f ca="1"/>
        <v>In progress</v>
      </c>
      <c r="N10" s="21" t="str">
        <f ca="1"/>
        <v>5-18-0425</v>
      </c>
      <c r="O10" s="21" t="str">
        <f ca="1"/>
        <v>Latrell Dawson</v>
      </c>
      <c r="P10" s="21">
        <f ca="1"/>
        <v>64</v>
      </c>
      <c r="Q10" s="21" t="str">
        <f ca="1"/>
        <v>Gutter damaged</v>
      </c>
      <c r="R10" s="21" t="str">
        <f ca="1"/>
        <v>On hold</v>
      </c>
      <c r="T10" s="21" t="str">
        <f ca="1"/>
        <v>7-02-0313</v>
      </c>
      <c r="U10" s="21" t="str">
        <f ca="1"/>
        <v>Unassigned</v>
      </c>
      <c r="V10" s="21">
        <f ca="1"/>
        <v>3</v>
      </c>
      <c r="W10" s="21" t="str">
        <f ca="1"/>
        <v>Washer will not fill/drain</v>
      </c>
      <c r="X10" s="24" t="str">
        <f ca="1"/>
        <v>In progress</v>
      </c>
      <c r="Z10" s="21" t="str">
        <f ca="1"/>
        <v>4-07-5774</v>
      </c>
      <c r="AA10" s="21" t="str">
        <f ca="1"/>
        <v>Rayniel Rincon</v>
      </c>
      <c r="AB10" s="21">
        <f ca="1"/>
        <v>67</v>
      </c>
      <c r="AC10" s="21" t="str">
        <f ca="1"/>
        <v>Other - Please see comments</v>
      </c>
      <c r="AD10" s="21" t="str">
        <f ca="1"/>
        <v>In progress</v>
      </c>
      <c r="AF10" s="21" t="str">
        <f ca="1"/>
        <v>4c-01-W208</v>
      </c>
      <c r="AG10" s="21" t="str">
        <f ca="1"/>
        <v>Unassigned</v>
      </c>
      <c r="AH10" s="21">
        <f ca="1"/>
        <v>48</v>
      </c>
      <c r="AI10" s="21" t="str">
        <f ca="1"/>
        <v>Shower control knob broken</v>
      </c>
      <c r="AJ10" s="21" t="str">
        <f ca="1"/>
        <v>In progress</v>
      </c>
    </row>
    <row r="11" spans="2:36" x14ac:dyDescent="0.2">
      <c r="B11" s="21" t="str">
        <f ca="1"/>
        <v>5-15-0301</v>
      </c>
      <c r="C11" s="21" t="str">
        <f ca="1"/>
        <v>Facilities Tech</v>
      </c>
      <c r="D11" s="21">
        <f ca="1"/>
        <v>74</v>
      </c>
      <c r="E11" s="21" t="str">
        <f ca="1"/>
        <v>Other - Please see comments</v>
      </c>
      <c r="F11" s="21" t="str">
        <f ca="1"/>
        <v>On hold</v>
      </c>
      <c r="H11" s="21" t="str">
        <f ca="1"/>
        <v>4-11-7129</v>
      </c>
      <c r="I11" s="21" t="str">
        <f ca="1"/>
        <v>Unassigned</v>
      </c>
      <c r="J11" s="21">
        <f ca="1"/>
        <v>48</v>
      </c>
      <c r="K11" s="21" t="str">
        <f ca="1"/>
        <v>Water or liquid coming through</v>
      </c>
      <c r="L11" s="21" t="str">
        <f ca="1"/>
        <v>In progress</v>
      </c>
      <c r="N11" s="21" t="str">
        <f ca="1"/>
        <v>5-12-0205</v>
      </c>
      <c r="O11" s="21" t="str">
        <f ca="1"/>
        <v>Latrell Dawson</v>
      </c>
      <c r="P11" s="21">
        <f ca="1"/>
        <v>54</v>
      </c>
      <c r="Q11" s="21" t="str">
        <f ca="1"/>
        <v>Cabinet door missing</v>
      </c>
      <c r="R11" s="21" t="str">
        <f ca="1"/>
        <v>On hold</v>
      </c>
      <c r="T11" s="21" t="str">
        <f ca="1"/>
        <v>5-04-5740</v>
      </c>
      <c r="U11" s="21" t="str">
        <f ca="1"/>
        <v>Unassigned</v>
      </c>
      <c r="V11" s="21">
        <f ca="1"/>
        <v>2</v>
      </c>
      <c r="W11" s="21" t="str">
        <f ca="1"/>
        <v>Pest Control requested</v>
      </c>
      <c r="X11" s="24" t="str">
        <f ca="1"/>
        <v>In progress</v>
      </c>
      <c r="Z11" s="21" t="str">
        <f ca="1"/>
        <v>4-27-0115</v>
      </c>
      <c r="AA11" s="21" t="str">
        <f ca="1"/>
        <v>Rayniel Rincon</v>
      </c>
      <c r="AB11" s="21">
        <f ca="1"/>
        <v>66</v>
      </c>
      <c r="AC11" s="21" t="str">
        <f ca="1"/>
        <v>Other Issue</v>
      </c>
      <c r="AD11" s="21" t="str">
        <f ca="1"/>
        <v>On hold</v>
      </c>
      <c r="AF11" s="21" t="str">
        <f ca="1"/>
        <v>4-11-7129</v>
      </c>
      <c r="AG11" s="21" t="str">
        <f ca="1"/>
        <v>Unassigned</v>
      </c>
      <c r="AH11" s="21">
        <f ca="1"/>
        <v>48</v>
      </c>
      <c r="AI11" s="21" t="str">
        <f ca="1"/>
        <v>Water or liquid coming through</v>
      </c>
      <c r="AJ11" s="21" t="str">
        <f ca="1"/>
        <v>In progress</v>
      </c>
    </row>
    <row r="12" spans="2:36" x14ac:dyDescent="0.2">
      <c r="B12" s="21" t="str">
        <f ca="1"/>
        <v>8-01-3120</v>
      </c>
      <c r="C12" s="21" t="str">
        <f ca="1"/>
        <v>Unassigned</v>
      </c>
      <c r="D12" s="21">
        <f ca="1"/>
        <v>72</v>
      </c>
      <c r="E12" s="21" t="str">
        <f ca="1"/>
        <v>Cabinet door missing</v>
      </c>
      <c r="F12" s="21" t="str">
        <f ca="1"/>
        <v>In progress</v>
      </c>
      <c r="H12" s="21" t="str">
        <f ca="1"/>
        <v>4c-01-W208</v>
      </c>
      <c r="I12" s="21" t="str">
        <f ca="1"/>
        <v>Unassigned</v>
      </c>
      <c r="J12" s="21">
        <f ca="1"/>
        <v>48</v>
      </c>
      <c r="K12" s="21" t="str">
        <f ca="1"/>
        <v>Shower control knob broken</v>
      </c>
      <c r="L12" s="21" t="str">
        <f ca="1"/>
        <v>In progress</v>
      </c>
      <c r="N12" s="21" t="str">
        <f ca="1"/>
        <v>5-04-5740</v>
      </c>
      <c r="O12" s="21" t="str">
        <f ca="1"/>
        <v>Yomar Gonzalez</v>
      </c>
      <c r="P12" s="21">
        <f ca="1"/>
        <v>50</v>
      </c>
      <c r="Q12" s="21" t="str">
        <f ca="1"/>
        <v>Mirror-other problem</v>
      </c>
      <c r="R12" s="21" t="str">
        <f ca="1"/>
        <v>On hold</v>
      </c>
      <c r="T12" s="21" t="str">
        <f ca="1"/>
        <v>7-04-0212</v>
      </c>
      <c r="U12" s="21" t="str">
        <f ca="1"/>
        <v>Unassigned</v>
      </c>
      <c r="V12" s="21">
        <f ca="1"/>
        <v>2</v>
      </c>
      <c r="W12" s="21" t="str">
        <f ca="1"/>
        <v>Sink-other problem</v>
      </c>
      <c r="X12" s="24" t="str">
        <f ca="1"/>
        <v>In progress</v>
      </c>
      <c r="Z12" s="21" t="str">
        <f ca="1"/>
        <v>3-01-0210</v>
      </c>
      <c r="AA12" s="21" t="str">
        <f ca="1"/>
        <v>Dennis Arevalo</v>
      </c>
      <c r="AB12" s="21">
        <f ca="1"/>
        <v>66</v>
      </c>
      <c r="AC12" s="21" t="str">
        <f ca="1"/>
        <v>Other - Please see comments</v>
      </c>
      <c r="AD12" s="21" t="str">
        <f ca="1"/>
        <v>In progress</v>
      </c>
      <c r="AF12" s="21" t="str">
        <f ca="1"/>
        <v>4-21-0316</v>
      </c>
      <c r="AG12" s="21" t="str">
        <f ca="1"/>
        <v>Unassigned</v>
      </c>
      <c r="AH12" s="21">
        <f ca="1"/>
        <v>46</v>
      </c>
      <c r="AI12" s="21" t="str">
        <f ca="1"/>
        <v>Vents/ducts dirty/odor</v>
      </c>
      <c r="AJ12" s="21" t="str">
        <f ca="1"/>
        <v>In progress</v>
      </c>
    </row>
    <row r="13" spans="2:36" x14ac:dyDescent="0.2">
      <c r="B13" s="21" t="str">
        <f ca="1"/>
        <v>4-24-0109</v>
      </c>
      <c r="C13" s="21" t="str">
        <f ca="1"/>
        <v>Dennis Arevalo</v>
      </c>
      <c r="D13" s="21">
        <f ca="1"/>
        <v>71</v>
      </c>
      <c r="E13" s="21" t="str">
        <f ca="1"/>
        <v>Other - Please see comments</v>
      </c>
      <c r="F13" s="21" t="str">
        <f ca="1"/>
        <v>On hold</v>
      </c>
      <c r="H13" s="21" t="str">
        <f ca="1"/>
        <v>4-21-0316</v>
      </c>
      <c r="I13" s="21" t="str">
        <f ca="1"/>
        <v>Unassigned</v>
      </c>
      <c r="J13" s="21">
        <f ca="1"/>
        <v>46</v>
      </c>
      <c r="K13" s="21" t="str">
        <f ca="1"/>
        <v>Vents/ducts dirty/odor</v>
      </c>
      <c r="L13" s="21" t="str">
        <f ca="1"/>
        <v>In progress</v>
      </c>
      <c r="N13" s="21" t="str">
        <f ca="1"/>
        <v>8-01-1036</v>
      </c>
      <c r="O13" s="21" t="str">
        <f ca="1"/>
        <v>Antonio Sherfield</v>
      </c>
      <c r="P13" s="21">
        <f ca="1"/>
        <v>31</v>
      </c>
      <c r="Q13" s="21" t="str">
        <f ca="1"/>
        <v>Washer is noisy</v>
      </c>
      <c r="R13" s="21" t="str">
        <f ca="1"/>
        <v>In progress</v>
      </c>
      <c r="T13" s="21" t="str">
        <f ca="1"/>
        <v>5-18-0128</v>
      </c>
      <c r="U13" s="21" t="str">
        <f ca="1"/>
        <v>Unassigned</v>
      </c>
      <c r="V13" s="21">
        <f ca="1"/>
        <v>2</v>
      </c>
      <c r="W13" s="21" t="str">
        <f ca="1"/>
        <v>Pest Control requested</v>
      </c>
      <c r="X13" s="24" t="str">
        <f ca="1"/>
        <v>In progress</v>
      </c>
      <c r="Z13" s="21" t="str">
        <f ca="1"/>
        <v>3-03-0310</v>
      </c>
      <c r="AA13" s="21" t="str">
        <f ca="1"/>
        <v>Alexander Gonzalez</v>
      </c>
      <c r="AB13" s="21">
        <f ca="1"/>
        <v>66</v>
      </c>
      <c r="AC13" s="21" t="str">
        <f ca="1"/>
        <v>Vents/ducts-other problem</v>
      </c>
      <c r="AD13" s="21" t="str">
        <f ca="1"/>
        <v>In progress</v>
      </c>
      <c r="AF13" s="21" t="str">
        <f ca="1"/>
        <v>4-05-5791</v>
      </c>
      <c r="AG13" s="21" t="str">
        <f ca="1"/>
        <v>Unassigned</v>
      </c>
      <c r="AH13" s="21">
        <f ca="1"/>
        <v>43</v>
      </c>
      <c r="AI13" s="21" t="str">
        <f ca="1"/>
        <v>Vents/ducts-other problem</v>
      </c>
      <c r="AJ13" s="21" t="str">
        <f ca="1"/>
        <v>In progress</v>
      </c>
    </row>
    <row r="14" spans="2:36" x14ac:dyDescent="0.2">
      <c r="B14" s="21" t="str">
        <f ca="1"/>
        <v>4-07-5774</v>
      </c>
      <c r="C14" s="21" t="str">
        <f ca="1"/>
        <v>Rayniel Rincon</v>
      </c>
      <c r="D14" s="21">
        <f ca="1"/>
        <v>67</v>
      </c>
      <c r="E14" s="21" t="str">
        <f ca="1"/>
        <v>Other - Please see comments</v>
      </c>
      <c r="F14" s="21" t="str">
        <f ca="1"/>
        <v>In progress</v>
      </c>
      <c r="H14" s="21" t="str">
        <f ca="1"/>
        <v>4-05-5791</v>
      </c>
      <c r="I14" s="21" t="str">
        <f ca="1"/>
        <v>Unassigned</v>
      </c>
      <c r="J14" s="21">
        <f ca="1"/>
        <v>43</v>
      </c>
      <c r="K14" s="21" t="str">
        <f ca="1"/>
        <v>Vents/ducts-other problem</v>
      </c>
      <c r="L14" s="21" t="str">
        <f ca="1"/>
        <v>In progress</v>
      </c>
      <c r="N14" s="21" t="str">
        <f ca="1"/>
        <v>7-03-0113</v>
      </c>
      <c r="O14" s="21" t="str">
        <f ca="1"/>
        <v>Barron Russell</v>
      </c>
      <c r="P14" s="21">
        <f ca="1"/>
        <v>26</v>
      </c>
      <c r="Q14" s="21" t="str">
        <f ca="1"/>
        <v>A/C does not cool properly</v>
      </c>
      <c r="R14" s="21" t="str">
        <f ca="1"/>
        <v>On hold</v>
      </c>
      <c r="T14" s="21" t="str">
        <f ca="1"/>
        <v>7-02-0204</v>
      </c>
      <c r="U14" s="21" t="str">
        <f ca="1"/>
        <v>Unassigned</v>
      </c>
      <c r="V14" s="21">
        <f ca="1"/>
        <v>2</v>
      </c>
      <c r="W14" s="21" t="str">
        <f ca="1"/>
        <v>DW does not work</v>
      </c>
      <c r="X14" s="24" t="str">
        <f ca="1"/>
        <v>In progress</v>
      </c>
      <c r="Z14" s="21" t="str">
        <f ca="1"/>
        <v>4-26-0427</v>
      </c>
      <c r="AA14" s="21" t="str">
        <f ca="1"/>
        <v>Diego Zapata</v>
      </c>
      <c r="AB14" s="21">
        <f ca="1"/>
        <v>65</v>
      </c>
      <c r="AC14" s="21" t="str">
        <f ca="1"/>
        <v>DW does not work</v>
      </c>
      <c r="AD14" s="21" t="str">
        <f ca="1"/>
        <v>On hold</v>
      </c>
      <c r="AF14" s="21" t="str">
        <f ca="1"/>
        <v>3-17-0204</v>
      </c>
      <c r="AG14" s="21" t="str">
        <f ca="1"/>
        <v>Unassigned</v>
      </c>
      <c r="AH14" s="21">
        <f ca="1"/>
        <v>43</v>
      </c>
      <c r="AI14" s="21" t="str">
        <f ca="1"/>
        <v>Washer-no cycle/rinse/spin</v>
      </c>
      <c r="AJ14" s="21" t="str">
        <f ca="1"/>
        <v>In progress</v>
      </c>
    </row>
    <row r="15" spans="2:36" x14ac:dyDescent="0.2">
      <c r="B15" s="21" t="str">
        <f ca="1"/>
        <v>4-27-0115</v>
      </c>
      <c r="C15" s="21" t="str">
        <f ca="1"/>
        <v>Rayniel Rincon</v>
      </c>
      <c r="D15" s="21">
        <f ca="1"/>
        <v>66</v>
      </c>
      <c r="E15" s="21" t="str">
        <f ca="1"/>
        <v>Other Issue</v>
      </c>
      <c r="F15" s="21" t="str">
        <f ca="1"/>
        <v>On hold</v>
      </c>
      <c r="H15" s="21" t="str">
        <f ca="1"/>
        <v>3-17-0204</v>
      </c>
      <c r="I15" s="21" t="str">
        <f ca="1"/>
        <v>Unassigned</v>
      </c>
      <c r="J15" s="21">
        <f ca="1"/>
        <v>43</v>
      </c>
      <c r="K15" s="21" t="str">
        <f ca="1"/>
        <v>Washer-no cycle/rinse/spin</v>
      </c>
      <c r="L15" s="21" t="str">
        <f ca="1"/>
        <v>In progress</v>
      </c>
      <c r="N15" s="21" t="str">
        <f ca="1"/>
        <v>7-03-0217</v>
      </c>
      <c r="O15" s="21" t="str">
        <f ca="1"/>
        <v>Barron Russell</v>
      </c>
      <c r="P15" s="21">
        <f ca="1"/>
        <v>24</v>
      </c>
      <c r="Q15" s="21" t="str">
        <f ca="1"/>
        <v>Other - Please see comments</v>
      </c>
      <c r="R15" s="21" t="str">
        <f ca="1"/>
        <v>In progress</v>
      </c>
      <c r="T15" s="21" t="str">
        <f ca="1"/>
        <v>7-02-0204</v>
      </c>
      <c r="U15" s="21" t="str">
        <f ca="1"/>
        <v>Unassigned</v>
      </c>
      <c r="V15" s="21">
        <f ca="1"/>
        <v>2</v>
      </c>
      <c r="W15" s="21" t="str">
        <f ca="1"/>
        <v>Other mail issue</v>
      </c>
      <c r="X15" s="24" t="str">
        <f ca="1"/>
        <v>In progress</v>
      </c>
      <c r="Z15" s="21" t="str">
        <f ca="1"/>
        <v>4-26-0422</v>
      </c>
      <c r="AA15" s="21" t="str">
        <f ca="1"/>
        <v>Latrell Dawson</v>
      </c>
      <c r="AB15" s="21">
        <f ca="1"/>
        <v>64</v>
      </c>
      <c r="AC15" s="21" t="str">
        <f ca="1"/>
        <v>Wood floor broken/needs repair</v>
      </c>
      <c r="AD15" s="21" t="str">
        <f ca="1"/>
        <v>On hold</v>
      </c>
      <c r="AF15" s="21" t="str">
        <f ca="1"/>
        <v>3-17-0303</v>
      </c>
      <c r="AG15" s="21" t="str">
        <f ca="1"/>
        <v>Unassigned</v>
      </c>
      <c r="AH15" s="21">
        <f ca="1"/>
        <v>33</v>
      </c>
      <c r="AI15" s="21" t="str">
        <f ca="1"/>
        <v>DW does not drain/backing up</v>
      </c>
      <c r="AJ15" s="21" t="str">
        <f ca="1"/>
        <v>In progress</v>
      </c>
    </row>
    <row r="16" spans="2:36" x14ac:dyDescent="0.2">
      <c r="B16" s="21" t="str">
        <f ca="1"/>
        <v>3-03-0310</v>
      </c>
      <c r="C16" s="21" t="str">
        <f ca="1"/>
        <v>Alexander Gonzalez</v>
      </c>
      <c r="D16" s="21">
        <f ca="1"/>
        <v>66</v>
      </c>
      <c r="E16" s="21" t="str">
        <f ca="1"/>
        <v>Vents/ducts-other problem</v>
      </c>
      <c r="F16" s="21" t="str">
        <f ca="1"/>
        <v>In progress</v>
      </c>
      <c r="H16" s="21" t="str">
        <f ca="1"/>
        <v>3-17-0303</v>
      </c>
      <c r="I16" s="21" t="str">
        <f ca="1"/>
        <v>Unassigned</v>
      </c>
      <c r="J16" s="21">
        <f ca="1"/>
        <v>33</v>
      </c>
      <c r="K16" s="21" t="str">
        <f ca="1"/>
        <v>DW does not drain/backing up</v>
      </c>
      <c r="L16" s="21" t="str">
        <f ca="1"/>
        <v>In progress</v>
      </c>
      <c r="N16" s="21" t="str">
        <f ca="1"/>
        <v>5-01-0217</v>
      </c>
      <c r="O16" s="21" t="str">
        <f ca="1"/>
        <v>Miguel Gonzalez</v>
      </c>
      <c r="P16" s="21">
        <f ca="1"/>
        <v>21</v>
      </c>
      <c r="Q16" s="21" t="str">
        <f ca="1"/>
        <v>Carpet is old/outdated</v>
      </c>
      <c r="R16" s="21" t="str">
        <f ca="1"/>
        <v>On hold</v>
      </c>
      <c r="T16" s="21" t="str">
        <f ca="1"/>
        <v>8-01-1005</v>
      </c>
      <c r="U16" s="21" t="str">
        <f ca="1"/>
        <v>Unassigned</v>
      </c>
      <c r="V16" s="21">
        <f ca="1"/>
        <v>1</v>
      </c>
      <c r="W16" s="21" t="str">
        <f ca="1"/>
        <v>Other - Please see comments</v>
      </c>
      <c r="X16" s="24" t="str">
        <f ca="1"/>
        <v>In progress</v>
      </c>
      <c r="Z16" s="21" t="str">
        <f ca="1"/>
        <v>3-02-0304</v>
      </c>
      <c r="AA16" s="21" t="str">
        <f ca="1"/>
        <v>Unassigned</v>
      </c>
      <c r="AB16" s="21">
        <f ca="1"/>
        <v>63</v>
      </c>
      <c r="AC16" s="21" t="str">
        <f ca="1"/>
        <v>Broken Window</v>
      </c>
      <c r="AD16" s="21" t="str">
        <f ca="1"/>
        <v>On hold</v>
      </c>
      <c r="AF16" s="21" t="str">
        <f ca="1"/>
        <v>4-04-7113</v>
      </c>
      <c r="AG16" s="21" t="str">
        <f ca="1"/>
        <v>Unassigned</v>
      </c>
      <c r="AH16" s="21">
        <f ca="1"/>
        <v>32</v>
      </c>
      <c r="AI16" s="21" t="str">
        <f ca="1"/>
        <v>Other - Please see comments</v>
      </c>
      <c r="AJ16" s="21" t="str">
        <f ca="1"/>
        <v>In progress</v>
      </c>
    </row>
    <row r="17" spans="2:36" x14ac:dyDescent="0.2">
      <c r="B17" s="21" t="str">
        <f ca="1"/>
        <v>3-01-0210</v>
      </c>
      <c r="C17" s="21" t="str">
        <f ca="1"/>
        <v>Dennis Arevalo</v>
      </c>
      <c r="D17" s="21">
        <f ca="1"/>
        <v>66</v>
      </c>
      <c r="E17" s="21" t="str">
        <f ca="1"/>
        <v>Other - Please see comments</v>
      </c>
      <c r="F17" s="21" t="str">
        <f ca="1"/>
        <v>In progress</v>
      </c>
      <c r="H17" s="21" t="str">
        <f ca="1"/>
        <v>4-04-7113</v>
      </c>
      <c r="I17" s="21" t="str">
        <f ca="1"/>
        <v>Unassigned</v>
      </c>
      <c r="J17" s="21">
        <f ca="1"/>
        <v>32</v>
      </c>
      <c r="K17" s="21" t="str">
        <f ca="1"/>
        <v>Other - Please see comments</v>
      </c>
      <c r="L17" s="21" t="str">
        <f ca="1"/>
        <v>In progress</v>
      </c>
      <c r="N17" s="21" t="str">
        <f ca="1"/>
        <v>5-18-0216</v>
      </c>
      <c r="O17" s="21" t="str">
        <f ca="1"/>
        <v>Latrell Dawson</v>
      </c>
      <c r="P17" s="21">
        <f ca="1"/>
        <v>21</v>
      </c>
      <c r="Q17" s="21" t="str">
        <f ca="1"/>
        <v>Other - Please see comments</v>
      </c>
      <c r="R17" s="21" t="str">
        <f ca="1"/>
        <v>In progress</v>
      </c>
      <c r="T17" s="21" t="str">
        <f ca="1"/>
        <v>8-01-4049</v>
      </c>
      <c r="U17" s="21" t="str">
        <f ca="1"/>
        <v>Unassigned</v>
      </c>
      <c r="V17" s="21">
        <f ca="1"/>
        <v>1</v>
      </c>
      <c r="W17" s="21" t="str">
        <f ca="1"/>
        <v>SmartLock broken</v>
      </c>
      <c r="X17" s="24" t="str">
        <f ca="1"/>
        <v>In progress</v>
      </c>
      <c r="Z17" s="21" t="str">
        <f ca="1"/>
        <v>4c-02-S306</v>
      </c>
      <c r="AA17" s="21" t="str">
        <f ca="1"/>
        <v>Unassigned</v>
      </c>
      <c r="AB17" s="21">
        <f ca="1"/>
        <v>60</v>
      </c>
      <c r="AC17" s="21" t="str">
        <f ca="1"/>
        <v>Drafts or poor air circulation</v>
      </c>
      <c r="AD17" s="21" t="str">
        <f ca="1"/>
        <v>In progress</v>
      </c>
      <c r="AF17" s="21" t="str">
        <f ca="1"/>
        <v>4-04-7113</v>
      </c>
      <c r="AG17" s="21" t="str">
        <f ca="1"/>
        <v>Unassigned</v>
      </c>
      <c r="AH17" s="21">
        <f ca="1"/>
        <v>28</v>
      </c>
      <c r="AI17" s="21" t="str">
        <f ca="1"/>
        <v>Other - Please see comments</v>
      </c>
      <c r="AJ17" s="21" t="str">
        <f ca="1"/>
        <v>In progress</v>
      </c>
    </row>
    <row r="18" spans="2:36" x14ac:dyDescent="0.2">
      <c r="B18" s="21" t="str">
        <f ca="1"/>
        <v>4-26-0427</v>
      </c>
      <c r="C18" s="21" t="str">
        <f ca="1"/>
        <v>Diego Zapata</v>
      </c>
      <c r="D18" s="21">
        <f ca="1"/>
        <v>65</v>
      </c>
      <c r="E18" s="21" t="str">
        <f ca="1"/>
        <v>DW does not work</v>
      </c>
      <c r="F18" s="21" t="str">
        <f ca="1"/>
        <v>On hold</v>
      </c>
      <c r="H18" s="21" t="str">
        <f ca="1"/>
        <v>4-04-7113</v>
      </c>
      <c r="I18" s="21" t="str">
        <f ca="1"/>
        <v>Unassigned</v>
      </c>
      <c r="J18" s="21">
        <f ca="1"/>
        <v>28</v>
      </c>
      <c r="K18" s="21" t="str">
        <f ca="1"/>
        <v>Other - Please see comments</v>
      </c>
      <c r="L18" s="21" t="str">
        <f ca="1"/>
        <v>In progress</v>
      </c>
      <c r="N18" s="21" t="str">
        <f ca="1"/>
        <v>7-TH4-0106</v>
      </c>
      <c r="O18" s="21" t="str">
        <f ca="1"/>
        <v>Miguel Gil</v>
      </c>
      <c r="P18" s="21">
        <f ca="1"/>
        <v>20</v>
      </c>
      <c r="Q18" s="21" t="str">
        <f ca="1"/>
        <v>Other - Please see comments</v>
      </c>
      <c r="R18" s="21" t="str">
        <f ca="1"/>
        <v>In progress</v>
      </c>
      <c r="T18" s="21" t="str">
        <f ca="1"/>
        <v>8-01-3076</v>
      </c>
      <c r="U18" s="21" t="str">
        <f ca="1"/>
        <v>Unassigned</v>
      </c>
      <c r="V18" s="21">
        <f ca="1"/>
        <v>1</v>
      </c>
      <c r="W18" s="21" t="str">
        <f ca="1"/>
        <v>Other - Please see comments</v>
      </c>
      <c r="X18" s="24" t="str">
        <f ca="1"/>
        <v>In progress</v>
      </c>
      <c r="Z18" s="21" t="str">
        <f ca="1"/>
        <v>3-01-0209</v>
      </c>
      <c r="AA18" s="21" t="str">
        <f ca="1"/>
        <v>Unassigned</v>
      </c>
      <c r="AB18" s="21">
        <f ca="1"/>
        <v>59</v>
      </c>
      <c r="AC18" s="21" t="str">
        <f ca="1"/>
        <v>Water or liquid coming through</v>
      </c>
      <c r="AD18" s="21" t="str">
        <f ca="1"/>
        <v>In progress</v>
      </c>
      <c r="AF18" s="21" t="str">
        <f ca="1"/>
        <v>4-05-5789</v>
      </c>
      <c r="AG18" s="21" t="str">
        <f ca="1"/>
        <v>Unassigned</v>
      </c>
      <c r="AH18" s="21">
        <f ca="1"/>
        <v>25</v>
      </c>
      <c r="AI18" s="21" t="str">
        <f ca="1"/>
        <v>Mw does not work/heat properly</v>
      </c>
      <c r="AJ18" s="21" t="str">
        <f ca="1"/>
        <v>In progress</v>
      </c>
    </row>
    <row r="19" spans="2:36" x14ac:dyDescent="0.2">
      <c r="B19" s="21" t="str">
        <f ca="1"/>
        <v>5-18-0425</v>
      </c>
      <c r="C19" s="21" t="str">
        <f ca="1"/>
        <v>Latrell Dawson</v>
      </c>
      <c r="D19" s="21">
        <f ca="1"/>
        <v>64</v>
      </c>
      <c r="E19" s="21" t="str">
        <f ca="1"/>
        <v>Gutter damaged</v>
      </c>
      <c r="F19" s="21" t="str">
        <f ca="1"/>
        <v>On hold</v>
      </c>
      <c r="H19" s="21" t="str">
        <f ca="1"/>
        <v>3-09-0106</v>
      </c>
      <c r="I19" s="21" t="str">
        <f ca="1"/>
        <v>Unassigned</v>
      </c>
      <c r="J19" s="21">
        <f ca="1"/>
        <v>25</v>
      </c>
      <c r="K19" s="21" t="str">
        <f ca="1"/>
        <v>Shower-other problem</v>
      </c>
      <c r="L19" s="21" t="str">
        <f ca="1"/>
        <v>In progress</v>
      </c>
      <c r="N19" s="21" t="str">
        <f ca="1"/>
        <v>5-18-0330</v>
      </c>
      <c r="O19" s="21" t="str">
        <f ca="1"/>
        <v>Yomar Gonzalez</v>
      </c>
      <c r="P19" s="21">
        <f ca="1"/>
        <v>17</v>
      </c>
      <c r="Q19" s="21" t="str">
        <f ca="1"/>
        <v>Washer-other problem</v>
      </c>
      <c r="R19" s="21" t="str">
        <f ca="1"/>
        <v>In progress</v>
      </c>
      <c r="T19" s="21" t="str">
        <f ca="1"/>
        <v>8-01-2039</v>
      </c>
      <c r="U19" s="21" t="str">
        <f ca="1"/>
        <v>Unassigned</v>
      </c>
      <c r="V19" s="21">
        <f ca="1"/>
        <v>1</v>
      </c>
      <c r="W19" s="21" t="str">
        <f ca="1"/>
        <v>Shower clogged</v>
      </c>
      <c r="X19" s="24" t="str">
        <f ca="1"/>
        <v>In progress</v>
      </c>
      <c r="Z19" s="21" t="str">
        <f ca="1"/>
        <v>3-28-0224</v>
      </c>
      <c r="AA19" s="21" t="str">
        <f ca="1"/>
        <v>Victor Castaneda</v>
      </c>
      <c r="AB19" s="21">
        <f ca="1"/>
        <v>58</v>
      </c>
      <c r="AC19" s="21" t="str">
        <f ca="1"/>
        <v>Carpet-other problem</v>
      </c>
      <c r="AD19" s="21" t="str">
        <f ca="1"/>
        <v>In progress</v>
      </c>
      <c r="AF19" s="21" t="str">
        <f ca="1"/>
        <v>4-05-5789</v>
      </c>
      <c r="AG19" s="21" t="str">
        <f ca="1"/>
        <v>Unassigned</v>
      </c>
      <c r="AH19" s="21">
        <f ca="1"/>
        <v>25</v>
      </c>
      <c r="AI19" s="21" t="str">
        <f ca="1"/>
        <v>Other - Please see comments</v>
      </c>
      <c r="AJ19" s="21" t="str">
        <f ca="1"/>
        <v>In progress</v>
      </c>
    </row>
    <row r="20" spans="2:36" x14ac:dyDescent="0.2">
      <c r="B20" s="21" t="str">
        <f ca="1"/>
        <v>4-26-0422</v>
      </c>
      <c r="C20" s="21" t="str">
        <f ca="1"/>
        <v>Latrell Dawson</v>
      </c>
      <c r="D20" s="21">
        <f ca="1"/>
        <v>64</v>
      </c>
      <c r="E20" s="21" t="str">
        <f ca="1"/>
        <v>Wood floor broken/needs repair</v>
      </c>
      <c r="F20" s="21" t="str">
        <f ca="1"/>
        <v>On hold</v>
      </c>
      <c r="H20" s="21" t="str">
        <f ca="1"/>
        <v>4-05-5789</v>
      </c>
      <c r="I20" s="21" t="str">
        <f ca="1"/>
        <v>Unassigned</v>
      </c>
      <c r="J20" s="21">
        <f ca="1"/>
        <v>25</v>
      </c>
      <c r="K20" s="21" t="str">
        <f ca="1"/>
        <v>A/C leaks</v>
      </c>
      <c r="L20" s="21" t="str">
        <f ca="1"/>
        <v>In progress</v>
      </c>
      <c r="N20" s="21" t="str">
        <f ca="1"/>
        <v>5-03-0133</v>
      </c>
      <c r="O20" s="21" t="str">
        <f ca="1"/>
        <v>Roberto Palacios</v>
      </c>
      <c r="P20" s="21">
        <f ca="1"/>
        <v>15</v>
      </c>
      <c r="Q20" s="21" t="str">
        <f ca="1"/>
        <v>Carpet-other problem</v>
      </c>
      <c r="R20" s="21" t="str">
        <f ca="1"/>
        <v>In progress</v>
      </c>
      <c r="T20" s="21" t="str">
        <f ca="1"/>
        <v>5-18-0111</v>
      </c>
      <c r="U20" s="21" t="str">
        <f ca="1"/>
        <v>Unassigned</v>
      </c>
      <c r="V20" s="21">
        <f ca="1"/>
        <v>1</v>
      </c>
      <c r="W20" s="21" t="str">
        <f ca="1"/>
        <v>Shower-other problem</v>
      </c>
      <c r="X20" s="24" t="str">
        <f ca="1"/>
        <v>In progress</v>
      </c>
      <c r="Z20" s="21" t="str">
        <f ca="1"/>
        <v>4-27-0116</v>
      </c>
      <c r="AA20" s="21" t="str">
        <f ca="1"/>
        <v>Rayniel Rincon</v>
      </c>
      <c r="AB20" s="21">
        <f ca="1"/>
        <v>58</v>
      </c>
      <c r="AC20" s="21" t="str">
        <f ca="1"/>
        <v>Dryer-other problem</v>
      </c>
      <c r="AD20" s="21" t="str">
        <f ca="1"/>
        <v>On hold</v>
      </c>
      <c r="AF20" s="21" t="str">
        <f ca="1"/>
        <v>3-09-0106</v>
      </c>
      <c r="AG20" s="21" t="str">
        <f ca="1"/>
        <v>Unassigned</v>
      </c>
      <c r="AH20" s="21">
        <f ca="1"/>
        <v>25</v>
      </c>
      <c r="AI20" s="21" t="str">
        <f ca="1"/>
        <v>Shower-other problem</v>
      </c>
      <c r="AJ20" s="21" t="str">
        <f ca="1"/>
        <v>In progress</v>
      </c>
    </row>
    <row r="21" spans="2:36" x14ac:dyDescent="0.2">
      <c r="B21" s="21" t="str">
        <f ca="1"/>
        <v>3-02-0304</v>
      </c>
      <c r="C21" s="21" t="str">
        <f ca="1"/>
        <v>Unassigned</v>
      </c>
      <c r="D21" s="21">
        <f ca="1"/>
        <v>63</v>
      </c>
      <c r="E21" s="21" t="str">
        <f ca="1"/>
        <v>Broken Window</v>
      </c>
      <c r="F21" s="21" t="str">
        <f ca="1"/>
        <v>On hold</v>
      </c>
      <c r="H21" s="21" t="str">
        <f ca="1"/>
        <v>3-09-0106</v>
      </c>
      <c r="I21" s="21" t="str">
        <f ca="1"/>
        <v>Unassigned</v>
      </c>
      <c r="J21" s="21">
        <f ca="1"/>
        <v>25</v>
      </c>
      <c r="K21" s="21" t="str">
        <f ca="1"/>
        <v>Vinyl flooring-other problem</v>
      </c>
      <c r="L21" s="21" t="str">
        <f ca="1"/>
        <v>In progress</v>
      </c>
      <c r="N21" s="21" t="str">
        <f ca="1"/>
        <v>5-18-0312</v>
      </c>
      <c r="O21" s="21" t="str">
        <f ca="1"/>
        <v>Latrell Dawson</v>
      </c>
      <c r="P21" s="21">
        <f ca="1"/>
        <v>13</v>
      </c>
      <c r="Q21" s="21" t="str">
        <f ca="1"/>
        <v>Paint faded/chipped</v>
      </c>
      <c r="R21" s="21" t="str">
        <f ca="1"/>
        <v>In progress</v>
      </c>
      <c r="T21" s="21" t="str">
        <f ca="1"/>
        <v>5-18-0310</v>
      </c>
      <c r="U21" s="21" t="str">
        <f ca="1"/>
        <v>Unassigned</v>
      </c>
      <c r="V21" s="21">
        <f ca="1"/>
        <v>1</v>
      </c>
      <c r="W21" s="21" t="str">
        <f ca="1"/>
        <v>Faucet-other problem</v>
      </c>
      <c r="X21" s="24" t="str">
        <f ca="1"/>
        <v>In progress</v>
      </c>
      <c r="Z21" s="21" t="str">
        <f ca="1"/>
        <v>4-22-0302</v>
      </c>
      <c r="AA21" s="21" t="str">
        <f ca="1"/>
        <v>Diego Zapata</v>
      </c>
      <c r="AB21" s="21">
        <f ca="1"/>
        <v>57</v>
      </c>
      <c r="AC21" s="21" t="str">
        <f ca="1"/>
        <v>DW-other problem</v>
      </c>
      <c r="AD21" s="21" t="str">
        <f ca="1"/>
        <v>In progress</v>
      </c>
      <c r="AF21" s="21" t="str">
        <f ca="1"/>
        <v>3-09-0106</v>
      </c>
      <c r="AG21" s="21" t="str">
        <f ca="1"/>
        <v>Unassigned</v>
      </c>
      <c r="AH21" s="21">
        <f ca="1"/>
        <v>25</v>
      </c>
      <c r="AI21" s="21" t="str">
        <f ca="1"/>
        <v>Vinyl flooring-other problem</v>
      </c>
      <c r="AJ21" s="21" t="str">
        <f ca="1"/>
        <v>In progress</v>
      </c>
    </row>
    <row r="22" spans="2:36" x14ac:dyDescent="0.2">
      <c r="B22" s="21" t="str">
        <f ca="1"/>
        <v>4c-02-S306</v>
      </c>
      <c r="C22" s="21" t="str">
        <f ca="1"/>
        <v>Unassigned</v>
      </c>
      <c r="D22" s="21">
        <f ca="1"/>
        <v>60</v>
      </c>
      <c r="E22" s="21" t="str">
        <f ca="1"/>
        <v>Drafts or poor air circulation</v>
      </c>
      <c r="F22" s="21" t="str">
        <f ca="1"/>
        <v>In progress</v>
      </c>
      <c r="H22" s="21" t="str">
        <f ca="1"/>
        <v>4-05-5789</v>
      </c>
      <c r="I22" s="21" t="str">
        <f ca="1"/>
        <v>Unassigned</v>
      </c>
      <c r="J22" s="21">
        <f ca="1"/>
        <v>25</v>
      </c>
      <c r="K22" s="21" t="str">
        <f ca="1"/>
        <v>Other - Please see comments</v>
      </c>
      <c r="L22" s="21" t="str">
        <f ca="1"/>
        <v>In progress</v>
      </c>
      <c r="N22" s="21" t="str">
        <f ca="1"/>
        <v>7-09-0206</v>
      </c>
      <c r="O22" s="21" t="str">
        <f ca="1"/>
        <v>Barron Russell</v>
      </c>
      <c r="P22" s="21">
        <f ca="1"/>
        <v>9</v>
      </c>
      <c r="Q22" s="21" t="str">
        <f ca="1"/>
        <v>Sink leaks</v>
      </c>
      <c r="R22" s="21" t="str">
        <f ca="1"/>
        <v>In progress</v>
      </c>
      <c r="Z22" s="21" t="str">
        <f ca="1"/>
        <v>4-24-0101</v>
      </c>
      <c r="AA22" s="21" t="str">
        <f ca="1"/>
        <v>Dennis Arevalo</v>
      </c>
      <c r="AB22" s="21">
        <f ca="1"/>
        <v>53</v>
      </c>
      <c r="AC22" s="21" t="str">
        <f ca="1"/>
        <v>Faucet broken</v>
      </c>
      <c r="AD22" s="21" t="str">
        <f ca="1"/>
        <v>In progress</v>
      </c>
      <c r="AF22" s="21" t="str">
        <f ca="1"/>
        <v>4-05-5789</v>
      </c>
      <c r="AG22" s="21" t="str">
        <f ca="1"/>
        <v>Unassigned</v>
      </c>
      <c r="AH22" s="21">
        <f ca="1"/>
        <v>25</v>
      </c>
      <c r="AI22" s="21" t="str">
        <f ca="1"/>
        <v>Cracked or separated pieces</v>
      </c>
      <c r="AJ22" s="21" t="str">
        <f ca="1"/>
        <v>In progress</v>
      </c>
    </row>
    <row r="23" spans="2:36" x14ac:dyDescent="0.2">
      <c r="B23" s="21" t="str">
        <f ca="1"/>
        <v>3-01-0209</v>
      </c>
      <c r="C23" s="21" t="str">
        <f ca="1"/>
        <v>Unassigned</v>
      </c>
      <c r="D23" s="21">
        <f ca="1"/>
        <v>59</v>
      </c>
      <c r="E23" s="21" t="str">
        <f ca="1"/>
        <v>Water or liquid coming through</v>
      </c>
      <c r="F23" s="21" t="str">
        <f ca="1"/>
        <v>In progress</v>
      </c>
      <c r="H23" s="21" t="str">
        <f ca="1"/>
        <v>4-05-5789</v>
      </c>
      <c r="I23" s="21" t="str">
        <f ca="1"/>
        <v>Unassigned</v>
      </c>
      <c r="J23" s="21">
        <f ca="1"/>
        <v>25</v>
      </c>
      <c r="K23" s="21" t="str">
        <f ca="1"/>
        <v>Mw does not work/heat properly</v>
      </c>
      <c r="L23" s="21" t="str">
        <f ca="1"/>
        <v>In progress</v>
      </c>
      <c r="N23" s="21" t="str">
        <f ca="1"/>
        <v>5-03-0429</v>
      </c>
      <c r="O23" s="21" t="str">
        <f ca="1"/>
        <v>Miguel Gonzalez</v>
      </c>
      <c r="P23" s="21">
        <f ca="1"/>
        <v>9</v>
      </c>
      <c r="Q23" s="21" t="str">
        <f ca="1"/>
        <v>Carpet is wet</v>
      </c>
      <c r="R23" s="21" t="str">
        <f ca="1"/>
        <v>On hold</v>
      </c>
      <c r="Z23" s="21" t="str">
        <f ca="1"/>
        <v>4-05-5791</v>
      </c>
      <c r="AA23" s="21" t="str">
        <f ca="1"/>
        <v>Unassigned</v>
      </c>
      <c r="AB23" s="21">
        <f ca="1"/>
        <v>51</v>
      </c>
      <c r="AC23" s="21" t="str">
        <f ca="1"/>
        <v>Other - Please see comments</v>
      </c>
      <c r="AD23" s="21" t="str">
        <f ca="1"/>
        <v>In progress</v>
      </c>
      <c r="AF23" s="21" t="str">
        <f ca="1"/>
        <v>4-05-5789</v>
      </c>
      <c r="AG23" s="21" t="str">
        <f ca="1"/>
        <v>Unassigned</v>
      </c>
      <c r="AH23" s="21">
        <f ca="1"/>
        <v>25</v>
      </c>
      <c r="AI23" s="21" t="str">
        <f ca="1"/>
        <v>Vents/ducts dirty/odor</v>
      </c>
      <c r="AJ23" s="21" t="str">
        <f ca="1"/>
        <v>In progress</v>
      </c>
    </row>
    <row r="24" spans="2:36" x14ac:dyDescent="0.2">
      <c r="B24" s="21" t="str">
        <f ca="1"/>
        <v>4-27-0116</v>
      </c>
      <c r="C24" s="21" t="str">
        <f ca="1"/>
        <v>Rayniel Rincon</v>
      </c>
      <c r="D24" s="21">
        <f ca="1"/>
        <v>58</v>
      </c>
      <c r="E24" s="21" t="str">
        <f ca="1"/>
        <v>Dryer-other problem</v>
      </c>
      <c r="F24" s="21" t="str">
        <f ca="1"/>
        <v>On hold</v>
      </c>
      <c r="H24" s="21" t="str">
        <f ca="1"/>
        <v>4-05-5789</v>
      </c>
      <c r="I24" s="21" t="str">
        <f ca="1"/>
        <v>Unassigned</v>
      </c>
      <c r="J24" s="21">
        <f ca="1"/>
        <v>25</v>
      </c>
      <c r="K24" s="21" t="str">
        <f ca="1"/>
        <v>Cracked or separated pieces</v>
      </c>
      <c r="L24" s="21" t="str">
        <f ca="1"/>
        <v>In progress</v>
      </c>
      <c r="N24" s="21" t="str">
        <f ca="1"/>
        <v>5-16-0303</v>
      </c>
      <c r="O24" s="21" t="str">
        <f ca="1"/>
        <v>Latrell Dawson</v>
      </c>
      <c r="P24" s="21">
        <f ca="1"/>
        <v>9</v>
      </c>
      <c r="Q24" s="21" t="str">
        <f ca="1"/>
        <v>Other - Please see comments</v>
      </c>
      <c r="R24" s="21" t="str">
        <f ca="1"/>
        <v>In progress</v>
      </c>
      <c r="Z24" s="21" t="str">
        <f ca="1"/>
        <v>4-23-0217</v>
      </c>
      <c r="AA24" s="21" t="str">
        <f ca="1"/>
        <v>Rayniel Rincon</v>
      </c>
      <c r="AB24" s="21">
        <f ca="1"/>
        <v>50</v>
      </c>
      <c r="AC24" s="21" t="str">
        <f ca="1"/>
        <v>Shower-other problem</v>
      </c>
      <c r="AD24" s="21" t="str">
        <f ca="1"/>
        <v>In progress</v>
      </c>
      <c r="AF24" s="21" t="str">
        <f ca="1"/>
        <v>4-05-5789</v>
      </c>
      <c r="AG24" s="21" t="str">
        <f ca="1"/>
        <v>Unassigned</v>
      </c>
      <c r="AH24" s="21">
        <f ca="1"/>
        <v>25</v>
      </c>
      <c r="AI24" s="21" t="str">
        <f ca="1"/>
        <v>A/C leaks</v>
      </c>
      <c r="AJ24" s="21" t="str">
        <f ca="1"/>
        <v>In progress</v>
      </c>
    </row>
    <row r="25" spans="2:36" x14ac:dyDescent="0.2">
      <c r="B25" s="21" t="str">
        <f ca="1"/>
        <v>3-28-0224</v>
      </c>
      <c r="C25" s="21" t="str">
        <f ca="1"/>
        <v>Victor Castaneda</v>
      </c>
      <c r="D25" s="21">
        <f ca="1"/>
        <v>58</v>
      </c>
      <c r="E25" s="21" t="str">
        <f ca="1"/>
        <v>Carpet-other problem</v>
      </c>
      <c r="F25" s="21" t="str">
        <f ca="1"/>
        <v>In progress</v>
      </c>
      <c r="H25" s="21" t="str">
        <f ca="1"/>
        <v>4-05-5789</v>
      </c>
      <c r="I25" s="21" t="str">
        <f ca="1"/>
        <v>Unassigned</v>
      </c>
      <c r="J25" s="21">
        <f ca="1"/>
        <v>25</v>
      </c>
      <c r="K25" s="21" t="str">
        <f ca="1"/>
        <v>Vents/ducts dirty/odor</v>
      </c>
      <c r="L25" s="21" t="str">
        <f ca="1"/>
        <v>In progress</v>
      </c>
      <c r="N25" s="21" t="str">
        <f ca="1"/>
        <v>7-11-0206</v>
      </c>
      <c r="O25" s="21" t="str">
        <f ca="1"/>
        <v>Barron Russell</v>
      </c>
      <c r="P25" s="21">
        <f ca="1"/>
        <v>7</v>
      </c>
      <c r="Q25" s="21" t="str">
        <f ca="1"/>
        <v>Other Issue</v>
      </c>
      <c r="R25" s="21" t="str">
        <f ca="1"/>
        <v>In progress</v>
      </c>
      <c r="Z25" s="21" t="str">
        <f ca="1"/>
        <v>4c-01-W208</v>
      </c>
      <c r="AA25" s="21" t="str">
        <f ca="1"/>
        <v>Unassigned</v>
      </c>
      <c r="AB25" s="21">
        <f ca="1"/>
        <v>48</v>
      </c>
      <c r="AC25" s="21" t="str">
        <f ca="1"/>
        <v>Shower control knob broken</v>
      </c>
      <c r="AD25" s="21" t="str">
        <f ca="1"/>
        <v>In progress</v>
      </c>
      <c r="AF25" s="21" t="str">
        <f ca="1"/>
        <v>4c-02-S301</v>
      </c>
      <c r="AG25" s="21" t="str">
        <f ca="1"/>
        <v>Unassigned</v>
      </c>
      <c r="AH25" s="21">
        <f ca="1"/>
        <v>24</v>
      </c>
      <c r="AI25" s="21" t="str">
        <f ca="1"/>
        <v>Frig light does not work</v>
      </c>
      <c r="AJ25" s="21" t="str">
        <f ca="1"/>
        <v>In progress</v>
      </c>
    </row>
    <row r="26" spans="2:36" x14ac:dyDescent="0.2">
      <c r="B26" s="21" t="str">
        <f ca="1"/>
        <v>4-22-0302</v>
      </c>
      <c r="C26" s="21" t="str">
        <f ca="1"/>
        <v>Diego Zapata</v>
      </c>
      <c r="D26" s="21">
        <f ca="1"/>
        <v>57</v>
      </c>
      <c r="E26" s="21" t="str">
        <f ca="1"/>
        <v>DW-other problem</v>
      </c>
      <c r="F26" s="21" t="str">
        <f ca="1"/>
        <v>In progress</v>
      </c>
      <c r="H26" s="21" t="str">
        <f ca="1"/>
        <v>4c-02-S301</v>
      </c>
      <c r="I26" s="21" t="str">
        <f ca="1"/>
        <v>Unassigned</v>
      </c>
      <c r="J26" s="21">
        <f ca="1"/>
        <v>24</v>
      </c>
      <c r="K26" s="21" t="str">
        <f ca="1"/>
        <v>Frig light does not work</v>
      </c>
      <c r="L26" s="21" t="str">
        <f ca="1"/>
        <v>In progress</v>
      </c>
      <c r="N26" s="21" t="str">
        <f ca="1"/>
        <v>8-01-3101</v>
      </c>
      <c r="O26" s="21" t="str">
        <f ca="1"/>
        <v>Miguel Gil</v>
      </c>
      <c r="P26" s="21">
        <f ca="1"/>
        <v>7</v>
      </c>
      <c r="Q26" s="21" t="str">
        <f ca="1"/>
        <v>Other - Please see comments</v>
      </c>
      <c r="R26" s="21" t="str">
        <f ca="1"/>
        <v>In progress</v>
      </c>
      <c r="Z26" s="21" t="str">
        <f ca="1"/>
        <v>4-11-7129</v>
      </c>
      <c r="AA26" s="21" t="str">
        <f ca="1"/>
        <v>Unassigned</v>
      </c>
      <c r="AB26" s="21">
        <f ca="1"/>
        <v>48</v>
      </c>
      <c r="AC26" s="21" t="str">
        <f ca="1"/>
        <v>Water or liquid coming through</v>
      </c>
      <c r="AD26" s="21" t="str">
        <f ca="1"/>
        <v>In progress</v>
      </c>
      <c r="AF26" s="21" t="str">
        <f ca="1"/>
        <v>4-21-0223</v>
      </c>
      <c r="AG26" s="21" t="str">
        <f ca="1"/>
        <v>Unassigned</v>
      </c>
      <c r="AH26" s="21">
        <f ca="1"/>
        <v>21</v>
      </c>
      <c r="AI26" s="21" t="str">
        <f ca="1"/>
        <v>Other - Please see comments</v>
      </c>
      <c r="AJ26" s="21" t="str">
        <f ca="1"/>
        <v>In progress</v>
      </c>
    </row>
    <row r="27" spans="2:36" x14ac:dyDescent="0.2">
      <c r="B27" s="21" t="str">
        <f ca="1"/>
        <v>5-12-0205</v>
      </c>
      <c r="C27" s="21" t="str">
        <f ca="1"/>
        <v>Latrell Dawson</v>
      </c>
      <c r="D27" s="21">
        <f ca="1"/>
        <v>54</v>
      </c>
      <c r="E27" s="21" t="str">
        <f ca="1"/>
        <v>Cabinet door missing</v>
      </c>
      <c r="F27" s="21" t="str">
        <f ca="1"/>
        <v>On hold</v>
      </c>
      <c r="H27" s="21" t="str">
        <f ca="1"/>
        <v>4-21-0223</v>
      </c>
      <c r="I27" s="21" t="str">
        <f ca="1"/>
        <v>Unassigned</v>
      </c>
      <c r="J27" s="21">
        <f ca="1"/>
        <v>21</v>
      </c>
      <c r="K27" s="21" t="str">
        <f ca="1"/>
        <v>Other - Please see comments</v>
      </c>
      <c r="L27" s="21" t="str">
        <f ca="1"/>
        <v>In progress</v>
      </c>
      <c r="N27" s="21" t="str">
        <f ca="1"/>
        <v>5-18-0413</v>
      </c>
      <c r="O27" s="21" t="str">
        <f ca="1"/>
        <v>Yomar Gonzalez</v>
      </c>
      <c r="P27" s="21">
        <f ca="1"/>
        <v>7</v>
      </c>
      <c r="Q27" s="21" t="str">
        <f ca="1"/>
        <v>Other - Please see comments</v>
      </c>
      <c r="R27" s="21" t="str">
        <f ca="1"/>
        <v>In progress</v>
      </c>
      <c r="Z27" s="21" t="str">
        <f ca="1"/>
        <v>4-21-0316</v>
      </c>
      <c r="AA27" s="21" t="str">
        <f ca="1"/>
        <v>Unassigned</v>
      </c>
      <c r="AB27" s="21">
        <f ca="1"/>
        <v>46</v>
      </c>
      <c r="AC27" s="21" t="str">
        <f ca="1"/>
        <v>Vents/ducts dirty/odor</v>
      </c>
      <c r="AD27" s="21" t="str">
        <f ca="1"/>
        <v>In progress</v>
      </c>
      <c r="AF27" s="21" t="str">
        <f ca="1"/>
        <v>3-13-0005</v>
      </c>
      <c r="AG27" s="21" t="str">
        <f ca="1"/>
        <v>Unassigned</v>
      </c>
      <c r="AH27" s="21">
        <f ca="1"/>
        <v>19</v>
      </c>
      <c r="AI27" s="21" t="str">
        <f ca="1"/>
        <v>Other - Please see comments</v>
      </c>
      <c r="AJ27" s="21" t="str">
        <f ca="1"/>
        <v>In progress</v>
      </c>
    </row>
    <row r="28" spans="2:36" x14ac:dyDescent="0.2">
      <c r="B28" s="21" t="str">
        <f ca="1"/>
        <v>4-24-0101</v>
      </c>
      <c r="C28" s="21" t="str">
        <f ca="1"/>
        <v>Dennis Arevalo</v>
      </c>
      <c r="D28" s="21">
        <f ca="1"/>
        <v>53</v>
      </c>
      <c r="E28" s="21" t="str">
        <f ca="1"/>
        <v>Faucet broken</v>
      </c>
      <c r="F28" s="21" t="str">
        <f ca="1"/>
        <v>In progress</v>
      </c>
      <c r="H28" s="21" t="str">
        <f ca="1"/>
        <v>3-13-0005</v>
      </c>
      <c r="I28" s="21" t="str">
        <f ca="1"/>
        <v>Unassigned</v>
      </c>
      <c r="J28" s="21">
        <f ca="1"/>
        <v>19</v>
      </c>
      <c r="K28" s="21" t="str">
        <f ca="1"/>
        <v>Mw light does not work</v>
      </c>
      <c r="L28" s="21" t="str">
        <f ca="1"/>
        <v>In progress</v>
      </c>
      <c r="N28" s="21" t="str">
        <f ca="1"/>
        <v>5-18-0137</v>
      </c>
      <c r="O28" s="21" t="str">
        <f ca="1"/>
        <v>Unassigned</v>
      </c>
      <c r="P28" s="21">
        <f ca="1"/>
        <v>6</v>
      </c>
      <c r="Q28" s="21" t="str">
        <f ca="1"/>
        <v>Other - Please see comments</v>
      </c>
      <c r="R28" s="21" t="str">
        <f ca="1"/>
        <v>In progress</v>
      </c>
      <c r="Z28" s="21" t="str">
        <f ca="1"/>
        <v>4-12-7105</v>
      </c>
      <c r="AA28" s="21" t="str">
        <f ca="1"/>
        <v>Rayniel Rincon</v>
      </c>
      <c r="AB28" s="21">
        <f ca="1"/>
        <v>45</v>
      </c>
      <c r="AC28" s="21" t="str">
        <f ca="1"/>
        <v>Other - Please see comments</v>
      </c>
      <c r="AD28" s="21" t="str">
        <f ca="1"/>
        <v>In progress</v>
      </c>
      <c r="AF28" s="21" t="str">
        <f ca="1"/>
        <v>3-13-0005</v>
      </c>
      <c r="AG28" s="21" t="str">
        <f ca="1"/>
        <v>Unassigned</v>
      </c>
      <c r="AH28" s="21">
        <f ca="1"/>
        <v>19</v>
      </c>
      <c r="AI28" s="21" t="str">
        <f ca="1"/>
        <v>Other - Please see comments</v>
      </c>
      <c r="AJ28" s="21" t="str">
        <f ca="1"/>
        <v>In progress</v>
      </c>
    </row>
    <row r="29" spans="2:36" x14ac:dyDescent="0.2">
      <c r="B29" s="21" t="str">
        <f ca="1"/>
        <v>4-05-5791</v>
      </c>
      <c r="C29" s="21" t="str">
        <f ca="1"/>
        <v>Unassigned</v>
      </c>
      <c r="D29" s="21">
        <f ca="1"/>
        <v>51</v>
      </c>
      <c r="E29" s="21" t="str">
        <f ca="1"/>
        <v>Other - Please see comments</v>
      </c>
      <c r="F29" s="21" t="str">
        <f ca="1"/>
        <v>In progress</v>
      </c>
      <c r="H29" s="21" t="str">
        <f ca="1"/>
        <v>3-13-0005</v>
      </c>
      <c r="I29" s="21" t="str">
        <f ca="1"/>
        <v>Unassigned</v>
      </c>
      <c r="J29" s="21">
        <f ca="1"/>
        <v>19</v>
      </c>
      <c r="K29" s="21" t="str">
        <f ca="1"/>
        <v>Other - Please see comments</v>
      </c>
      <c r="L29" s="21" t="str">
        <f ca="1"/>
        <v>In progress</v>
      </c>
      <c r="N29" s="21" t="str">
        <f ca="1"/>
        <v>7-11-0508</v>
      </c>
      <c r="O29" s="21" t="str">
        <f ca="1"/>
        <v>Unassigned</v>
      </c>
      <c r="P29" s="21">
        <f ca="1"/>
        <v>6</v>
      </c>
      <c r="Q29" s="21" t="str">
        <f ca="1"/>
        <v>Make Ready</v>
      </c>
      <c r="R29" s="21" t="str">
        <f ca="1"/>
        <v>In progress</v>
      </c>
      <c r="Z29" s="21" t="str">
        <f ca="1"/>
        <v>3-31-0205</v>
      </c>
      <c r="AA29" s="21" t="str">
        <f ca="1"/>
        <v>Victor Castaneda</v>
      </c>
      <c r="AB29" s="21">
        <f ca="1"/>
        <v>44</v>
      </c>
      <c r="AC29" s="21" t="str">
        <f ca="1"/>
        <v>Ext door damaged/broken</v>
      </c>
      <c r="AD29" s="21" t="str">
        <f ca="1"/>
        <v>In progress</v>
      </c>
      <c r="AF29" s="21" t="str">
        <f ca="1"/>
        <v>3-13-0005</v>
      </c>
      <c r="AG29" s="21" t="str">
        <f ca="1"/>
        <v>Unassigned</v>
      </c>
      <c r="AH29" s="21">
        <f ca="1"/>
        <v>19</v>
      </c>
      <c r="AI29" s="21" t="str">
        <f ca="1"/>
        <v>Mw light does not work</v>
      </c>
      <c r="AJ29" s="21" t="str">
        <f ca="1"/>
        <v>In progress</v>
      </c>
    </row>
    <row r="30" spans="2:36" x14ac:dyDescent="0.2">
      <c r="B30" s="21" t="str">
        <f ca="1"/>
        <v>4-23-0217</v>
      </c>
      <c r="C30" s="21" t="str">
        <f ca="1"/>
        <v>Rayniel Rincon</v>
      </c>
      <c r="D30" s="21">
        <f ca="1"/>
        <v>50</v>
      </c>
      <c r="E30" s="21" t="str">
        <f ca="1"/>
        <v>Shower-other problem</v>
      </c>
      <c r="F30" s="21" t="str">
        <f ca="1"/>
        <v>In progress</v>
      </c>
      <c r="H30" s="21" t="str">
        <f ca="1"/>
        <v>3-13-0005</v>
      </c>
      <c r="I30" s="21" t="str">
        <f ca="1"/>
        <v>Unassigned</v>
      </c>
      <c r="J30" s="21">
        <f ca="1"/>
        <v>19</v>
      </c>
      <c r="K30" s="21" t="str">
        <f ca="1"/>
        <v>Other - Please see comments</v>
      </c>
      <c r="L30" s="21" t="str">
        <f ca="1"/>
        <v>In progress</v>
      </c>
      <c r="N30" s="21" t="str">
        <f ca="1"/>
        <v>5-18-0320</v>
      </c>
      <c r="O30" s="21" t="str">
        <f ca="1"/>
        <v>Latrell Dawson</v>
      </c>
      <c r="P30" s="21">
        <f ca="1"/>
        <v>6</v>
      </c>
      <c r="Q30" s="21" t="str">
        <f ca="1"/>
        <v>Frig/freezer/ice maker leaks</v>
      </c>
      <c r="R30" s="21" t="str">
        <f ca="1"/>
        <v>In progress</v>
      </c>
      <c r="Z30" s="21" t="str">
        <f ca="1"/>
        <v>4-25-0105</v>
      </c>
      <c r="AA30" s="21" t="str">
        <f ca="1"/>
        <v>Dennis Arevalo</v>
      </c>
      <c r="AB30" s="21">
        <f ca="1"/>
        <v>44</v>
      </c>
      <c r="AC30" s="21" t="str">
        <f ca="1"/>
        <v>Dryer takes too long to dry</v>
      </c>
      <c r="AD30" s="21" t="str">
        <f ca="1"/>
        <v>In progress</v>
      </c>
      <c r="AF30" s="21" t="str">
        <f ca="1"/>
        <v>4-07-5764</v>
      </c>
      <c r="AG30" s="21" t="str">
        <f ca="1"/>
        <v>Unassigned</v>
      </c>
      <c r="AH30" s="21">
        <f ca="1"/>
        <v>18</v>
      </c>
      <c r="AI30" s="21" t="str">
        <f ca="1"/>
        <v>Ext door-other problem</v>
      </c>
      <c r="AJ30" s="21" t="str">
        <f ca="1"/>
        <v>In progress</v>
      </c>
    </row>
    <row r="31" spans="2:36" x14ac:dyDescent="0.2">
      <c r="B31" s="21" t="str">
        <f ca="1"/>
        <v>5-04-5740</v>
      </c>
      <c r="C31" s="21" t="str">
        <f ca="1"/>
        <v>Yomar Gonzalez</v>
      </c>
      <c r="D31" s="21">
        <f ca="1"/>
        <v>50</v>
      </c>
      <c r="E31" s="21" t="str">
        <f ca="1"/>
        <v>Mirror-other problem</v>
      </c>
      <c r="F31" s="21" t="str">
        <f ca="1"/>
        <v>On hold</v>
      </c>
      <c r="H31" s="21" t="str">
        <f ca="1"/>
        <v>4-07-5764</v>
      </c>
      <c r="I31" s="21" t="str">
        <f ca="1"/>
        <v>Unassigned</v>
      </c>
      <c r="J31" s="21">
        <f ca="1"/>
        <v>18</v>
      </c>
      <c r="K31" s="21" t="str">
        <f ca="1"/>
        <v>Other - Please see comments</v>
      </c>
      <c r="L31" s="21" t="str">
        <f ca="1"/>
        <v>In progress</v>
      </c>
      <c r="N31" s="21" t="str">
        <f ca="1"/>
        <v>7-04-0209</v>
      </c>
      <c r="O31" s="21" t="str">
        <f ca="1"/>
        <v>Yomar Gonzalez</v>
      </c>
      <c r="P31" s="21">
        <f ca="1"/>
        <v>4</v>
      </c>
      <c r="Q31" s="21" t="str">
        <f ca="1"/>
        <v>Int door hinge problems</v>
      </c>
      <c r="R31" s="21" t="str">
        <f ca="1"/>
        <v>On hold</v>
      </c>
      <c r="Z31" s="21" t="str">
        <f ca="1"/>
        <v>3-17-0204</v>
      </c>
      <c r="AA31" s="21" t="str">
        <f ca="1"/>
        <v>Unassigned</v>
      </c>
      <c r="AB31" s="21">
        <f ca="1"/>
        <v>43</v>
      </c>
      <c r="AC31" s="21" t="str">
        <f ca="1"/>
        <v>Washer-no cycle/rinse/spin</v>
      </c>
      <c r="AD31" s="21" t="str">
        <f ca="1"/>
        <v>In progress</v>
      </c>
      <c r="AF31" s="21" t="str">
        <f ca="1"/>
        <v>3-02-0202</v>
      </c>
      <c r="AG31" s="21" t="str">
        <f ca="1"/>
        <v>Unassigned</v>
      </c>
      <c r="AH31" s="21">
        <f ca="1"/>
        <v>18</v>
      </c>
      <c r="AI31" s="21" t="str">
        <f ca="1"/>
        <v>Paint faded/chipped</v>
      </c>
      <c r="AJ31" s="21" t="str">
        <f ca="1"/>
        <v>In progress</v>
      </c>
    </row>
    <row r="32" spans="2:36" x14ac:dyDescent="0.2">
      <c r="B32" s="21" t="str">
        <f ca="1"/>
        <v>4-11-7129</v>
      </c>
      <c r="C32" s="21" t="str">
        <f ca="1"/>
        <v>Unassigned</v>
      </c>
      <c r="D32" s="21">
        <f ca="1"/>
        <v>48</v>
      </c>
      <c r="E32" s="21" t="str">
        <f ca="1"/>
        <v>Water or liquid coming through</v>
      </c>
      <c r="F32" s="21" t="str">
        <f ca="1"/>
        <v>In progress</v>
      </c>
      <c r="H32" s="21" t="str">
        <f ca="1"/>
        <v>3-02-0202</v>
      </c>
      <c r="I32" s="21" t="str">
        <f ca="1"/>
        <v>Unassigned</v>
      </c>
      <c r="J32" s="21">
        <f ca="1"/>
        <v>18</v>
      </c>
      <c r="K32" s="21" t="str">
        <f ca="1"/>
        <v>Paint faded/chipped</v>
      </c>
      <c r="L32" s="21" t="str">
        <f ca="1"/>
        <v>In progress</v>
      </c>
      <c r="N32" s="21" t="str">
        <f ca="1"/>
        <v>8-01-3009</v>
      </c>
      <c r="O32" s="21" t="str">
        <f ca="1"/>
        <v>Minnie Reyes</v>
      </c>
      <c r="P32" s="21">
        <f ca="1"/>
        <v>4</v>
      </c>
      <c r="Q32" s="21" t="str">
        <f ca="1"/>
        <v>Pest Control requested</v>
      </c>
      <c r="R32" s="21" t="str">
        <f ca="1"/>
        <v>In progress</v>
      </c>
      <c r="Z32" s="21" t="str">
        <f ca="1"/>
        <v>4-05-5791</v>
      </c>
      <c r="AA32" s="21" t="str">
        <f ca="1"/>
        <v>Unassigned</v>
      </c>
      <c r="AB32" s="21">
        <f ca="1"/>
        <v>43</v>
      </c>
      <c r="AC32" s="21" t="str">
        <f ca="1"/>
        <v>Vents/ducts-other problem</v>
      </c>
      <c r="AD32" s="21" t="str">
        <f ca="1"/>
        <v>In progress</v>
      </c>
      <c r="AF32" s="21" t="str">
        <f ca="1"/>
        <v>4-04-7105</v>
      </c>
      <c r="AG32" s="21" t="str">
        <f ca="1"/>
        <v>Unassigned</v>
      </c>
      <c r="AH32" s="21">
        <f ca="1"/>
        <v>18</v>
      </c>
      <c r="AI32" s="21" t="str">
        <f ca="1"/>
        <v>Other - Please see comments</v>
      </c>
      <c r="AJ32" s="21" t="str">
        <f ca="1"/>
        <v>In progress</v>
      </c>
    </row>
    <row r="33" spans="2:36" x14ac:dyDescent="0.2">
      <c r="B33" s="21" t="str">
        <f ca="1"/>
        <v>4c-01-W208</v>
      </c>
      <c r="C33" s="21" t="str">
        <f ca="1"/>
        <v>Unassigned</v>
      </c>
      <c r="D33" s="21">
        <f ca="1"/>
        <v>48</v>
      </c>
      <c r="E33" s="21" t="str">
        <f ca="1"/>
        <v>Shower control knob broken</v>
      </c>
      <c r="F33" s="21" t="str">
        <f ca="1"/>
        <v>In progress</v>
      </c>
      <c r="H33" s="21" t="str">
        <f ca="1"/>
        <v>4-04-7105</v>
      </c>
      <c r="I33" s="21" t="str">
        <f ca="1"/>
        <v>Unassigned</v>
      </c>
      <c r="J33" s="21">
        <f ca="1"/>
        <v>18</v>
      </c>
      <c r="K33" s="21" t="str">
        <f ca="1"/>
        <v>Other - Please see comments</v>
      </c>
      <c r="L33" s="21" t="str">
        <f ca="1"/>
        <v>In progress</v>
      </c>
      <c r="N33" s="21" t="str">
        <f ca="1"/>
        <v>5-18-0102</v>
      </c>
      <c r="O33" s="21" t="str">
        <f ca="1"/>
        <v>Latrell Dawson</v>
      </c>
      <c r="P33" s="21">
        <f ca="1"/>
        <v>4</v>
      </c>
      <c r="Q33" s="21" t="str">
        <f ca="1"/>
        <v>Ceiling fan is noisy</v>
      </c>
      <c r="R33" s="21" t="str">
        <f ca="1"/>
        <v>In progress</v>
      </c>
      <c r="Z33" s="21" t="str">
        <f ca="1"/>
        <v>4-27-0211</v>
      </c>
      <c r="AA33" s="21" t="str">
        <f ca="1"/>
        <v>Dennis Arevalo</v>
      </c>
      <c r="AB33" s="21">
        <f ca="1"/>
        <v>43</v>
      </c>
      <c r="AC33" s="21" t="str">
        <f ca="1"/>
        <v>Damaged or missing screens</v>
      </c>
      <c r="AD33" s="21" t="str">
        <f ca="1"/>
        <v>In progress</v>
      </c>
      <c r="AF33" s="21" t="str">
        <f ca="1"/>
        <v>4-07-5764</v>
      </c>
      <c r="AG33" s="21" t="str">
        <f ca="1"/>
        <v>Unassigned</v>
      </c>
      <c r="AH33" s="21">
        <f ca="1"/>
        <v>18</v>
      </c>
      <c r="AI33" s="21" t="str">
        <f ca="1"/>
        <v>Other - Please see comments</v>
      </c>
      <c r="AJ33" s="21" t="str">
        <f ca="1"/>
        <v>In progress</v>
      </c>
    </row>
    <row r="34" spans="2:36" x14ac:dyDescent="0.2">
      <c r="B34" s="21" t="str">
        <f ca="1"/>
        <v>4-21-0316</v>
      </c>
      <c r="C34" s="21" t="str">
        <f ca="1"/>
        <v>Unassigned</v>
      </c>
      <c r="D34" s="21">
        <f ca="1"/>
        <v>46</v>
      </c>
      <c r="E34" s="21" t="str">
        <f ca="1"/>
        <v>Vents/ducts dirty/odor</v>
      </c>
      <c r="F34" s="21" t="str">
        <f ca="1"/>
        <v>In progress</v>
      </c>
      <c r="H34" s="21" t="str">
        <f ca="1"/>
        <v>4-07-5764</v>
      </c>
      <c r="I34" s="21" t="str">
        <f ca="1"/>
        <v>Unassigned</v>
      </c>
      <c r="J34" s="21">
        <f ca="1"/>
        <v>18</v>
      </c>
      <c r="K34" s="21" t="str">
        <f ca="1"/>
        <v>Ext door-other problem</v>
      </c>
      <c r="L34" s="21" t="str">
        <f ca="1"/>
        <v>In progress</v>
      </c>
      <c r="N34" s="21" t="str">
        <f ca="1"/>
        <v>5-17-0117</v>
      </c>
      <c r="O34" s="21" t="str">
        <f ca="1"/>
        <v>Latrell Dawson</v>
      </c>
      <c r="P34" s="21">
        <f ca="1"/>
        <v>4</v>
      </c>
      <c r="Q34" s="21" t="str">
        <f ca="1"/>
        <v>Dryer does not work properly</v>
      </c>
      <c r="R34" s="21" t="str">
        <f ca="1"/>
        <v>In progress</v>
      </c>
      <c r="Z34" s="21" t="str">
        <f ca="1"/>
        <v>4-25-0116</v>
      </c>
      <c r="AA34" s="21" t="str">
        <f ca="1"/>
        <v>Diego Zapata</v>
      </c>
      <c r="AB34" s="21">
        <f ca="1"/>
        <v>39</v>
      </c>
      <c r="AC34" s="21" t="str">
        <f ca="1"/>
        <v>Light bulb is out</v>
      </c>
      <c r="AD34" s="21" t="str">
        <f ca="1"/>
        <v>In progress</v>
      </c>
      <c r="AF34" s="21" t="str">
        <f ca="1"/>
        <v>3-09-0105</v>
      </c>
      <c r="AG34" s="21" t="str">
        <f ca="1"/>
        <v>Unassigned</v>
      </c>
      <c r="AH34" s="21">
        <f ca="1"/>
        <v>15</v>
      </c>
      <c r="AI34" s="21" t="str">
        <f ca="1"/>
        <v>Other - Please see comments</v>
      </c>
      <c r="AJ34" s="21" t="str">
        <f ca="1"/>
        <v>In progress</v>
      </c>
    </row>
    <row r="35" spans="2:36" x14ac:dyDescent="0.2">
      <c r="B35" s="21" t="str">
        <f ca="1"/>
        <v>4-12-7105</v>
      </c>
      <c r="C35" s="21" t="str">
        <f ca="1"/>
        <v>Rayniel Rincon</v>
      </c>
      <c r="D35" s="21">
        <f ca="1"/>
        <v>45</v>
      </c>
      <c r="E35" s="21" t="str">
        <f ca="1"/>
        <v>Other - Please see comments</v>
      </c>
      <c r="F35" s="21" t="str">
        <f ca="1"/>
        <v>In progress</v>
      </c>
      <c r="H35" s="21" t="str">
        <f ca="1"/>
        <v>3-03-0101</v>
      </c>
      <c r="I35" s="21" t="str">
        <f ca="1"/>
        <v>Unassigned</v>
      </c>
      <c r="J35" s="21">
        <f ca="1"/>
        <v>15</v>
      </c>
      <c r="K35" s="21" t="str">
        <f ca="1"/>
        <v>Cabinet door missing</v>
      </c>
      <c r="L35" s="21" t="str">
        <f ca="1"/>
        <v>In progress</v>
      </c>
      <c r="N35" s="21" t="str">
        <f ca="1"/>
        <v>7-08-0308</v>
      </c>
      <c r="O35" s="21" t="str">
        <f ca="1"/>
        <v>Barron Russell</v>
      </c>
      <c r="P35" s="21">
        <f ca="1"/>
        <v>4</v>
      </c>
      <c r="Q35" s="21" t="str">
        <f ca="1"/>
        <v>Other - Please see comments</v>
      </c>
      <c r="R35" s="21" t="str">
        <f ca="1"/>
        <v>In progress</v>
      </c>
      <c r="Z35" s="21" t="str">
        <f ca="1"/>
        <v>4-25-0116</v>
      </c>
      <c r="AA35" s="21" t="str">
        <f ca="1"/>
        <v>Diego Zapata</v>
      </c>
      <c r="AB35" s="21">
        <f ca="1"/>
        <v>39</v>
      </c>
      <c r="AC35" s="21" t="str">
        <f ca="1"/>
        <v>Tile-other problem</v>
      </c>
      <c r="AD35" s="21" t="str">
        <f ca="1"/>
        <v>In progress</v>
      </c>
      <c r="AF35" s="21" t="str">
        <f ca="1"/>
        <v>3-03-0101</v>
      </c>
      <c r="AG35" s="21" t="str">
        <f ca="1"/>
        <v>Unassigned</v>
      </c>
      <c r="AH35" s="21">
        <f ca="1"/>
        <v>15</v>
      </c>
      <c r="AI35" s="21" t="str">
        <f ca="1"/>
        <v>Cabinet door missing</v>
      </c>
      <c r="AJ35" s="21" t="str">
        <f ca="1"/>
        <v>In progress</v>
      </c>
    </row>
    <row r="36" spans="2:36" x14ac:dyDescent="0.2">
      <c r="B36" s="21" t="str">
        <f ca="1"/>
        <v>3-31-0205</v>
      </c>
      <c r="C36" s="21" t="str">
        <f ca="1"/>
        <v>Victor Castaneda</v>
      </c>
      <c r="D36" s="21">
        <f ca="1"/>
        <v>44</v>
      </c>
      <c r="E36" s="21" t="str">
        <f ca="1"/>
        <v>Ext door damaged/broken</v>
      </c>
      <c r="F36" s="21" t="str">
        <f ca="1"/>
        <v>In progress</v>
      </c>
      <c r="H36" s="21" t="str">
        <f ca="1"/>
        <v>3-09-0105</v>
      </c>
      <c r="I36" s="21" t="str">
        <f ca="1"/>
        <v>Unassigned</v>
      </c>
      <c r="J36" s="21">
        <f ca="1"/>
        <v>15</v>
      </c>
      <c r="K36" s="21" t="str">
        <f ca="1"/>
        <v>Other - Please see comments</v>
      </c>
      <c r="L36" s="21" t="str">
        <f ca="1"/>
        <v>In progress</v>
      </c>
      <c r="N36" s="21" t="str">
        <f ca="1"/>
        <v>5-01-0213</v>
      </c>
      <c r="O36" s="21" t="str">
        <f ca="1"/>
        <v>Yomar Gonzalez</v>
      </c>
      <c r="P36" s="21">
        <f ca="1"/>
        <v>4</v>
      </c>
      <c r="Q36" s="21" t="str">
        <f ca="1"/>
        <v>Ceiling fan is noisy</v>
      </c>
      <c r="R36" s="21" t="str">
        <f ca="1"/>
        <v>In progress</v>
      </c>
      <c r="Z36" s="21" t="str">
        <f ca="1"/>
        <v>3-08-0108</v>
      </c>
      <c r="AA36" s="21" t="str">
        <f ca="1"/>
        <v>Dennis Arevalo</v>
      </c>
      <c r="AB36" s="21">
        <f ca="1"/>
        <v>39</v>
      </c>
      <c r="AC36" s="21" t="str">
        <f ca="1"/>
        <v>Other Issue</v>
      </c>
      <c r="AD36" s="21" t="str">
        <f ca="1"/>
        <v>In progress</v>
      </c>
      <c r="AF36" s="21" t="str">
        <f ca="1"/>
        <v>3-01-0201</v>
      </c>
      <c r="AG36" s="21" t="str">
        <f ca="1"/>
        <v>Unassigned</v>
      </c>
      <c r="AH36" s="21">
        <f ca="1"/>
        <v>15</v>
      </c>
      <c r="AI36" s="21" t="str">
        <f ca="1"/>
        <v>Dryer-other problem</v>
      </c>
      <c r="AJ36" s="21" t="str">
        <f ca="1"/>
        <v>In progress</v>
      </c>
    </row>
    <row r="37" spans="2:36" x14ac:dyDescent="0.2">
      <c r="B37" s="21" t="str">
        <f ca="1"/>
        <v>4-25-0105</v>
      </c>
      <c r="C37" s="21" t="str">
        <f ca="1"/>
        <v>Dennis Arevalo</v>
      </c>
      <c r="D37" s="21">
        <f ca="1"/>
        <v>44</v>
      </c>
      <c r="E37" s="21" t="str">
        <f ca="1"/>
        <v>Dryer takes too long to dry</v>
      </c>
      <c r="F37" s="21" t="str">
        <f ca="1"/>
        <v>In progress</v>
      </c>
      <c r="H37" s="21" t="str">
        <f ca="1"/>
        <v>4c-02-S202</v>
      </c>
      <c r="I37" s="21" t="str">
        <f ca="1"/>
        <v>Unassigned</v>
      </c>
      <c r="J37" s="21">
        <f ca="1"/>
        <v>15</v>
      </c>
      <c r="K37" s="21" t="str">
        <f ca="1"/>
        <v>Other mail issue</v>
      </c>
      <c r="L37" s="21" t="str">
        <f ca="1"/>
        <v>In progress</v>
      </c>
      <c r="N37" s="21" t="str">
        <f ca="1"/>
        <v>5-01-0218</v>
      </c>
      <c r="O37" s="21" t="str">
        <f ca="1"/>
        <v>Yomar Gonzalez</v>
      </c>
      <c r="P37" s="21">
        <f ca="1"/>
        <v>3</v>
      </c>
      <c r="Q37" s="21" t="str">
        <f ca="1"/>
        <v>Other - Please see comments</v>
      </c>
      <c r="R37" s="21" t="str">
        <f ca="1"/>
        <v>In progress</v>
      </c>
      <c r="Z37" s="21" t="str">
        <f ca="1"/>
        <v>3-01-0202</v>
      </c>
      <c r="AA37" s="21" t="str">
        <f ca="1"/>
        <v>Alexander Gonzalez</v>
      </c>
      <c r="AB37" s="21">
        <f ca="1"/>
        <v>38</v>
      </c>
      <c r="AC37" s="21" t="str">
        <f ca="1"/>
        <v>Sink clogged/does not drain OK</v>
      </c>
      <c r="AD37" s="21" t="str">
        <f ca="1"/>
        <v>In progress</v>
      </c>
      <c r="AF37" s="21" t="str">
        <f ca="1"/>
        <v>4c-02-S202</v>
      </c>
      <c r="AG37" s="21" t="str">
        <f ca="1"/>
        <v>Unassigned</v>
      </c>
      <c r="AH37" s="21">
        <f ca="1"/>
        <v>15</v>
      </c>
      <c r="AI37" s="21" t="str">
        <f ca="1"/>
        <v>Other mail issue</v>
      </c>
      <c r="AJ37" s="21" t="str">
        <f ca="1"/>
        <v>In progress</v>
      </c>
    </row>
    <row r="38" spans="2:36" x14ac:dyDescent="0.2">
      <c r="B38" s="21" t="str">
        <f ca="1"/>
        <v>3-17-0204</v>
      </c>
      <c r="C38" s="21" t="str">
        <f ca="1"/>
        <v>Unassigned</v>
      </c>
      <c r="D38" s="21">
        <f ca="1"/>
        <v>43</v>
      </c>
      <c r="E38" s="21" t="str">
        <f ca="1"/>
        <v>Washer-no cycle/rinse/spin</v>
      </c>
      <c r="F38" s="21" t="str">
        <f ca="1"/>
        <v>In progress</v>
      </c>
      <c r="H38" s="21" t="str">
        <f ca="1"/>
        <v>3-03-0101</v>
      </c>
      <c r="I38" s="21" t="str">
        <f ca="1"/>
        <v>Unassigned</v>
      </c>
      <c r="J38" s="21">
        <f ca="1"/>
        <v>15</v>
      </c>
      <c r="K38" s="21" t="str">
        <f ca="1"/>
        <v>Washer-no cycle/rinse/spin</v>
      </c>
      <c r="L38" s="21" t="str">
        <f ca="1"/>
        <v>In progress</v>
      </c>
      <c r="N38" s="21" t="str">
        <f ca="1"/>
        <v>5-02-0313</v>
      </c>
      <c r="O38" s="21" t="str">
        <f ca="1"/>
        <v>Yomar Gonzalez</v>
      </c>
      <c r="P38" s="21">
        <f ca="1"/>
        <v>3</v>
      </c>
      <c r="Q38" s="21" t="str">
        <f ca="1"/>
        <v>Heater-other problem</v>
      </c>
      <c r="R38" s="21" t="str">
        <f ca="1"/>
        <v>On hold</v>
      </c>
      <c r="Z38" s="21" t="str">
        <f ca="1"/>
        <v>3-33-0311</v>
      </c>
      <c r="AA38" s="21" t="str">
        <f ca="1"/>
        <v>Dennis Arevalo</v>
      </c>
      <c r="AB38" s="21">
        <f ca="1"/>
        <v>37</v>
      </c>
      <c r="AC38" s="21" t="str">
        <f ca="1"/>
        <v>Other - Please see comments</v>
      </c>
      <c r="AD38" s="21" t="str">
        <f ca="1"/>
        <v>On hold</v>
      </c>
      <c r="AF38" s="21" t="str">
        <f ca="1"/>
        <v>3-01-0201</v>
      </c>
      <c r="AG38" s="21" t="str">
        <f ca="1"/>
        <v>Unassigned</v>
      </c>
      <c r="AH38" s="21">
        <f ca="1"/>
        <v>15</v>
      </c>
      <c r="AI38" s="21" t="str">
        <f ca="1"/>
        <v>Washer controls/knobs broken</v>
      </c>
      <c r="AJ38" s="21" t="str">
        <f ca="1"/>
        <v>In progress</v>
      </c>
    </row>
    <row r="39" spans="2:36" x14ac:dyDescent="0.2">
      <c r="B39" s="21" t="str">
        <f ca="1"/>
        <v>4-27-0211</v>
      </c>
      <c r="C39" s="21" t="str">
        <f ca="1"/>
        <v>Dennis Arevalo</v>
      </c>
      <c r="D39" s="21">
        <f ca="1"/>
        <v>43</v>
      </c>
      <c r="E39" s="21" t="str">
        <f ca="1"/>
        <v>Damaged or missing screens</v>
      </c>
      <c r="F39" s="21" t="str">
        <f ca="1"/>
        <v>In progress</v>
      </c>
      <c r="H39" s="21" t="str">
        <f ca="1"/>
        <v>3-16-0102</v>
      </c>
      <c r="I39" s="21" t="str">
        <f ca="1"/>
        <v>Unassigned</v>
      </c>
      <c r="J39" s="21">
        <f ca="1"/>
        <v>15</v>
      </c>
      <c r="K39" s="21" t="str">
        <f ca="1"/>
        <v>Frig/freezer/ice maker leaks</v>
      </c>
      <c r="L39" s="21" t="str">
        <f ca="1"/>
        <v>In progress</v>
      </c>
      <c r="N39" s="21" t="str">
        <f ca="1"/>
        <v>7-03-0113</v>
      </c>
      <c r="O39" s="21" t="str">
        <f ca="1"/>
        <v>Unassigned</v>
      </c>
      <c r="P39" s="21">
        <f ca="1"/>
        <v>3</v>
      </c>
      <c r="Q39" s="21" t="str">
        <f ca="1"/>
        <v>Drafts or poor air circulation</v>
      </c>
      <c r="R39" s="21" t="str">
        <f ca="1"/>
        <v>In progress</v>
      </c>
      <c r="Z39" s="21" t="str">
        <f ca="1"/>
        <v>4-26-0432</v>
      </c>
      <c r="AA39" s="21" t="str">
        <f ca="1"/>
        <v>Dennis Arevalo</v>
      </c>
      <c r="AB39" s="21">
        <f ca="1"/>
        <v>36</v>
      </c>
      <c r="AC39" s="21" t="str">
        <f ca="1"/>
        <v>Window won't close</v>
      </c>
      <c r="AD39" s="21" t="str">
        <f ca="1"/>
        <v>On hold</v>
      </c>
      <c r="AF39" s="21" t="str">
        <f ca="1"/>
        <v>3-03-0101</v>
      </c>
      <c r="AG39" s="21" t="str">
        <f ca="1"/>
        <v>Unassigned</v>
      </c>
      <c r="AH39" s="21">
        <f ca="1"/>
        <v>15</v>
      </c>
      <c r="AI39" s="21" t="str">
        <f ca="1"/>
        <v>Washer-no cycle/rinse/spin</v>
      </c>
      <c r="AJ39" s="21" t="str">
        <f ca="1"/>
        <v>In progress</v>
      </c>
    </row>
    <row r="40" spans="2:36" x14ac:dyDescent="0.2">
      <c r="B40" s="21" t="str">
        <f ca="1"/>
        <v>4-05-5791</v>
      </c>
      <c r="C40" s="21" t="str">
        <f ca="1"/>
        <v>Unassigned</v>
      </c>
      <c r="D40" s="21">
        <f ca="1"/>
        <v>43</v>
      </c>
      <c r="E40" s="21" t="str">
        <f ca="1"/>
        <v>Vents/ducts-other problem</v>
      </c>
      <c r="F40" s="21" t="str">
        <f ca="1"/>
        <v>In progress</v>
      </c>
      <c r="H40" s="21" t="str">
        <f ca="1"/>
        <v>3-01-0201</v>
      </c>
      <c r="I40" s="21" t="str">
        <f ca="1"/>
        <v>Unassigned</v>
      </c>
      <c r="J40" s="21">
        <f ca="1"/>
        <v>15</v>
      </c>
      <c r="K40" s="21" t="str">
        <f ca="1"/>
        <v>Washer controls/knobs broken</v>
      </c>
      <c r="L40" s="21" t="str">
        <f ca="1"/>
        <v>In progress</v>
      </c>
      <c r="N40" s="21" t="str">
        <f ca="1"/>
        <v>7-02-0313</v>
      </c>
      <c r="O40" s="21" t="str">
        <f ca="1"/>
        <v>Unassigned</v>
      </c>
      <c r="P40" s="21">
        <f ca="1"/>
        <v>3</v>
      </c>
      <c r="Q40" s="21" t="str">
        <f ca="1"/>
        <v>Washer will not fill/drain</v>
      </c>
      <c r="R40" s="21" t="str">
        <f ca="1"/>
        <v>In progress</v>
      </c>
      <c r="Z40" s="21" t="str">
        <f ca="1"/>
        <v>4-26-0408</v>
      </c>
      <c r="AA40" s="21" t="str">
        <f ca="1"/>
        <v>Dennis Arevalo</v>
      </c>
      <c r="AB40" s="21">
        <f ca="1"/>
        <v>35</v>
      </c>
      <c r="AC40" s="21" t="str">
        <f ca="1"/>
        <v>Locks or latches not working</v>
      </c>
      <c r="AD40" s="21" t="str">
        <f ca="1"/>
        <v>On hold</v>
      </c>
      <c r="AF40" s="21" t="str">
        <f ca="1"/>
        <v>3-16-0102</v>
      </c>
      <c r="AG40" s="21" t="str">
        <f ca="1"/>
        <v>Unassigned</v>
      </c>
      <c r="AH40" s="21">
        <f ca="1"/>
        <v>15</v>
      </c>
      <c r="AI40" s="21" t="str">
        <f ca="1"/>
        <v>Frig/freezer/ice maker leaks</v>
      </c>
      <c r="AJ40" s="21" t="str">
        <f ca="1"/>
        <v>In progress</v>
      </c>
    </row>
    <row r="41" spans="2:36" x14ac:dyDescent="0.2">
      <c r="B41" s="21" t="str">
        <f ca="1"/>
        <v>3-08-0108</v>
      </c>
      <c r="C41" s="21" t="str">
        <f ca="1"/>
        <v>Dennis Arevalo</v>
      </c>
      <c r="D41" s="21">
        <f ca="1"/>
        <v>39</v>
      </c>
      <c r="E41" s="21" t="str">
        <f ca="1"/>
        <v>Other Issue</v>
      </c>
      <c r="F41" s="21" t="str">
        <f ca="1"/>
        <v>In progress</v>
      </c>
      <c r="H41" s="21" t="str">
        <f ca="1"/>
        <v>3-01-0201</v>
      </c>
      <c r="I41" s="21" t="str">
        <f ca="1"/>
        <v>Unassigned</v>
      </c>
      <c r="J41" s="21">
        <f ca="1"/>
        <v>15</v>
      </c>
      <c r="K41" s="21" t="str">
        <f ca="1"/>
        <v>Dryer-other problem</v>
      </c>
      <c r="L41" s="21" t="str">
        <f ca="1"/>
        <v>In progress</v>
      </c>
      <c r="N41" s="21" t="str">
        <f ca="1"/>
        <v>8-01-1113</v>
      </c>
      <c r="O41" s="21" t="str">
        <f ca="1"/>
        <v>Minnie Reyes</v>
      </c>
      <c r="P41" s="21">
        <f ca="1"/>
        <v>3</v>
      </c>
      <c r="Q41" s="21" t="str">
        <f ca="1"/>
        <v>Pest Control requested</v>
      </c>
      <c r="R41" s="21" t="str">
        <f ca="1"/>
        <v>In progress</v>
      </c>
      <c r="Z41" s="21" t="str">
        <f ca="1"/>
        <v>3-11-0110</v>
      </c>
      <c r="AA41" s="21" t="str">
        <f ca="1"/>
        <v>Rafael Anez</v>
      </c>
      <c r="AB41" s="21">
        <f ca="1"/>
        <v>34</v>
      </c>
      <c r="AC41" s="21" t="str">
        <f ca="1"/>
        <v>Patio-other problem</v>
      </c>
      <c r="AD41" s="21" t="str">
        <f ca="1"/>
        <v>On hold</v>
      </c>
      <c r="AF41" s="21" t="str">
        <f ca="1"/>
        <v>4c-02-S306</v>
      </c>
      <c r="AG41" s="21" t="str">
        <f ca="1"/>
        <v>Unassigned</v>
      </c>
      <c r="AH41" s="21">
        <f ca="1"/>
        <v>14</v>
      </c>
      <c r="AI41" s="21" t="str">
        <f ca="1"/>
        <v>Other - Please see comments</v>
      </c>
      <c r="AJ41" s="21" t="str">
        <f ca="1"/>
        <v>In progress</v>
      </c>
    </row>
    <row r="42" spans="2:36" x14ac:dyDescent="0.2">
      <c r="B42" s="21" t="str">
        <f ca="1"/>
        <v>4-25-0116</v>
      </c>
      <c r="C42" s="21" t="str">
        <f ca="1"/>
        <v>Diego Zapata</v>
      </c>
      <c r="D42" s="21">
        <f ca="1"/>
        <v>39</v>
      </c>
      <c r="E42" s="21" t="str">
        <f ca="1"/>
        <v>Tile-other problem</v>
      </c>
      <c r="F42" s="21" t="str">
        <f ca="1"/>
        <v>In progress</v>
      </c>
      <c r="H42" s="21" t="str">
        <f ca="1"/>
        <v>4c-02-S306</v>
      </c>
      <c r="I42" s="21" t="str">
        <f ca="1"/>
        <v>Unassigned</v>
      </c>
      <c r="J42" s="21">
        <f ca="1"/>
        <v>14</v>
      </c>
      <c r="K42" s="21" t="str">
        <f ca="1"/>
        <v>Light bulb is out</v>
      </c>
      <c r="L42" s="21" t="str">
        <f ca="1"/>
        <v>In progress</v>
      </c>
      <c r="N42" s="21" t="str">
        <f ca="1"/>
        <v>7-11-0405</v>
      </c>
      <c r="O42" s="21" t="str">
        <f ca="1"/>
        <v>Antonio Sherfield</v>
      </c>
      <c r="P42" s="21">
        <f ca="1"/>
        <v>3</v>
      </c>
      <c r="Q42" s="21" t="str">
        <f ca="1"/>
        <v>Tub-other problem</v>
      </c>
      <c r="R42" s="21" t="str">
        <f ca="1"/>
        <v>In progress</v>
      </c>
      <c r="Z42" s="21" t="str">
        <f ca="1"/>
        <v>4-23-0209</v>
      </c>
      <c r="AA42" s="21" t="str">
        <f ca="1"/>
        <v>Rayniel Rincon</v>
      </c>
      <c r="AB42" s="21">
        <f ca="1"/>
        <v>33</v>
      </c>
      <c r="AC42" s="21" t="str">
        <f ca="1"/>
        <v>Washer-other problem</v>
      </c>
      <c r="AD42" s="21" t="str">
        <f ca="1"/>
        <v>On hold</v>
      </c>
      <c r="AF42" s="21" t="str">
        <f ca="1"/>
        <v>4c-02-S306</v>
      </c>
      <c r="AG42" s="21" t="str">
        <f ca="1"/>
        <v>Unassigned</v>
      </c>
      <c r="AH42" s="21">
        <f ca="1"/>
        <v>14</v>
      </c>
      <c r="AI42" s="21" t="str">
        <f ca="1"/>
        <v>Light bulb is out</v>
      </c>
      <c r="AJ42" s="21" t="str">
        <f ca="1"/>
        <v>In progress</v>
      </c>
    </row>
    <row r="43" spans="2:36" x14ac:dyDescent="0.2">
      <c r="B43" s="21" t="str">
        <f ca="1"/>
        <v>4-25-0116</v>
      </c>
      <c r="C43" s="21" t="str">
        <f ca="1"/>
        <v>Diego Zapata</v>
      </c>
      <c r="D43" s="21">
        <f ca="1"/>
        <v>39</v>
      </c>
      <c r="E43" s="21" t="str">
        <f ca="1"/>
        <v>Light bulb is out</v>
      </c>
      <c r="F43" s="21" t="str">
        <f ca="1"/>
        <v>In progress</v>
      </c>
      <c r="H43" s="21" t="str">
        <f ca="1"/>
        <v>4c-02-S306</v>
      </c>
      <c r="I43" s="21" t="str">
        <f ca="1"/>
        <v>Unassigned</v>
      </c>
      <c r="J43" s="21">
        <f ca="1"/>
        <v>14</v>
      </c>
      <c r="K43" s="21" t="str">
        <f ca="1"/>
        <v>Other - Please see comments</v>
      </c>
      <c r="L43" s="21" t="str">
        <f ca="1"/>
        <v>In progress</v>
      </c>
      <c r="N43" s="21" t="str">
        <f ca="1"/>
        <v>7-08-0107</v>
      </c>
      <c r="O43" s="21" t="str">
        <f ca="1"/>
        <v>Barron Russell</v>
      </c>
      <c r="P43" s="21">
        <f ca="1"/>
        <v>3</v>
      </c>
      <c r="Q43" s="21" t="str">
        <f ca="1"/>
        <v>Other - Please see comments</v>
      </c>
      <c r="R43" s="21" t="str">
        <f ca="1"/>
        <v>In progress</v>
      </c>
      <c r="Z43" s="21" t="str">
        <f ca="1"/>
        <v>3-17-0303</v>
      </c>
      <c r="AA43" s="21" t="str">
        <f ca="1"/>
        <v>Unassigned</v>
      </c>
      <c r="AB43" s="21">
        <f ca="1"/>
        <v>33</v>
      </c>
      <c r="AC43" s="21" t="str">
        <f ca="1"/>
        <v>DW does not drain/backing up</v>
      </c>
      <c r="AD43" s="21" t="str">
        <f ca="1"/>
        <v>In progress</v>
      </c>
      <c r="AF43" s="21" t="str">
        <f ca="1"/>
        <v>4c-02-S308</v>
      </c>
      <c r="AG43" s="21" t="str">
        <f ca="1"/>
        <v>Unassigned</v>
      </c>
      <c r="AH43" s="21">
        <f ca="1"/>
        <v>14</v>
      </c>
      <c r="AI43" s="21" t="str">
        <f ca="1"/>
        <v>Mw does not work/heat properly</v>
      </c>
      <c r="AJ43" s="21" t="str">
        <f ca="1"/>
        <v>In progress</v>
      </c>
    </row>
    <row r="44" spans="2:36" x14ac:dyDescent="0.2">
      <c r="B44" s="21" t="str">
        <f ca="1"/>
        <v>3-01-0202</v>
      </c>
      <c r="C44" s="21" t="str">
        <f ca="1"/>
        <v>Alexander Gonzalez</v>
      </c>
      <c r="D44" s="21">
        <f ca="1"/>
        <v>38</v>
      </c>
      <c r="E44" s="21" t="str">
        <f ca="1"/>
        <v>Sink clogged/does not drain OK</v>
      </c>
      <c r="F44" s="21" t="str">
        <f ca="1"/>
        <v>In progress</v>
      </c>
      <c r="H44" s="21" t="str">
        <f ca="1"/>
        <v>4c-02-S308</v>
      </c>
      <c r="I44" s="21" t="str">
        <f ca="1"/>
        <v>Unassigned</v>
      </c>
      <c r="J44" s="21">
        <f ca="1"/>
        <v>14</v>
      </c>
      <c r="K44" s="21" t="str">
        <f ca="1"/>
        <v>A/C does not cool properly</v>
      </c>
      <c r="L44" s="21" t="str">
        <f ca="1"/>
        <v>In progress</v>
      </c>
      <c r="N44" s="21" t="str">
        <f ca="1"/>
        <v>5-18-0225</v>
      </c>
      <c r="O44" s="21" t="str">
        <f ca="1"/>
        <v>Yomar Gonzalez</v>
      </c>
      <c r="P44" s="21">
        <f ca="1"/>
        <v>3</v>
      </c>
      <c r="Q44" s="21" t="str">
        <f ca="1"/>
        <v>Other - Please see comments</v>
      </c>
      <c r="R44" s="21" t="str">
        <f ca="1"/>
        <v>In progress</v>
      </c>
      <c r="Z44" s="21" t="str">
        <f ca="1"/>
        <v>4-04-7113</v>
      </c>
      <c r="AA44" s="21" t="str">
        <f ca="1"/>
        <v>Unassigned</v>
      </c>
      <c r="AB44" s="21">
        <f ca="1"/>
        <v>32</v>
      </c>
      <c r="AC44" s="21" t="str">
        <f ca="1"/>
        <v>Other - Please see comments</v>
      </c>
      <c r="AD44" s="21" t="str">
        <f ca="1"/>
        <v>In progress</v>
      </c>
      <c r="AF44" s="21" t="str">
        <f ca="1"/>
        <v>4c-02-S308</v>
      </c>
      <c r="AG44" s="21" t="str">
        <f ca="1"/>
        <v>Unassigned</v>
      </c>
      <c r="AH44" s="21">
        <f ca="1"/>
        <v>14</v>
      </c>
      <c r="AI44" s="21" t="str">
        <f ca="1"/>
        <v>A/C does not cool properly</v>
      </c>
      <c r="AJ44" s="21" t="str">
        <f ca="1"/>
        <v>In progress</v>
      </c>
    </row>
    <row r="45" spans="2:36" x14ac:dyDescent="0.2">
      <c r="B45" s="21" t="str">
        <f ca="1"/>
        <v>3-33-0311</v>
      </c>
      <c r="C45" s="21" t="str">
        <f ca="1"/>
        <v>Dennis Arevalo</v>
      </c>
      <c r="D45" s="21">
        <f ca="1"/>
        <v>37</v>
      </c>
      <c r="E45" s="21" t="str">
        <f ca="1"/>
        <v>Other - Please see comments</v>
      </c>
      <c r="F45" s="21" t="str">
        <f ca="1"/>
        <v>On hold</v>
      </c>
      <c r="H45" s="21" t="str">
        <f ca="1"/>
        <v>4c-02-S308</v>
      </c>
      <c r="I45" s="21" t="str">
        <f ca="1"/>
        <v>Unassigned</v>
      </c>
      <c r="J45" s="21">
        <f ca="1"/>
        <v>14</v>
      </c>
      <c r="K45" s="21" t="str">
        <f ca="1"/>
        <v>Mw does not work/heat properly</v>
      </c>
      <c r="L45" s="21" t="str">
        <f ca="1"/>
        <v>In progress</v>
      </c>
      <c r="N45" s="21" t="str">
        <f ca="1"/>
        <v>8-01-4126</v>
      </c>
      <c r="O45" s="21" t="str">
        <f ca="1"/>
        <v>Miguel Gil</v>
      </c>
      <c r="P45" s="21">
        <f ca="1"/>
        <v>2</v>
      </c>
      <c r="Q45" s="21" t="str">
        <f ca="1"/>
        <v>Other - Please see comments</v>
      </c>
      <c r="R45" s="21" t="str">
        <f ca="1"/>
        <v>In progress</v>
      </c>
      <c r="Z45" s="21" t="str">
        <f ca="1"/>
        <v>3-07-0014</v>
      </c>
      <c r="AA45" s="21" t="str">
        <f ca="1"/>
        <v>Dennis Arevalo</v>
      </c>
      <c r="AB45" s="21">
        <f ca="1"/>
        <v>32</v>
      </c>
      <c r="AC45" s="21" t="str">
        <f ca="1"/>
        <v>Damaged or missing screens</v>
      </c>
      <c r="AD45" s="21" t="str">
        <f ca="1"/>
        <v>In progress</v>
      </c>
      <c r="AF45" s="21" t="str">
        <f ca="1"/>
        <v>4-21-0216</v>
      </c>
      <c r="AG45" s="21" t="str">
        <f ca="1"/>
        <v>Unassigned</v>
      </c>
      <c r="AH45" s="21">
        <f ca="1"/>
        <v>14</v>
      </c>
      <c r="AI45" s="21" t="str">
        <f ca="1"/>
        <v>Ice maker makes bad/dirty ice</v>
      </c>
      <c r="AJ45" s="21" t="str">
        <f ca="1"/>
        <v>In progress</v>
      </c>
    </row>
    <row r="46" spans="2:36" x14ac:dyDescent="0.2">
      <c r="B46" s="21" t="str">
        <f ca="1"/>
        <v>4-26-0432</v>
      </c>
      <c r="C46" s="21" t="str">
        <f ca="1"/>
        <v>Dennis Arevalo</v>
      </c>
      <c r="D46" s="21">
        <f ca="1"/>
        <v>36</v>
      </c>
      <c r="E46" s="21" t="str">
        <f ca="1"/>
        <v>Window won't close</v>
      </c>
      <c r="F46" s="21" t="str">
        <f ca="1"/>
        <v>On hold</v>
      </c>
      <c r="H46" s="21" t="str">
        <f ca="1"/>
        <v>4-17-5785</v>
      </c>
      <c r="I46" s="21" t="str">
        <f ca="1"/>
        <v>Unassigned</v>
      </c>
      <c r="J46" s="21">
        <f ca="1"/>
        <v>14</v>
      </c>
      <c r="K46" s="21" t="str">
        <f ca="1"/>
        <v>Gutter damaged</v>
      </c>
      <c r="L46" s="21" t="str">
        <f ca="1"/>
        <v>In progress</v>
      </c>
      <c r="N46" s="21" t="str">
        <f ca="1"/>
        <v>8-01-2091</v>
      </c>
      <c r="O46" s="21" t="str">
        <f ca="1"/>
        <v>Miguel Gil</v>
      </c>
      <c r="P46" s="21">
        <f ca="1"/>
        <v>2</v>
      </c>
      <c r="Q46" s="21" t="str">
        <f ca="1"/>
        <v>Washer does not work</v>
      </c>
      <c r="R46" s="21" t="str">
        <f ca="1"/>
        <v>In progress</v>
      </c>
      <c r="Z46" s="21" t="str">
        <f ca="1"/>
        <v>3-07-0014</v>
      </c>
      <c r="AA46" s="21" t="str">
        <f ca="1"/>
        <v>Dennis Arevalo</v>
      </c>
      <c r="AB46" s="21">
        <f ca="1"/>
        <v>32</v>
      </c>
      <c r="AC46" s="21" t="str">
        <f ca="1"/>
        <v>Piece come loose/separated</v>
      </c>
      <c r="AD46" s="21" t="str">
        <f ca="1"/>
        <v>In progress</v>
      </c>
      <c r="AF46" s="21" t="str">
        <f ca="1"/>
        <v>4-17-5785</v>
      </c>
      <c r="AG46" s="21" t="str">
        <f ca="1"/>
        <v>Unassigned</v>
      </c>
      <c r="AH46" s="21">
        <f ca="1"/>
        <v>14</v>
      </c>
      <c r="AI46" s="21" t="str">
        <f ca="1"/>
        <v>Gutter damaged</v>
      </c>
      <c r="AJ46" s="21" t="str">
        <f ca="1"/>
        <v>In progress</v>
      </c>
    </row>
    <row r="47" spans="2:36" x14ac:dyDescent="0.2">
      <c r="B47" s="21" t="str">
        <f ca="1"/>
        <v>4-26-0408</v>
      </c>
      <c r="C47" s="21" t="str">
        <f ca="1"/>
        <v>Dennis Arevalo</v>
      </c>
      <c r="D47" s="21">
        <f ca="1"/>
        <v>35</v>
      </c>
      <c r="E47" s="21" t="str">
        <f ca="1"/>
        <v>Locks or latches not working</v>
      </c>
      <c r="F47" s="21" t="str">
        <f ca="1"/>
        <v>On hold</v>
      </c>
      <c r="H47" s="21" t="str">
        <f ca="1"/>
        <v>4-21-0216</v>
      </c>
      <c r="I47" s="21" t="str">
        <f ca="1"/>
        <v>Unassigned</v>
      </c>
      <c r="J47" s="21">
        <f ca="1"/>
        <v>14</v>
      </c>
      <c r="K47" s="21" t="str">
        <f ca="1"/>
        <v>Ice maker makes bad/dirty ice</v>
      </c>
      <c r="L47" s="21" t="str">
        <f ca="1"/>
        <v>In progress</v>
      </c>
      <c r="N47" s="21" t="str">
        <f ca="1"/>
        <v>8-01-4126</v>
      </c>
      <c r="O47" s="21" t="str">
        <f ca="1"/>
        <v>Miguel Gil</v>
      </c>
      <c r="P47" s="21">
        <f ca="1"/>
        <v>2</v>
      </c>
      <c r="Q47" s="21" t="str">
        <f ca="1"/>
        <v>Window won't close</v>
      </c>
      <c r="R47" s="21" t="str">
        <f ca="1"/>
        <v>In progress</v>
      </c>
      <c r="Z47" s="21" t="str">
        <f ca="1"/>
        <v>3-24-0201</v>
      </c>
      <c r="AA47" s="21" t="str">
        <f ca="1"/>
        <v>Victor Castaneda</v>
      </c>
      <c r="AB47" s="21">
        <f ca="1"/>
        <v>32</v>
      </c>
      <c r="AC47" s="21" t="str">
        <f ca="1"/>
        <v>Other - Please see comments</v>
      </c>
      <c r="AD47" s="21" t="str">
        <f ca="1"/>
        <v>In progress</v>
      </c>
      <c r="AF47" s="21" t="str">
        <f ca="1"/>
        <v>3-33-0102</v>
      </c>
      <c r="AG47" s="21" t="str">
        <f ca="1"/>
        <v>Unassigned</v>
      </c>
      <c r="AH47" s="21">
        <f ca="1"/>
        <v>13</v>
      </c>
      <c r="AI47" s="21" t="str">
        <f ca="1"/>
        <v>Other - Please see comments</v>
      </c>
      <c r="AJ47" s="21" t="str">
        <f ca="1"/>
        <v>In progress</v>
      </c>
    </row>
    <row r="48" spans="2:36" x14ac:dyDescent="0.2">
      <c r="B48" s="21" t="str">
        <f ca="1"/>
        <v>3-11-0110</v>
      </c>
      <c r="C48" s="21" t="str">
        <f ca="1"/>
        <v>Rafael Anez</v>
      </c>
      <c r="D48" s="21">
        <f ca="1"/>
        <v>34</v>
      </c>
      <c r="E48" s="21" t="str">
        <f ca="1"/>
        <v>Patio-other problem</v>
      </c>
      <c r="F48" s="21" t="str">
        <f ca="1"/>
        <v>On hold</v>
      </c>
      <c r="H48" s="21" t="str">
        <f ca="1"/>
        <v>3-28-0212</v>
      </c>
      <c r="I48" s="21" t="str">
        <f ca="1"/>
        <v>Unassigned</v>
      </c>
      <c r="J48" s="21">
        <f ca="1"/>
        <v>13</v>
      </c>
      <c r="K48" s="21" t="str">
        <f ca="1"/>
        <v>Other - Please see comments</v>
      </c>
      <c r="L48" s="21" t="str">
        <f ca="1"/>
        <v>In progress</v>
      </c>
      <c r="N48" s="21" t="str">
        <f ca="1"/>
        <v>7-07-0204</v>
      </c>
      <c r="O48" s="21" t="str">
        <f ca="1"/>
        <v>Antonio Sherfield</v>
      </c>
      <c r="P48" s="21">
        <f ca="1"/>
        <v>2</v>
      </c>
      <c r="Q48" s="21" t="str">
        <f ca="1"/>
        <v>Light bulb is out</v>
      </c>
      <c r="R48" s="21" t="str">
        <f ca="1"/>
        <v>In progress</v>
      </c>
      <c r="Z48" s="21" t="str">
        <f ca="1"/>
        <v>3-33-0311</v>
      </c>
      <c r="AA48" s="21" t="str">
        <f ca="1"/>
        <v>Victor Castaneda</v>
      </c>
      <c r="AB48" s="21">
        <f ca="1"/>
        <v>29</v>
      </c>
      <c r="AC48" s="21" t="str">
        <f ca="1"/>
        <v>DW leaks</v>
      </c>
      <c r="AD48" s="21" t="str">
        <f ca="1"/>
        <v>In progress</v>
      </c>
      <c r="AF48" s="21" t="str">
        <f ca="1"/>
        <v>3-28-0212</v>
      </c>
      <c r="AG48" s="21" t="str">
        <f ca="1"/>
        <v>Unassigned</v>
      </c>
      <c r="AH48" s="21">
        <f ca="1"/>
        <v>13</v>
      </c>
      <c r="AI48" s="21" t="str">
        <f ca="1"/>
        <v>Other - Please see comments</v>
      </c>
      <c r="AJ48" s="21" t="str">
        <f ca="1"/>
        <v>In progress</v>
      </c>
    </row>
    <row r="49" spans="2:36" x14ac:dyDescent="0.2">
      <c r="B49" s="21" t="str">
        <f ca="1"/>
        <v>4-23-0209</v>
      </c>
      <c r="C49" s="21" t="str">
        <f ca="1"/>
        <v>Rayniel Rincon</v>
      </c>
      <c r="D49" s="21">
        <f ca="1"/>
        <v>33</v>
      </c>
      <c r="E49" s="21" t="str">
        <f ca="1"/>
        <v>Washer-other problem</v>
      </c>
      <c r="F49" s="21" t="str">
        <f ca="1"/>
        <v>On hold</v>
      </c>
      <c r="H49" s="21" t="str">
        <f ca="1"/>
        <v>4c-02-S202</v>
      </c>
      <c r="I49" s="21" t="str">
        <f ca="1"/>
        <v>Unassigned</v>
      </c>
      <c r="J49" s="21">
        <f ca="1"/>
        <v>13</v>
      </c>
      <c r="K49" s="21" t="str">
        <f ca="1"/>
        <v>Other - Please see comments</v>
      </c>
      <c r="L49" s="21" t="str">
        <f ca="1"/>
        <v>In progress</v>
      </c>
      <c r="N49" s="21" t="str">
        <f ca="1"/>
        <v>8-01-1014</v>
      </c>
      <c r="O49" s="21" t="str">
        <f ca="1"/>
        <v>Miguel Gil</v>
      </c>
      <c r="P49" s="21">
        <f ca="1"/>
        <v>2</v>
      </c>
      <c r="Q49" s="21" t="str">
        <f ca="1"/>
        <v>Other - Please see comments</v>
      </c>
      <c r="R49" s="21" t="str">
        <f ca="1"/>
        <v>In progress</v>
      </c>
      <c r="Z49" s="21" t="str">
        <f ca="1"/>
        <v>3-18-0302</v>
      </c>
      <c r="AA49" s="21" t="str">
        <f ca="1"/>
        <v>Alexander Gonzalez</v>
      </c>
      <c r="AB49" s="21">
        <f ca="1"/>
        <v>29</v>
      </c>
      <c r="AC49" s="21" t="str">
        <f ca="1"/>
        <v>No hot water</v>
      </c>
      <c r="AD49" s="21" t="str">
        <f ca="1"/>
        <v>In progress</v>
      </c>
      <c r="AF49" s="21" t="str">
        <f ca="1"/>
        <v>4c-02-S202</v>
      </c>
      <c r="AG49" s="21" t="str">
        <f ca="1"/>
        <v>Unassigned</v>
      </c>
      <c r="AH49" s="21">
        <f ca="1"/>
        <v>13</v>
      </c>
      <c r="AI49" s="21" t="str">
        <f ca="1"/>
        <v>Other - Please see comments</v>
      </c>
      <c r="AJ49" s="21" t="str">
        <f ca="1"/>
        <v>In progress</v>
      </c>
    </row>
    <row r="50" spans="2:36" x14ac:dyDescent="0.2">
      <c r="B50" s="21" t="str">
        <f ca="1"/>
        <v>3-17-0303</v>
      </c>
      <c r="C50" s="21" t="str">
        <f ca="1"/>
        <v>Unassigned</v>
      </c>
      <c r="D50" s="21">
        <f ca="1"/>
        <v>33</v>
      </c>
      <c r="E50" s="21" t="str">
        <f ca="1"/>
        <v>DW does not drain/backing up</v>
      </c>
      <c r="F50" s="21" t="str">
        <f ca="1"/>
        <v>In progress</v>
      </c>
      <c r="H50" s="21" t="str">
        <f ca="1"/>
        <v>3-33-0102</v>
      </c>
      <c r="I50" s="21" t="str">
        <f ca="1"/>
        <v>Unassigned</v>
      </c>
      <c r="J50" s="21">
        <f ca="1"/>
        <v>13</v>
      </c>
      <c r="K50" s="21" t="str">
        <f ca="1"/>
        <v>Other - Please see comments</v>
      </c>
      <c r="L50" s="21" t="str">
        <f ca="1"/>
        <v>In progress</v>
      </c>
      <c r="N50" s="21" t="str">
        <f ca="1"/>
        <v>7-04-0212</v>
      </c>
      <c r="O50" s="21" t="str">
        <f ca="1"/>
        <v>Unassigned</v>
      </c>
      <c r="P50" s="21">
        <f ca="1"/>
        <v>2</v>
      </c>
      <c r="Q50" s="21" t="str">
        <f ca="1"/>
        <v>Sink-other problem</v>
      </c>
      <c r="R50" s="21" t="str">
        <f ca="1"/>
        <v>In progress</v>
      </c>
      <c r="Z50" s="21" t="str">
        <f ca="1"/>
        <v>4-04-7113</v>
      </c>
      <c r="AA50" s="21" t="str">
        <f ca="1"/>
        <v>Unassigned</v>
      </c>
      <c r="AB50" s="21">
        <f ca="1"/>
        <v>28</v>
      </c>
      <c r="AC50" s="21" t="str">
        <f ca="1"/>
        <v>Other - Please see comments</v>
      </c>
      <c r="AD50" s="21" t="str">
        <f ca="1"/>
        <v>In progress</v>
      </c>
      <c r="AF50" s="21" t="str">
        <f ca="1"/>
        <v>3-17-0210</v>
      </c>
      <c r="AG50" s="21" t="str">
        <f ca="1"/>
        <v>Unassigned</v>
      </c>
      <c r="AH50" s="21">
        <f ca="1"/>
        <v>11</v>
      </c>
      <c r="AI50" s="21" t="str">
        <f ca="1"/>
        <v>Ceiling fan is noisy</v>
      </c>
      <c r="AJ50" s="21" t="str">
        <f ca="1"/>
        <v>In progress</v>
      </c>
    </row>
    <row r="51" spans="2:36" x14ac:dyDescent="0.2">
      <c r="B51" s="21" t="str">
        <f ca="1"/>
        <v>3-24-0201</v>
      </c>
      <c r="C51" s="21" t="str">
        <f ca="1"/>
        <v>Victor Castaneda</v>
      </c>
      <c r="D51" s="21">
        <f ca="1"/>
        <v>32</v>
      </c>
      <c r="E51" s="21" t="str">
        <f ca="1"/>
        <v>Other - Please see comments</v>
      </c>
      <c r="F51" s="21" t="str">
        <f ca="1"/>
        <v>In progress</v>
      </c>
      <c r="H51" s="21" t="str">
        <f ca="1"/>
        <v>3-17-0210</v>
      </c>
      <c r="I51" s="21" t="str">
        <f ca="1"/>
        <v>Unassigned</v>
      </c>
      <c r="J51" s="21">
        <f ca="1"/>
        <v>11</v>
      </c>
      <c r="K51" s="21" t="str">
        <f ca="1"/>
        <v>Ceiling fan is noisy</v>
      </c>
      <c r="L51" s="21" t="str">
        <f ca="1"/>
        <v>In progress</v>
      </c>
      <c r="N51" s="21" t="str">
        <f ca="1"/>
        <v>5-04-5740</v>
      </c>
      <c r="O51" s="21" t="str">
        <f ca="1"/>
        <v>Unassigned</v>
      </c>
      <c r="P51" s="21">
        <f ca="1"/>
        <v>2</v>
      </c>
      <c r="Q51" s="21" t="str">
        <f ca="1"/>
        <v>Pest Control requested</v>
      </c>
      <c r="R51" s="21" t="str">
        <f ca="1"/>
        <v>In progress</v>
      </c>
      <c r="Z51" s="21" t="str">
        <f ca="1"/>
        <v>3-16-0218</v>
      </c>
      <c r="AA51" s="21" t="str">
        <f ca="1"/>
        <v>Alexander Gonzalez</v>
      </c>
      <c r="AB51" s="21">
        <f ca="1"/>
        <v>28</v>
      </c>
      <c r="AC51" s="21" t="str">
        <f ca="1"/>
        <v>Other mail issue</v>
      </c>
      <c r="AD51" s="21" t="str">
        <f ca="1"/>
        <v>In progress</v>
      </c>
      <c r="AF51" s="21" t="str">
        <f ca="1"/>
        <v>3-29-0323</v>
      </c>
      <c r="AG51" s="21" t="str">
        <f ca="1"/>
        <v>Unassigned</v>
      </c>
      <c r="AH51" s="21">
        <f ca="1"/>
        <v>8</v>
      </c>
      <c r="AI51" s="21" t="str">
        <f ca="1"/>
        <v>Damaged or missing screens</v>
      </c>
      <c r="AJ51" s="21" t="str">
        <f ca="1"/>
        <v>In progress</v>
      </c>
    </row>
    <row r="52" spans="2:36" x14ac:dyDescent="0.2">
      <c r="B52" s="21" t="str">
        <f ca="1"/>
        <v>4-04-7113</v>
      </c>
      <c r="C52" s="21" t="str">
        <f ca="1"/>
        <v>Unassigned</v>
      </c>
      <c r="D52" s="21">
        <f ca="1"/>
        <v>32</v>
      </c>
      <c r="E52" s="21" t="str">
        <f ca="1"/>
        <v>Other - Please see comments</v>
      </c>
      <c r="F52" s="21" t="str">
        <f ca="1"/>
        <v>In progress</v>
      </c>
      <c r="H52" s="21" t="str">
        <f ca="1"/>
        <v>3-29-0323</v>
      </c>
      <c r="I52" s="21" t="str">
        <f ca="1"/>
        <v>Unassigned</v>
      </c>
      <c r="J52" s="21">
        <f ca="1"/>
        <v>8</v>
      </c>
      <c r="K52" s="21" t="str">
        <f ca="1"/>
        <v>Damaged or missing screens</v>
      </c>
      <c r="L52" s="21" t="str">
        <f ca="1"/>
        <v>In progress</v>
      </c>
      <c r="N52" s="21" t="str">
        <f ca="1"/>
        <v>5-18-0128</v>
      </c>
      <c r="O52" s="21" t="str">
        <f ca="1"/>
        <v>Unassigned</v>
      </c>
      <c r="P52" s="21">
        <f ca="1"/>
        <v>2</v>
      </c>
      <c r="Q52" s="21" t="str">
        <f ca="1"/>
        <v>Pest Control requested</v>
      </c>
      <c r="R52" s="21" t="str">
        <f ca="1"/>
        <v>In progress</v>
      </c>
      <c r="Z52" s="21" t="str">
        <f ca="1"/>
        <v>3-15-7025</v>
      </c>
      <c r="AA52" s="21" t="str">
        <f ca="1"/>
        <v>Alexander Gonzalez</v>
      </c>
      <c r="AB52" s="21">
        <f ca="1"/>
        <v>26</v>
      </c>
      <c r="AC52" s="21" t="str">
        <f ca="1"/>
        <v>Other - Please see comments</v>
      </c>
      <c r="AD52" s="21" t="str">
        <f ca="1"/>
        <v>In progress</v>
      </c>
      <c r="AF52" s="21" t="str">
        <f ca="1"/>
        <v>4-01-5786</v>
      </c>
      <c r="AG52" s="21" t="str">
        <f ca="1"/>
        <v>Unassigned</v>
      </c>
      <c r="AH52" s="21">
        <f ca="1"/>
        <v>7</v>
      </c>
      <c r="AI52" s="21" t="str">
        <f ca="1"/>
        <v>Tub-other problem</v>
      </c>
      <c r="AJ52" s="21" t="str">
        <f ca="1"/>
        <v>In progress</v>
      </c>
    </row>
    <row r="53" spans="2:36" x14ac:dyDescent="0.2">
      <c r="B53" s="21" t="str">
        <f ca="1"/>
        <v>3-07-0014</v>
      </c>
      <c r="C53" s="21" t="str">
        <f ca="1"/>
        <v>Dennis Arevalo</v>
      </c>
      <c r="D53" s="21">
        <f ca="1"/>
        <v>32</v>
      </c>
      <c r="E53" s="21" t="str">
        <f ca="1"/>
        <v>Damaged or missing screens</v>
      </c>
      <c r="F53" s="21" t="str">
        <f ca="1"/>
        <v>In progress</v>
      </c>
      <c r="H53" s="21" t="str">
        <f ca="1"/>
        <v>4-01-5786</v>
      </c>
      <c r="I53" s="21" t="str">
        <f ca="1"/>
        <v>Unassigned</v>
      </c>
      <c r="J53" s="21">
        <f ca="1"/>
        <v>7</v>
      </c>
      <c r="K53" s="21" t="str">
        <f ca="1"/>
        <v>Tub-other problem</v>
      </c>
      <c r="L53" s="21" t="str">
        <f ca="1"/>
        <v>In progress</v>
      </c>
      <c r="N53" s="21" t="str">
        <f ca="1"/>
        <v>5-18-0244</v>
      </c>
      <c r="O53" s="21" t="str">
        <f ca="1"/>
        <v>Yomar Gonzalez</v>
      </c>
      <c r="P53" s="21">
        <f ca="1"/>
        <v>2</v>
      </c>
      <c r="Q53" s="21" t="str">
        <f ca="1"/>
        <v>Heater does not heat properly</v>
      </c>
      <c r="R53" s="21" t="str">
        <f ca="1"/>
        <v>In progress</v>
      </c>
      <c r="Z53" s="21" t="str">
        <f ca="1"/>
        <v>4-05-5789</v>
      </c>
      <c r="AA53" s="21" t="str">
        <f ca="1"/>
        <v>Unassigned</v>
      </c>
      <c r="AB53" s="21">
        <f ca="1"/>
        <v>25</v>
      </c>
      <c r="AC53" s="21" t="str">
        <f ca="1"/>
        <v>Other - Please see comments</v>
      </c>
      <c r="AD53" s="21" t="str">
        <f ca="1"/>
        <v>In progress</v>
      </c>
      <c r="AF53" s="21" t="str">
        <f ca="1"/>
        <v>3-08-0108</v>
      </c>
      <c r="AG53" s="21" t="str">
        <f ca="1"/>
        <v>Unassigned</v>
      </c>
      <c r="AH53" s="21">
        <f ca="1"/>
        <v>6</v>
      </c>
      <c r="AI53" s="21" t="str">
        <f ca="1"/>
        <v>Other - Please see comments</v>
      </c>
      <c r="AJ53" s="21" t="str">
        <f ca="1"/>
        <v>In progress</v>
      </c>
    </row>
    <row r="54" spans="2:36" x14ac:dyDescent="0.2">
      <c r="B54" s="21" t="str">
        <f ca="1"/>
        <v>3-07-0014</v>
      </c>
      <c r="C54" s="21" t="str">
        <f ca="1"/>
        <v>Dennis Arevalo</v>
      </c>
      <c r="D54" s="21">
        <f ca="1"/>
        <v>32</v>
      </c>
      <c r="E54" s="21" t="str">
        <f ca="1"/>
        <v>Piece come loose/separated</v>
      </c>
      <c r="F54" s="21" t="str">
        <f ca="1"/>
        <v>In progress</v>
      </c>
      <c r="H54" s="21" t="str">
        <f ca="1"/>
        <v>5-18-0137</v>
      </c>
      <c r="I54" s="21" t="str">
        <f ca="1"/>
        <v>Unassigned</v>
      </c>
      <c r="J54" s="21">
        <f ca="1"/>
        <v>6</v>
      </c>
      <c r="K54" s="21" t="str">
        <f ca="1"/>
        <v>Other - Please see comments</v>
      </c>
      <c r="L54" s="21" t="str">
        <f ca="1"/>
        <v>In progress</v>
      </c>
      <c r="N54" s="21" t="str">
        <f ca="1"/>
        <v>5-18-0244</v>
      </c>
      <c r="O54" s="21" t="str">
        <f ca="1"/>
        <v>Yomar Gonzalez</v>
      </c>
      <c r="P54" s="21">
        <f ca="1"/>
        <v>2</v>
      </c>
      <c r="Q54" s="21" t="str">
        <f ca="1"/>
        <v>Water leak</v>
      </c>
      <c r="R54" s="21" t="str">
        <f ca="1"/>
        <v>In progress</v>
      </c>
      <c r="Z54" s="21" t="str">
        <f ca="1"/>
        <v>3-09-0106</v>
      </c>
      <c r="AA54" s="21" t="str">
        <f ca="1"/>
        <v>Unassigned</v>
      </c>
      <c r="AB54" s="21">
        <f ca="1"/>
        <v>25</v>
      </c>
      <c r="AC54" s="21" t="str">
        <f ca="1"/>
        <v>Vinyl flooring-other problem</v>
      </c>
      <c r="AD54" s="21" t="str">
        <f ca="1"/>
        <v>In progress</v>
      </c>
      <c r="AF54" s="21" t="str">
        <f ca="1"/>
        <v>3-01-0206</v>
      </c>
      <c r="AG54" s="21" t="str">
        <f ca="1"/>
        <v>Unassigned</v>
      </c>
      <c r="AH54" s="21">
        <f ca="1"/>
        <v>5</v>
      </c>
      <c r="AI54" s="21" t="str">
        <f ca="1"/>
        <v>Patio door gaps or is drafty</v>
      </c>
      <c r="AJ54" s="21" t="str">
        <f ca="1"/>
        <v>In progress</v>
      </c>
    </row>
    <row r="55" spans="2:36" x14ac:dyDescent="0.2">
      <c r="B55" s="21" t="str">
        <f ca="1"/>
        <v>8-01-1036</v>
      </c>
      <c r="C55" s="21" t="str">
        <f ca="1"/>
        <v>Antonio Sherfield</v>
      </c>
      <c r="D55" s="21">
        <f ca="1"/>
        <v>31</v>
      </c>
      <c r="E55" s="21" t="str">
        <f ca="1"/>
        <v>Washer is noisy</v>
      </c>
      <c r="F55" s="21" t="str">
        <f ca="1"/>
        <v>In progress</v>
      </c>
      <c r="H55" s="21" t="str">
        <f ca="1"/>
        <v>7-11-0508</v>
      </c>
      <c r="I55" s="21" t="str">
        <f ca="1"/>
        <v>Unassigned</v>
      </c>
      <c r="J55" s="21">
        <f ca="1"/>
        <v>6</v>
      </c>
      <c r="K55" s="21" t="str">
        <f ca="1"/>
        <v>Make Ready</v>
      </c>
      <c r="L55" s="21" t="str">
        <f ca="1"/>
        <v>In progress</v>
      </c>
      <c r="N55" s="21" t="str">
        <f ca="1"/>
        <v>5-17-0316</v>
      </c>
      <c r="O55" s="21" t="str">
        <f ca="1"/>
        <v>Yomar Gonzalez</v>
      </c>
      <c r="P55" s="21">
        <f ca="1"/>
        <v>2</v>
      </c>
      <c r="Q55" s="21" t="str">
        <f ca="1"/>
        <v>Light bulb is out</v>
      </c>
      <c r="R55" s="21" t="str">
        <f ca="1"/>
        <v>On hold</v>
      </c>
      <c r="Z55" s="21" t="str">
        <f ca="1"/>
        <v>4-05-5789</v>
      </c>
      <c r="AA55" s="21" t="str">
        <f ca="1"/>
        <v>Unassigned</v>
      </c>
      <c r="AB55" s="21">
        <f ca="1"/>
        <v>25</v>
      </c>
      <c r="AC55" s="21" t="str">
        <f ca="1"/>
        <v>Mw does not work/heat properly</v>
      </c>
      <c r="AD55" s="21" t="str">
        <f ca="1"/>
        <v>In progress</v>
      </c>
      <c r="AF55" s="21" t="str">
        <f ca="1"/>
        <v>3-27-0202</v>
      </c>
      <c r="AG55" s="21" t="str">
        <f ca="1"/>
        <v>Unassigned</v>
      </c>
      <c r="AH55" s="21">
        <f ca="1"/>
        <v>5</v>
      </c>
      <c r="AI55" s="21" t="str">
        <f ca="1"/>
        <v>Drafts or poor air circulation</v>
      </c>
      <c r="AJ55" s="21" t="str">
        <f ca="1"/>
        <v>In progress</v>
      </c>
    </row>
    <row r="56" spans="2:36" x14ac:dyDescent="0.2">
      <c r="B56" s="21" t="str">
        <f ca="1"/>
        <v>3-18-0302</v>
      </c>
      <c r="C56" s="21" t="str">
        <f ca="1"/>
        <v>Alexander Gonzalez</v>
      </c>
      <c r="D56" s="21">
        <f ca="1"/>
        <v>29</v>
      </c>
      <c r="E56" s="21" t="str">
        <f ca="1"/>
        <v>No hot water</v>
      </c>
      <c r="F56" s="21" t="str">
        <f ca="1"/>
        <v>In progress</v>
      </c>
      <c r="H56" s="21" t="str">
        <f ca="1"/>
        <v>3-08-0108</v>
      </c>
      <c r="I56" s="21" t="str">
        <f ca="1"/>
        <v>Unassigned</v>
      </c>
      <c r="J56" s="21">
        <f ca="1"/>
        <v>6</v>
      </c>
      <c r="K56" s="21" t="str">
        <f ca="1"/>
        <v>Other - Please see comments</v>
      </c>
      <c r="L56" s="21" t="str">
        <f ca="1"/>
        <v>In progress</v>
      </c>
      <c r="N56" s="21" t="str">
        <f ca="1"/>
        <v>5-18-0315</v>
      </c>
      <c r="O56" s="21" t="str">
        <f ca="1"/>
        <v>Yomar Gonzalez</v>
      </c>
      <c r="P56" s="21">
        <f ca="1"/>
        <v>2</v>
      </c>
      <c r="Q56" s="21" t="str">
        <f ca="1"/>
        <v>Light bulb is out</v>
      </c>
      <c r="R56" s="21" t="str">
        <f ca="1"/>
        <v>In progress</v>
      </c>
      <c r="Z56" s="21" t="str">
        <f ca="1"/>
        <v>4-05-5789</v>
      </c>
      <c r="AA56" s="21" t="str">
        <f ca="1"/>
        <v>Unassigned</v>
      </c>
      <c r="AB56" s="21">
        <f ca="1"/>
        <v>25</v>
      </c>
      <c r="AC56" s="21" t="str">
        <f ca="1"/>
        <v>Cracked or separated pieces</v>
      </c>
      <c r="AD56" s="21" t="str">
        <f ca="1"/>
        <v>In progress</v>
      </c>
      <c r="AF56" s="21" t="str">
        <f ca="1"/>
        <v>4c-02-S308</v>
      </c>
      <c r="AG56" s="21" t="str">
        <f ca="1"/>
        <v>Unassigned</v>
      </c>
      <c r="AH56" s="21">
        <f ca="1"/>
        <v>3</v>
      </c>
      <c r="AI56" s="21" t="str">
        <f ca="1"/>
        <v>Other - Please see comments</v>
      </c>
      <c r="AJ56" s="21" t="str">
        <f ca="1"/>
        <v>In progress</v>
      </c>
    </row>
    <row r="57" spans="2:36" x14ac:dyDescent="0.2">
      <c r="B57" s="21" t="str">
        <f ca="1"/>
        <v>3-33-0311</v>
      </c>
      <c r="C57" s="21" t="str">
        <f ca="1"/>
        <v>Victor Castaneda</v>
      </c>
      <c r="D57" s="21">
        <f ca="1"/>
        <v>29</v>
      </c>
      <c r="E57" s="21" t="str">
        <f ca="1"/>
        <v>DW leaks</v>
      </c>
      <c r="F57" s="21" t="str">
        <f ca="1"/>
        <v>In progress</v>
      </c>
      <c r="H57" s="21" t="str">
        <f ca="1"/>
        <v>3-27-0202</v>
      </c>
      <c r="I57" s="21" t="str">
        <f ca="1"/>
        <v>Unassigned</v>
      </c>
      <c r="J57" s="21">
        <f ca="1"/>
        <v>5</v>
      </c>
      <c r="K57" s="21" t="str">
        <f ca="1"/>
        <v>Drafts or poor air circulation</v>
      </c>
      <c r="L57" s="21" t="str">
        <f ca="1"/>
        <v>In progress</v>
      </c>
      <c r="N57" s="21" t="str">
        <f ca="1"/>
        <v>5-18-0315</v>
      </c>
      <c r="O57" s="21" t="str">
        <f ca="1"/>
        <v>Yomar Gonzalez</v>
      </c>
      <c r="P57" s="21">
        <f ca="1"/>
        <v>2</v>
      </c>
      <c r="Q57" s="21" t="str">
        <f ca="1"/>
        <v>Vents/ducts dirty/odor</v>
      </c>
      <c r="R57" s="21" t="str">
        <f ca="1"/>
        <v>In progress</v>
      </c>
      <c r="Z57" s="21" t="str">
        <f ca="1"/>
        <v>3-09-0106</v>
      </c>
      <c r="AA57" s="21" t="str">
        <f ca="1"/>
        <v>Unassigned</v>
      </c>
      <c r="AB57" s="21">
        <f ca="1"/>
        <v>25</v>
      </c>
      <c r="AC57" s="21" t="str">
        <f ca="1"/>
        <v>Shower-other problem</v>
      </c>
      <c r="AD57" s="21" t="str">
        <f ca="1"/>
        <v>In progress</v>
      </c>
      <c r="AF57" s="21" t="str">
        <f ca="1"/>
        <v>3-33-0210</v>
      </c>
      <c r="AG57" s="21" t="str">
        <f ca="1"/>
        <v>Unassigned</v>
      </c>
      <c r="AH57" s="21">
        <f ca="1"/>
        <v>3</v>
      </c>
      <c r="AI57" s="21" t="str">
        <f ca="1"/>
        <v>Frig parts/access missing/brkn</v>
      </c>
      <c r="AJ57" s="21" t="str">
        <f ca="1"/>
        <v>In progress</v>
      </c>
    </row>
    <row r="58" spans="2:36" x14ac:dyDescent="0.2">
      <c r="B58" s="21" t="str">
        <f ca="1"/>
        <v>3-16-0218</v>
      </c>
      <c r="C58" s="21" t="str">
        <f ca="1"/>
        <v>Alexander Gonzalez</v>
      </c>
      <c r="D58" s="21">
        <f ca="1"/>
        <v>28</v>
      </c>
      <c r="E58" s="21" t="str">
        <f ca="1"/>
        <v>Other mail issue</v>
      </c>
      <c r="F58" s="21" t="str">
        <f ca="1"/>
        <v>In progress</v>
      </c>
      <c r="H58" s="21" t="str">
        <f ca="1"/>
        <v>3-01-0206</v>
      </c>
      <c r="I58" s="21" t="str">
        <f ca="1"/>
        <v>Unassigned</v>
      </c>
      <c r="J58" s="21">
        <f ca="1"/>
        <v>5</v>
      </c>
      <c r="K58" s="21" t="str">
        <f ca="1"/>
        <v>Patio door gaps or is drafty</v>
      </c>
      <c r="L58" s="21" t="str">
        <f ca="1"/>
        <v>In progress</v>
      </c>
      <c r="N58" s="21" t="str">
        <f ca="1"/>
        <v>7-02-0204</v>
      </c>
      <c r="O58" s="21" t="str">
        <f ca="1"/>
        <v>Unassigned</v>
      </c>
      <c r="P58" s="21">
        <f ca="1"/>
        <v>2</v>
      </c>
      <c r="Q58" s="21" t="str">
        <f ca="1"/>
        <v>DW does not work</v>
      </c>
      <c r="R58" s="21" t="str">
        <f ca="1"/>
        <v>In progress</v>
      </c>
      <c r="Z58" s="21" t="str">
        <f ca="1"/>
        <v>4-05-5789</v>
      </c>
      <c r="AA58" s="21" t="str">
        <f ca="1"/>
        <v>Unassigned</v>
      </c>
      <c r="AB58" s="21">
        <f ca="1"/>
        <v>25</v>
      </c>
      <c r="AC58" s="21" t="str">
        <f ca="1"/>
        <v>Vents/ducts dirty/odor</v>
      </c>
      <c r="AD58" s="21" t="str">
        <f ca="1"/>
        <v>In progress</v>
      </c>
      <c r="AF58" s="21" t="str">
        <f ca="1"/>
        <v>3-33-0308</v>
      </c>
      <c r="AG58" s="21" t="str">
        <f ca="1"/>
        <v>Unassigned</v>
      </c>
      <c r="AH58" s="21">
        <f ca="1"/>
        <v>3</v>
      </c>
      <c r="AI58" s="21" t="str">
        <f ca="1"/>
        <v>Other - Please see comments</v>
      </c>
      <c r="AJ58" s="21" t="str">
        <f ca="1"/>
        <v>In progress</v>
      </c>
    </row>
    <row r="59" spans="2:36" x14ac:dyDescent="0.2">
      <c r="B59" s="21" t="str">
        <f ca="1"/>
        <v>4-04-7113</v>
      </c>
      <c r="C59" s="21" t="str">
        <f ca="1"/>
        <v>Unassigned</v>
      </c>
      <c r="D59" s="21">
        <f ca="1"/>
        <v>28</v>
      </c>
      <c r="E59" s="21" t="str">
        <f ca="1"/>
        <v>Other - Please see comments</v>
      </c>
      <c r="F59" s="21" t="str">
        <f ca="1"/>
        <v>In progress</v>
      </c>
      <c r="H59" s="21" t="str">
        <f ca="1"/>
        <v>7-03-0113</v>
      </c>
      <c r="I59" s="21" t="str">
        <f ca="1"/>
        <v>Unassigned</v>
      </c>
      <c r="J59" s="21">
        <f ca="1"/>
        <v>3</v>
      </c>
      <c r="K59" s="21" t="str">
        <f ca="1"/>
        <v>Drafts or poor air circulation</v>
      </c>
      <c r="L59" s="21" t="str">
        <f ca="1"/>
        <v>In progress</v>
      </c>
      <c r="N59" s="21" t="str">
        <f ca="1"/>
        <v>7-02-0204</v>
      </c>
      <c r="O59" s="21" t="str">
        <f ca="1"/>
        <v>Unassigned</v>
      </c>
      <c r="P59" s="21">
        <f ca="1"/>
        <v>2</v>
      </c>
      <c r="Q59" s="21" t="str">
        <f ca="1"/>
        <v>Other mail issue</v>
      </c>
      <c r="R59" s="21" t="str">
        <f ca="1"/>
        <v>In progress</v>
      </c>
      <c r="Z59" s="21" t="str">
        <f ca="1"/>
        <v>4-05-5789</v>
      </c>
      <c r="AA59" s="21" t="str">
        <f ca="1"/>
        <v>Unassigned</v>
      </c>
      <c r="AB59" s="21">
        <f ca="1"/>
        <v>25</v>
      </c>
      <c r="AC59" s="21" t="str">
        <f ca="1"/>
        <v>A/C leaks</v>
      </c>
      <c r="AD59" s="21" t="str">
        <f ca="1"/>
        <v>In progress</v>
      </c>
      <c r="AF59" s="21" t="str">
        <f ca="1"/>
        <v>3-04-7105</v>
      </c>
      <c r="AG59" s="21" t="str">
        <f ca="1"/>
        <v>Unassigned</v>
      </c>
      <c r="AH59" s="21">
        <f ca="1"/>
        <v>3</v>
      </c>
      <c r="AI59" s="21" t="str">
        <f ca="1"/>
        <v>Vents/ducts-other problem</v>
      </c>
      <c r="AJ59" s="21" t="str">
        <f ca="1"/>
        <v>In progress</v>
      </c>
    </row>
    <row r="60" spans="2:36" x14ac:dyDescent="0.2">
      <c r="B60" s="21" t="str">
        <f ca="1"/>
        <v>3-15-7025</v>
      </c>
      <c r="C60" s="21" t="str">
        <f ca="1"/>
        <v>Alexander Gonzalez</v>
      </c>
      <c r="D60" s="21">
        <f ca="1"/>
        <v>26</v>
      </c>
      <c r="E60" s="21" t="str">
        <f ca="1"/>
        <v>Other - Please see comments</v>
      </c>
      <c r="F60" s="21" t="str">
        <f ca="1"/>
        <v>In progress</v>
      </c>
      <c r="H60" s="21" t="str">
        <f ca="1"/>
        <v>7-02-0313</v>
      </c>
      <c r="I60" s="21" t="str">
        <f ca="1"/>
        <v>Unassigned</v>
      </c>
      <c r="J60" s="21">
        <f ca="1"/>
        <v>3</v>
      </c>
      <c r="K60" s="21" t="str">
        <f ca="1"/>
        <v>Washer will not fill/drain</v>
      </c>
      <c r="L60" s="21" t="str">
        <f ca="1"/>
        <v>In progress</v>
      </c>
      <c r="N60" s="21" t="str">
        <f ca="1"/>
        <v>5-11-0204</v>
      </c>
      <c r="O60" s="21" t="str">
        <f ca="1"/>
        <v>Yomar Gonzalez</v>
      </c>
      <c r="P60" s="21">
        <f ca="1"/>
        <v>2</v>
      </c>
      <c r="Q60" s="21" t="str">
        <f ca="1"/>
        <v>Other - Please see comments</v>
      </c>
      <c r="R60" s="21" t="str">
        <f ca="1"/>
        <v>In progress</v>
      </c>
      <c r="Z60" s="21" t="str">
        <f ca="1"/>
        <v>3-01-0205</v>
      </c>
      <c r="AA60" s="21" t="str">
        <f ca="1"/>
        <v>Maint supervisor</v>
      </c>
      <c r="AB60" s="21">
        <f ca="1"/>
        <v>24</v>
      </c>
      <c r="AC60" s="21" t="str">
        <f ca="1"/>
        <v>Tile-other problem</v>
      </c>
      <c r="AD60" s="21" t="str">
        <f ca="1"/>
        <v>On hold</v>
      </c>
      <c r="AF60" s="21" t="str">
        <f ca="1"/>
        <v>4c-02-S308</v>
      </c>
      <c r="AG60" s="21" t="str">
        <f ca="1"/>
        <v>Unassigned</v>
      </c>
      <c r="AH60" s="21">
        <f ca="1"/>
        <v>3</v>
      </c>
      <c r="AI60" s="21" t="str">
        <f ca="1"/>
        <v>Mw does not work/heat properly</v>
      </c>
      <c r="AJ60" s="21" t="str">
        <f ca="1"/>
        <v>In progress</v>
      </c>
    </row>
    <row r="61" spans="2:36" x14ac:dyDescent="0.2">
      <c r="B61" s="21" t="str">
        <f ca="1"/>
        <v>7-03-0113</v>
      </c>
      <c r="C61" s="21" t="str">
        <f ca="1"/>
        <v>Barron Russell</v>
      </c>
      <c r="D61" s="21">
        <f ca="1"/>
        <v>26</v>
      </c>
      <c r="E61" s="21" t="str">
        <f ca="1"/>
        <v>A/C does not cool properly</v>
      </c>
      <c r="F61" s="21" t="str">
        <f ca="1"/>
        <v>On hold</v>
      </c>
      <c r="H61" s="21" t="str">
        <f ca="1"/>
        <v>3-33-0308</v>
      </c>
      <c r="I61" s="21" t="str">
        <f ca="1"/>
        <v>Unassigned</v>
      </c>
      <c r="J61" s="21">
        <f ca="1"/>
        <v>3</v>
      </c>
      <c r="K61" s="21" t="str">
        <f ca="1"/>
        <v>Other - Please see comments</v>
      </c>
      <c r="L61" s="21" t="str">
        <f ca="1"/>
        <v>In progress</v>
      </c>
      <c r="N61" s="21" t="str">
        <f ca="1"/>
        <v>8-01-2039</v>
      </c>
      <c r="O61" s="21" t="str">
        <f ca="1"/>
        <v>Unassigned</v>
      </c>
      <c r="P61" s="21">
        <f ca="1"/>
        <v>1</v>
      </c>
      <c r="Q61" s="21" t="str">
        <f ca="1"/>
        <v>Shower clogged</v>
      </c>
      <c r="R61" s="21" t="str">
        <f ca="1"/>
        <v>In progress</v>
      </c>
      <c r="Z61" s="21" t="str">
        <f ca="1"/>
        <v>4c-02-S301</v>
      </c>
      <c r="AA61" s="21" t="str">
        <f ca="1"/>
        <v>Unassigned</v>
      </c>
      <c r="AB61" s="21">
        <f ca="1"/>
        <v>24</v>
      </c>
      <c r="AC61" s="21" t="str">
        <f ca="1"/>
        <v>Frig light does not work</v>
      </c>
      <c r="AD61" s="21" t="str">
        <f ca="1"/>
        <v>In progress</v>
      </c>
      <c r="AF61" s="21" t="str">
        <f ca="1"/>
        <v>4-12-7089</v>
      </c>
      <c r="AG61" s="21" t="str">
        <f ca="1"/>
        <v>Unassigned</v>
      </c>
      <c r="AH61" s="21">
        <f ca="1"/>
        <v>3</v>
      </c>
      <c r="AI61" s="21" t="str">
        <f ca="1"/>
        <v>Power-other problem</v>
      </c>
      <c r="AJ61" s="21" t="str">
        <f ca="1"/>
        <v>In progress</v>
      </c>
    </row>
    <row r="62" spans="2:36" x14ac:dyDescent="0.2">
      <c r="B62" s="21" t="str">
        <f ca="1"/>
        <v>3-09-0106</v>
      </c>
      <c r="C62" s="21" t="str">
        <f ca="1"/>
        <v>Unassigned</v>
      </c>
      <c r="D62" s="21">
        <f ca="1"/>
        <v>25</v>
      </c>
      <c r="E62" s="21" t="str">
        <f ca="1"/>
        <v>Shower-other problem</v>
      </c>
      <c r="F62" s="21" t="str">
        <f ca="1"/>
        <v>In progress</v>
      </c>
      <c r="H62" s="21" t="str">
        <f ca="1"/>
        <v>3-33-0210</v>
      </c>
      <c r="I62" s="21" t="str">
        <f ca="1"/>
        <v>Unassigned</v>
      </c>
      <c r="J62" s="21">
        <f ca="1"/>
        <v>3</v>
      </c>
      <c r="K62" s="21" t="str">
        <f ca="1"/>
        <v>Frig parts/access missing/brkn</v>
      </c>
      <c r="L62" s="21" t="str">
        <f ca="1"/>
        <v>In progress</v>
      </c>
      <c r="N62" s="21" t="str">
        <f ca="1"/>
        <v>5-18-0111</v>
      </c>
      <c r="O62" s="21" t="str">
        <f ca="1"/>
        <v>Unassigned</v>
      </c>
      <c r="P62" s="21">
        <f ca="1"/>
        <v>1</v>
      </c>
      <c r="Q62" s="21" t="str">
        <f ca="1"/>
        <v>Shower-other problem</v>
      </c>
      <c r="R62" s="21" t="str">
        <f ca="1"/>
        <v>In progress</v>
      </c>
      <c r="Z62" s="21" t="str">
        <f ca="1"/>
        <v>3-33-0211</v>
      </c>
      <c r="AA62" s="21" t="str">
        <f ca="1"/>
        <v>Victor Castaneda</v>
      </c>
      <c r="AB62" s="21">
        <f ca="1"/>
        <v>23</v>
      </c>
      <c r="AC62" s="21" t="str">
        <f ca="1"/>
        <v>Water on floor</v>
      </c>
      <c r="AD62" s="21" t="str">
        <f ca="1"/>
        <v>In progress</v>
      </c>
      <c r="AF62" s="21" t="str">
        <f ca="1"/>
        <v>3-26-0202</v>
      </c>
      <c r="AG62" s="21" t="str">
        <f ca="1"/>
        <v>Unassigned</v>
      </c>
      <c r="AH62" s="21">
        <f ca="1"/>
        <v>2</v>
      </c>
      <c r="AI62" s="21" t="str">
        <f ca="1"/>
        <v>Mw shorts/smokes/sparks</v>
      </c>
      <c r="AJ62" s="21" t="str">
        <f ca="1"/>
        <v>In progress</v>
      </c>
    </row>
    <row r="63" spans="2:36" x14ac:dyDescent="0.2">
      <c r="B63" s="21" t="str">
        <f ca="1"/>
        <v>4-05-5789</v>
      </c>
      <c r="C63" s="21" t="str">
        <f ca="1"/>
        <v>Unassigned</v>
      </c>
      <c r="D63" s="21">
        <f ca="1"/>
        <v>25</v>
      </c>
      <c r="E63" s="21" t="str">
        <f ca="1"/>
        <v>A/C leaks</v>
      </c>
      <c r="F63" s="21" t="str">
        <f ca="1"/>
        <v>In progress</v>
      </c>
      <c r="H63" s="21" t="str">
        <f ca="1"/>
        <v>3-04-7105</v>
      </c>
      <c r="I63" s="21" t="str">
        <f ca="1"/>
        <v>Unassigned</v>
      </c>
      <c r="J63" s="21">
        <f ca="1"/>
        <v>3</v>
      </c>
      <c r="K63" s="21" t="str">
        <f ca="1"/>
        <v>Vents/ducts-other problem</v>
      </c>
      <c r="L63" s="21" t="str">
        <f ca="1"/>
        <v>In progress</v>
      </c>
      <c r="N63" s="21" t="str">
        <f ca="1"/>
        <v>8-01-4049</v>
      </c>
      <c r="O63" s="21" t="str">
        <f ca="1"/>
        <v>Unassigned</v>
      </c>
      <c r="P63" s="21">
        <f ca="1"/>
        <v>1</v>
      </c>
      <c r="Q63" s="21" t="str">
        <f ca="1"/>
        <v>SmartLock broken</v>
      </c>
      <c r="R63" s="21" t="str">
        <f ca="1"/>
        <v>In progress</v>
      </c>
      <c r="Z63" s="21" t="str">
        <f ca="1"/>
        <v>3-11-0106</v>
      </c>
      <c r="AA63" s="21" t="str">
        <f ca="1"/>
        <v>Diego Zapata</v>
      </c>
      <c r="AB63" s="21">
        <f ca="1"/>
        <v>23</v>
      </c>
      <c r="AC63" s="21" t="str">
        <f ca="1"/>
        <v>Other - Please see comments</v>
      </c>
      <c r="AD63" s="21" t="str">
        <f ca="1"/>
        <v>On hold</v>
      </c>
      <c r="AF63" s="21" t="str">
        <f ca="1"/>
        <v>4-06-5795</v>
      </c>
      <c r="AG63" s="21" t="str">
        <f ca="1"/>
        <v>Unassigned</v>
      </c>
      <c r="AH63" s="21">
        <f ca="1"/>
        <v>2</v>
      </c>
      <c r="AI63" s="21" t="str">
        <f ca="1"/>
        <v>Pest Control requested</v>
      </c>
      <c r="AJ63" s="21" t="str">
        <f ca="1"/>
        <v>In progress</v>
      </c>
    </row>
    <row r="64" spans="2:36" x14ac:dyDescent="0.2">
      <c r="B64" s="21" t="str">
        <f ca="1"/>
        <v>4-05-5789</v>
      </c>
      <c r="C64" s="21" t="str">
        <f ca="1"/>
        <v>Unassigned</v>
      </c>
      <c r="D64" s="21">
        <f ca="1"/>
        <v>25</v>
      </c>
      <c r="E64" s="21" t="str">
        <f ca="1"/>
        <v>Mw does not work/heat properly</v>
      </c>
      <c r="F64" s="21" t="str">
        <f ca="1"/>
        <v>In progress</v>
      </c>
      <c r="H64" s="21" t="str">
        <f ca="1"/>
        <v>4-12-7089</v>
      </c>
      <c r="I64" s="21" t="str">
        <f ca="1"/>
        <v>Unassigned</v>
      </c>
      <c r="J64" s="21">
        <f ca="1"/>
        <v>3</v>
      </c>
      <c r="K64" s="21" t="str">
        <f ca="1"/>
        <v>Power-other problem</v>
      </c>
      <c r="L64" s="21" t="str">
        <f ca="1"/>
        <v>In progress</v>
      </c>
      <c r="N64" s="21" t="str">
        <f ca="1"/>
        <v>8-01-1005</v>
      </c>
      <c r="O64" s="21" t="str">
        <f ca="1"/>
        <v>Unassigned</v>
      </c>
      <c r="P64" s="21">
        <f ca="1"/>
        <v>1</v>
      </c>
      <c r="Q64" s="21" t="str">
        <f ca="1"/>
        <v>Other - Please see comments</v>
      </c>
      <c r="R64" s="21" t="str">
        <f ca="1"/>
        <v>In progress</v>
      </c>
      <c r="Z64" s="21" t="str">
        <f ca="1"/>
        <v>4-21-0223</v>
      </c>
      <c r="AA64" s="21" t="str">
        <f ca="1"/>
        <v>Unassigned</v>
      </c>
      <c r="AB64" s="21">
        <f ca="1"/>
        <v>21</v>
      </c>
      <c r="AC64" s="21" t="str">
        <f ca="1"/>
        <v>Other - Please see comments</v>
      </c>
      <c r="AD64" s="21" t="str">
        <f ca="1"/>
        <v>In progress</v>
      </c>
      <c r="AF64" s="21" t="str">
        <f ca="1"/>
        <v>3-30-0121</v>
      </c>
      <c r="AG64" s="21" t="str">
        <f ca="1"/>
        <v>Unassigned</v>
      </c>
      <c r="AH64" s="21">
        <f ca="1"/>
        <v>2</v>
      </c>
      <c r="AI64" s="21" t="str">
        <f ca="1"/>
        <v>Other - Please see comments</v>
      </c>
      <c r="AJ64" s="21" t="str">
        <f ca="1"/>
        <v>In progress</v>
      </c>
    </row>
    <row r="65" spans="2:36" x14ac:dyDescent="0.2">
      <c r="B65" s="21" t="str">
        <f ca="1"/>
        <v>4-05-5789</v>
      </c>
      <c r="C65" s="21" t="str">
        <f ca="1"/>
        <v>Unassigned</v>
      </c>
      <c r="D65" s="21">
        <f ca="1"/>
        <v>25</v>
      </c>
      <c r="E65" s="21" t="str">
        <f ca="1"/>
        <v>Other - Please see comments</v>
      </c>
      <c r="F65" s="21" t="str">
        <f ca="1"/>
        <v>In progress</v>
      </c>
      <c r="H65" s="21" t="str">
        <f ca="1"/>
        <v>4c-02-S308</v>
      </c>
      <c r="I65" s="21" t="str">
        <f ca="1"/>
        <v>Unassigned</v>
      </c>
      <c r="J65" s="21">
        <f ca="1"/>
        <v>3</v>
      </c>
      <c r="K65" s="21" t="str">
        <f ca="1"/>
        <v>Other - Please see comments</v>
      </c>
      <c r="L65" s="21" t="str">
        <f ca="1"/>
        <v>In progress</v>
      </c>
      <c r="N65" s="21" t="str">
        <f ca="1"/>
        <v>5-18-0348</v>
      </c>
      <c r="O65" s="21" t="str">
        <f ca="1"/>
        <v>Roberto Palacios</v>
      </c>
      <c r="P65" s="21">
        <f ca="1"/>
        <v>1</v>
      </c>
      <c r="Q65" s="21" t="str">
        <f ca="1"/>
        <v>Other - Please see comments</v>
      </c>
      <c r="R65" s="21" t="str">
        <f ca="1"/>
        <v>In progress</v>
      </c>
      <c r="Z65" s="21" t="str">
        <f ca="1"/>
        <v>4c-01-W302</v>
      </c>
      <c r="AA65" s="21" t="str">
        <f ca="1"/>
        <v>Rafael Anez</v>
      </c>
      <c r="AB65" s="21">
        <f ca="1"/>
        <v>21</v>
      </c>
      <c r="AC65" s="21" t="str">
        <f ca="1"/>
        <v>Refrigerator-other problem</v>
      </c>
      <c r="AD65" s="21" t="str">
        <f ca="1"/>
        <v>In progress</v>
      </c>
      <c r="AF65" s="21" t="str">
        <f ca="1"/>
        <v>4-21-0205</v>
      </c>
      <c r="AG65" s="21" t="str">
        <f ca="1"/>
        <v>Unassigned</v>
      </c>
      <c r="AH65" s="21">
        <f ca="1"/>
        <v>2</v>
      </c>
      <c r="AI65" s="21" t="str">
        <f ca="1"/>
        <v>Other - Please see comments</v>
      </c>
      <c r="AJ65" s="21" t="str">
        <f ca="1"/>
        <v>In progress</v>
      </c>
    </row>
    <row r="66" spans="2:36" x14ac:dyDescent="0.2">
      <c r="B66" s="21" t="str">
        <f ca="1"/>
        <v>3-09-0106</v>
      </c>
      <c r="C66" s="21" t="str">
        <f ca="1"/>
        <v>Unassigned</v>
      </c>
      <c r="D66" s="21">
        <f ca="1"/>
        <v>25</v>
      </c>
      <c r="E66" s="21" t="str">
        <f ca="1"/>
        <v>Vinyl flooring-other problem</v>
      </c>
      <c r="F66" s="21" t="str">
        <f ca="1"/>
        <v>In progress</v>
      </c>
      <c r="H66" s="21" t="str">
        <f ca="1"/>
        <v>4c-02-S308</v>
      </c>
      <c r="I66" s="21" t="str">
        <f ca="1"/>
        <v>Unassigned</v>
      </c>
      <c r="J66" s="21">
        <f ca="1"/>
        <v>3</v>
      </c>
      <c r="K66" s="21" t="str">
        <f ca="1"/>
        <v>Mw does not work/heat properly</v>
      </c>
      <c r="L66" s="21" t="str">
        <f ca="1"/>
        <v>In progress</v>
      </c>
      <c r="N66" s="21" t="str">
        <f ca="1"/>
        <v>8-01-3076</v>
      </c>
      <c r="O66" s="21" t="str">
        <f ca="1"/>
        <v>Unassigned</v>
      </c>
      <c r="P66" s="21">
        <f ca="1"/>
        <v>1</v>
      </c>
      <c r="Q66" s="21" t="str">
        <f ca="1"/>
        <v>Other - Please see comments</v>
      </c>
      <c r="R66" s="21" t="str">
        <f ca="1"/>
        <v>In progress</v>
      </c>
      <c r="Z66" s="21" t="str">
        <f ca="1"/>
        <v>4-24-0107</v>
      </c>
      <c r="AA66" s="21" t="str">
        <f ca="1"/>
        <v>Rayniel Rincon</v>
      </c>
      <c r="AB66" s="21">
        <f ca="1"/>
        <v>20</v>
      </c>
      <c r="AC66" s="21" t="str">
        <f ca="1"/>
        <v>Scratch or surface damage</v>
      </c>
      <c r="AD66" s="21" t="str">
        <f ca="1"/>
        <v>On hold</v>
      </c>
      <c r="AF66" s="21" t="str">
        <f ca="1"/>
        <v>4-21-0205</v>
      </c>
      <c r="AG66" s="21" t="str">
        <f ca="1"/>
        <v>Unassigned</v>
      </c>
      <c r="AH66" s="21">
        <f ca="1"/>
        <v>2</v>
      </c>
      <c r="AI66" s="21" t="str">
        <f ca="1"/>
        <v>Fading or discoloration</v>
      </c>
      <c r="AJ66" s="21" t="str">
        <f ca="1"/>
        <v>In progress</v>
      </c>
    </row>
    <row r="67" spans="2:36" x14ac:dyDescent="0.2">
      <c r="B67" s="21" t="str">
        <f ca="1"/>
        <v>4-05-5789</v>
      </c>
      <c r="C67" s="21" t="str">
        <f ca="1"/>
        <v>Unassigned</v>
      </c>
      <c r="D67" s="21">
        <f ca="1"/>
        <v>25</v>
      </c>
      <c r="E67" s="21" t="str">
        <f ca="1"/>
        <v>Vents/ducts dirty/odor</v>
      </c>
      <c r="F67" s="21" t="str">
        <f ca="1"/>
        <v>In progress</v>
      </c>
      <c r="H67" s="21" t="str">
        <f ca="1"/>
        <v>4-21-0205</v>
      </c>
      <c r="I67" s="21" t="str">
        <f ca="1"/>
        <v>Unassigned</v>
      </c>
      <c r="J67" s="21">
        <f ca="1"/>
        <v>2</v>
      </c>
      <c r="K67" s="21" t="str">
        <f ca="1"/>
        <v>Other - Please see comments</v>
      </c>
      <c r="L67" s="21" t="str">
        <f ca="1"/>
        <v>In progress</v>
      </c>
      <c r="N67" s="21" t="str">
        <f ca="1"/>
        <v>5-18-0310</v>
      </c>
      <c r="O67" s="21" t="str">
        <f ca="1"/>
        <v>Unassigned</v>
      </c>
      <c r="P67" s="21">
        <f ca="1"/>
        <v>1</v>
      </c>
      <c r="Q67" s="21" t="str">
        <f ca="1"/>
        <v>Faucet-other problem</v>
      </c>
      <c r="R67" s="21" t="str">
        <f ca="1"/>
        <v>In progress</v>
      </c>
      <c r="Z67" s="21" t="str">
        <f ca="1"/>
        <v>4-21-0210</v>
      </c>
      <c r="AA67" s="21" t="str">
        <f ca="1"/>
        <v>Dennis Arevalo</v>
      </c>
      <c r="AB67" s="21">
        <f ca="1"/>
        <v>20</v>
      </c>
      <c r="AC67" s="21" t="str">
        <f ca="1"/>
        <v>Other - Please see comments</v>
      </c>
      <c r="AD67" s="21" t="str">
        <f ca="1"/>
        <v>On hold</v>
      </c>
      <c r="AF67" s="21" t="str">
        <f ca="1"/>
        <v>3-32-0308</v>
      </c>
      <c r="AG67" s="21" t="str">
        <f ca="1"/>
        <v>Unassigned</v>
      </c>
      <c r="AH67" s="21">
        <f ca="1"/>
        <v>2</v>
      </c>
      <c r="AI67" s="21" t="str">
        <f ca="1"/>
        <v>DW door does not work/lock</v>
      </c>
      <c r="AJ67" s="21" t="str">
        <f ca="1"/>
        <v>In progress</v>
      </c>
    </row>
    <row r="68" spans="2:36" x14ac:dyDescent="0.2">
      <c r="B68" s="21" t="str">
        <f ca="1"/>
        <v>4-05-5789</v>
      </c>
      <c r="C68" s="21" t="str">
        <f ca="1"/>
        <v>Unassigned</v>
      </c>
      <c r="D68" s="21">
        <f ca="1"/>
        <v>25</v>
      </c>
      <c r="E68" s="21" t="str">
        <f ca="1"/>
        <v>Cracked or separated pieces</v>
      </c>
      <c r="F68" s="21" t="str">
        <f ca="1"/>
        <v>In progress</v>
      </c>
      <c r="H68" s="21" t="str">
        <f ca="1"/>
        <v>7-02-0204</v>
      </c>
      <c r="I68" s="21" t="str">
        <f ca="1"/>
        <v>Unassigned</v>
      </c>
      <c r="J68" s="21">
        <f ca="1"/>
        <v>2</v>
      </c>
      <c r="K68" s="21" t="str">
        <f ca="1"/>
        <v>DW does not work</v>
      </c>
      <c r="L68" s="21" t="str">
        <f ca="1"/>
        <v>In progress</v>
      </c>
      <c r="Z68" s="21" t="str">
        <f ca="1"/>
        <v>3-08-0109</v>
      </c>
      <c r="AA68" s="21" t="str">
        <f ca="1"/>
        <v>Alexander Gonzalez</v>
      </c>
      <c r="AB68" s="21">
        <f ca="1"/>
        <v>20</v>
      </c>
      <c r="AC68" s="21" t="str">
        <f ca="1"/>
        <v>Tub-other problem</v>
      </c>
      <c r="AD68" s="21" t="str">
        <f ca="1"/>
        <v>In progress</v>
      </c>
      <c r="AF68" s="21" t="str">
        <f ca="1"/>
        <v>4c-01-W309</v>
      </c>
      <c r="AG68" s="21" t="str">
        <f ca="1"/>
        <v>Unassigned</v>
      </c>
      <c r="AH68" s="21">
        <f ca="1"/>
        <v>2</v>
      </c>
      <c r="AI68" s="21" t="str">
        <f ca="1"/>
        <v>Other - Please see comments</v>
      </c>
      <c r="AJ68" s="21" t="str">
        <f ca="1"/>
        <v>In progress</v>
      </c>
    </row>
    <row r="69" spans="2:36" x14ac:dyDescent="0.2">
      <c r="B69" s="21" t="str">
        <f ca="1"/>
        <v>7-03-0217</v>
      </c>
      <c r="C69" s="21" t="str">
        <f ca="1"/>
        <v>Barron Russell</v>
      </c>
      <c r="D69" s="21">
        <f ca="1"/>
        <v>24</v>
      </c>
      <c r="E69" s="21" t="str">
        <f ca="1"/>
        <v>Other - Please see comments</v>
      </c>
      <c r="F69" s="21" t="str">
        <f ca="1"/>
        <v>In progress</v>
      </c>
      <c r="H69" s="21" t="str">
        <f ca="1"/>
        <v>7-02-0204</v>
      </c>
      <c r="I69" s="21" t="str">
        <f ca="1"/>
        <v>Unassigned</v>
      </c>
      <c r="J69" s="21">
        <f ca="1"/>
        <v>2</v>
      </c>
      <c r="K69" s="21" t="str">
        <f ca="1"/>
        <v>Other mail issue</v>
      </c>
      <c r="L69" s="21" t="str">
        <f ca="1"/>
        <v>In progress</v>
      </c>
      <c r="Z69" s="21" t="str">
        <f ca="1"/>
        <v>4-21-0210</v>
      </c>
      <c r="AA69" s="21" t="str">
        <f ca="1"/>
        <v>Rayniel Rincon</v>
      </c>
      <c r="AB69" s="21">
        <f ca="1"/>
        <v>20</v>
      </c>
      <c r="AC69" s="21" t="str">
        <f ca="1"/>
        <v>Dryer does not work properly</v>
      </c>
      <c r="AD69" s="21" t="str">
        <f ca="1"/>
        <v>On hold</v>
      </c>
      <c r="AF69" s="21" t="str">
        <f ca="1"/>
        <v>3-09-0301</v>
      </c>
      <c r="AG69" s="21" t="str">
        <f ca="1"/>
        <v>Unassigned</v>
      </c>
      <c r="AH69" s="21">
        <f ca="1"/>
        <v>2</v>
      </c>
      <c r="AI69" s="21" t="str">
        <f ca="1"/>
        <v>Dryer takes too long to dry</v>
      </c>
      <c r="AJ69" s="21" t="str">
        <f ca="1"/>
        <v>In progress</v>
      </c>
    </row>
    <row r="70" spans="2:36" x14ac:dyDescent="0.2">
      <c r="B70" s="21" t="str">
        <f ca="1"/>
        <v>3-01-0205</v>
      </c>
      <c r="C70" s="21" t="str">
        <f ca="1"/>
        <v>Maint supervisor</v>
      </c>
      <c r="D70" s="21">
        <f ca="1"/>
        <v>24</v>
      </c>
      <c r="E70" s="21" t="str">
        <f ca="1"/>
        <v>Tile-other problem</v>
      </c>
      <c r="F70" s="21" t="str">
        <f ca="1"/>
        <v>On hold</v>
      </c>
      <c r="H70" s="21" t="str">
        <f ca="1"/>
        <v>4c-01-W309</v>
      </c>
      <c r="I70" s="21" t="str">
        <f ca="1"/>
        <v>Unassigned</v>
      </c>
      <c r="J70" s="21">
        <f ca="1"/>
        <v>2</v>
      </c>
      <c r="K70" s="21" t="str">
        <f ca="1"/>
        <v>Other - Please see comments</v>
      </c>
      <c r="L70" s="21" t="str">
        <f ca="1"/>
        <v>In progress</v>
      </c>
      <c r="Z70" s="21" t="str">
        <f ca="1"/>
        <v>4-24-0107</v>
      </c>
      <c r="AA70" s="21" t="str">
        <f ca="1"/>
        <v>Rayniel Rincon</v>
      </c>
      <c r="AB70" s="21">
        <f ca="1"/>
        <v>20</v>
      </c>
      <c r="AC70" s="21" t="str">
        <f ca="1"/>
        <v>Vinyl flooring needs repair</v>
      </c>
      <c r="AD70" s="21" t="str">
        <f ca="1"/>
        <v>In progress</v>
      </c>
      <c r="AF70" s="21" t="str">
        <f ca="1"/>
        <v>3-31-0205</v>
      </c>
      <c r="AG70" s="21" t="str">
        <f ca="1"/>
        <v>Unassigned</v>
      </c>
      <c r="AH70" s="21">
        <f ca="1"/>
        <v>1</v>
      </c>
      <c r="AI70" s="21" t="str">
        <f ca="1"/>
        <v>Patio door gaps or is drafty</v>
      </c>
      <c r="AJ70" s="21" t="str">
        <f ca="1"/>
        <v>In progress</v>
      </c>
    </row>
    <row r="71" spans="2:36" x14ac:dyDescent="0.2">
      <c r="B71" s="21" t="str">
        <f ca="1"/>
        <v>4c-02-S301</v>
      </c>
      <c r="C71" s="21" t="str">
        <f ca="1"/>
        <v>Unassigned</v>
      </c>
      <c r="D71" s="21">
        <f ca="1"/>
        <v>24</v>
      </c>
      <c r="E71" s="21" t="str">
        <f ca="1"/>
        <v>Frig light does not work</v>
      </c>
      <c r="F71" s="21" t="str">
        <f ca="1"/>
        <v>In progress</v>
      </c>
      <c r="H71" s="21" t="str">
        <f ca="1"/>
        <v>3-09-0301</v>
      </c>
      <c r="I71" s="21" t="str">
        <f ca="1"/>
        <v>Unassigned</v>
      </c>
      <c r="J71" s="21">
        <f ca="1"/>
        <v>2</v>
      </c>
      <c r="K71" s="21" t="str">
        <f ca="1"/>
        <v>Dryer takes too long to dry</v>
      </c>
      <c r="L71" s="21" t="str">
        <f ca="1"/>
        <v>In progress</v>
      </c>
      <c r="Z71" s="21" t="str">
        <f ca="1"/>
        <v>3-13-0005</v>
      </c>
      <c r="AA71" s="21" t="str">
        <f ca="1"/>
        <v>Unassigned</v>
      </c>
      <c r="AB71" s="21">
        <f ca="1"/>
        <v>19</v>
      </c>
      <c r="AC71" s="21" t="str">
        <f ca="1"/>
        <v>Mw light does not work</v>
      </c>
      <c r="AD71" s="21" t="str">
        <f ca="1"/>
        <v>In progress</v>
      </c>
      <c r="AF71" s="21" t="str">
        <f ca="1"/>
        <v>3-27-0301</v>
      </c>
      <c r="AG71" s="21" t="str">
        <f ca="1"/>
        <v>Unassigned</v>
      </c>
      <c r="AH71" s="21">
        <f ca="1"/>
        <v>1</v>
      </c>
      <c r="AI71" s="21" t="str">
        <f ca="1"/>
        <v>Other - Please see comments</v>
      </c>
      <c r="AJ71" s="21" t="str">
        <f ca="1"/>
        <v>In progress</v>
      </c>
    </row>
    <row r="72" spans="2:36" x14ac:dyDescent="0.2">
      <c r="B72" s="21" t="str">
        <f ca="1"/>
        <v>3-33-0211</v>
      </c>
      <c r="C72" s="21" t="str">
        <f ca="1"/>
        <v>Victor Castaneda</v>
      </c>
      <c r="D72" s="21">
        <f ca="1"/>
        <v>23</v>
      </c>
      <c r="E72" s="21" t="str">
        <f ca="1"/>
        <v>Water on floor</v>
      </c>
      <c r="F72" s="21" t="str">
        <f ca="1"/>
        <v>In progress</v>
      </c>
      <c r="H72" s="21" t="str">
        <f ca="1"/>
        <v>3-26-0202</v>
      </c>
      <c r="I72" s="21" t="str">
        <f ca="1"/>
        <v>Unassigned</v>
      </c>
      <c r="J72" s="21">
        <f ca="1"/>
        <v>2</v>
      </c>
      <c r="K72" s="21" t="str">
        <f ca="1"/>
        <v>Mw shorts/smokes/sparks</v>
      </c>
      <c r="L72" s="21" t="str">
        <f ca="1"/>
        <v>In progress</v>
      </c>
      <c r="Z72" s="21" t="str">
        <f ca="1"/>
        <v>3-13-0005</v>
      </c>
      <c r="AA72" s="21" t="str">
        <f ca="1"/>
        <v>Unassigned</v>
      </c>
      <c r="AB72" s="21">
        <f ca="1"/>
        <v>19</v>
      </c>
      <c r="AC72" s="21" t="str">
        <f ca="1"/>
        <v>Other - Please see comments</v>
      </c>
      <c r="AD72" s="21" t="str">
        <f ca="1"/>
        <v>In progress</v>
      </c>
      <c r="AF72" s="21" t="str">
        <f ca="1"/>
        <v>3-18-0104</v>
      </c>
      <c r="AG72" s="21" t="str">
        <f ca="1"/>
        <v>Unassigned</v>
      </c>
      <c r="AH72" s="21">
        <f ca="1"/>
        <v>1</v>
      </c>
      <c r="AI72" s="21" t="str">
        <f ca="1"/>
        <v>Other - Please see comments</v>
      </c>
      <c r="AJ72" s="21" t="str">
        <f ca="1"/>
        <v>In progress</v>
      </c>
    </row>
    <row r="73" spans="2:36" x14ac:dyDescent="0.2">
      <c r="B73" s="21" t="str">
        <f ca="1"/>
        <v>3-11-0106</v>
      </c>
      <c r="C73" s="21" t="str">
        <f ca="1"/>
        <v>Diego Zapata</v>
      </c>
      <c r="D73" s="21">
        <f ca="1"/>
        <v>23</v>
      </c>
      <c r="E73" s="21" t="str">
        <f ca="1"/>
        <v>Other - Please see comments</v>
      </c>
      <c r="F73" s="21" t="str">
        <f ca="1"/>
        <v>On hold</v>
      </c>
      <c r="H73" s="21" t="str">
        <f ca="1"/>
        <v>4-21-0205</v>
      </c>
      <c r="I73" s="21" t="str">
        <f ca="1"/>
        <v>Unassigned</v>
      </c>
      <c r="J73" s="21">
        <f ca="1"/>
        <v>2</v>
      </c>
      <c r="K73" s="21" t="str">
        <f ca="1"/>
        <v>Fading or discoloration</v>
      </c>
      <c r="L73" s="21" t="str">
        <f ca="1"/>
        <v>In progress</v>
      </c>
      <c r="Z73" s="21" t="str">
        <f ca="1"/>
        <v>3-13-0005</v>
      </c>
      <c r="AA73" s="21" t="str">
        <f ca="1"/>
        <v>Unassigned</v>
      </c>
      <c r="AB73" s="21">
        <f ca="1"/>
        <v>19</v>
      </c>
      <c r="AC73" s="21" t="str">
        <f ca="1"/>
        <v>Other - Please see comments</v>
      </c>
      <c r="AD73" s="21" t="str">
        <f ca="1"/>
        <v>In progress</v>
      </c>
      <c r="AF73" s="21" t="str">
        <f ca="1"/>
        <v>4-25-0315</v>
      </c>
      <c r="AG73" s="21" t="str">
        <f ca="1"/>
        <v>Unassigned</v>
      </c>
      <c r="AH73" s="21">
        <f ca="1"/>
        <v>1</v>
      </c>
      <c r="AI73" s="21" t="str">
        <f ca="1"/>
        <v>Other Issue</v>
      </c>
      <c r="AJ73" s="21" t="str">
        <f ca="1"/>
        <v>In progress</v>
      </c>
    </row>
    <row r="74" spans="2:36" x14ac:dyDescent="0.2">
      <c r="B74" s="21" t="str">
        <f ca="1"/>
        <v>4-21-0223</v>
      </c>
      <c r="C74" s="21" t="str">
        <f ca="1"/>
        <v>Unassigned</v>
      </c>
      <c r="D74" s="21">
        <f ca="1"/>
        <v>21</v>
      </c>
      <c r="E74" s="21" t="str">
        <f ca="1"/>
        <v>Other - Please see comments</v>
      </c>
      <c r="F74" s="21" t="str">
        <f ca="1"/>
        <v>In progress</v>
      </c>
      <c r="H74" s="21" t="str">
        <f ca="1"/>
        <v>3-32-0308</v>
      </c>
      <c r="I74" s="21" t="str">
        <f ca="1"/>
        <v>Unassigned</v>
      </c>
      <c r="J74" s="21">
        <f ca="1"/>
        <v>2</v>
      </c>
      <c r="K74" s="21" t="str">
        <f ca="1"/>
        <v>DW door does not work/lock</v>
      </c>
      <c r="L74" s="21" t="str">
        <f ca="1"/>
        <v>In progress</v>
      </c>
      <c r="Z74" s="21" t="str">
        <f ca="1"/>
        <v>4-26-0116</v>
      </c>
      <c r="AA74" s="21" t="str">
        <f ca="1"/>
        <v>Rayniel Rincon</v>
      </c>
      <c r="AB74" s="21">
        <f ca="1"/>
        <v>19</v>
      </c>
      <c r="AC74" s="21" t="str">
        <f ca="1"/>
        <v>Tub-other problem</v>
      </c>
      <c r="AD74" s="21" t="str">
        <f ca="1"/>
        <v>In progress</v>
      </c>
      <c r="AF74" s="21" t="str">
        <f ca="1"/>
        <v>3-09-0205</v>
      </c>
      <c r="AG74" s="21" t="str">
        <f ca="1"/>
        <v>Unassigned</v>
      </c>
      <c r="AH74" s="21">
        <f ca="1"/>
        <v>1</v>
      </c>
      <c r="AI74" s="21" t="str">
        <f ca="1"/>
        <v>Thermostat-other problem</v>
      </c>
      <c r="AJ74" s="21" t="str">
        <f ca="1"/>
        <v>In progress</v>
      </c>
    </row>
    <row r="75" spans="2:36" x14ac:dyDescent="0.2">
      <c r="B75" s="21" t="str">
        <f ca="1"/>
        <v>5-01-0217</v>
      </c>
      <c r="C75" s="21" t="str">
        <f ca="1"/>
        <v>Miguel Gonzalez</v>
      </c>
      <c r="D75" s="21">
        <f ca="1"/>
        <v>21</v>
      </c>
      <c r="E75" s="21" t="str">
        <f ca="1"/>
        <v>Carpet is old/outdated</v>
      </c>
      <c r="F75" s="21" t="str">
        <f ca="1"/>
        <v>On hold</v>
      </c>
      <c r="H75" s="21" t="str">
        <f ca="1"/>
        <v>5-18-0128</v>
      </c>
      <c r="I75" s="21" t="str">
        <f ca="1"/>
        <v>Unassigned</v>
      </c>
      <c r="J75" s="21">
        <f ca="1"/>
        <v>2</v>
      </c>
      <c r="K75" s="21" t="str">
        <f ca="1"/>
        <v>Pest Control requested</v>
      </c>
      <c r="L75" s="21" t="str">
        <f ca="1"/>
        <v>In progress</v>
      </c>
      <c r="Z75" s="21" t="str">
        <f ca="1"/>
        <v>4-04-7105</v>
      </c>
      <c r="AA75" s="21" t="str">
        <f ca="1"/>
        <v>Unassigned</v>
      </c>
      <c r="AB75" s="21">
        <f ca="1"/>
        <v>18</v>
      </c>
      <c r="AC75" s="21" t="str">
        <f ca="1"/>
        <v>Other - Please see comments</v>
      </c>
      <c r="AD75" s="21" t="str">
        <f ca="1"/>
        <v>In progress</v>
      </c>
      <c r="AF75" s="21" t="str">
        <f ca="1"/>
        <v>4-21-0205</v>
      </c>
      <c r="AG75" s="21" t="str">
        <f ca="1"/>
        <v>Unassigned</v>
      </c>
      <c r="AH75" s="21">
        <f ca="1"/>
        <v>1</v>
      </c>
      <c r="AI75" s="21" t="str">
        <f ca="1"/>
        <v>Tub-other problem</v>
      </c>
      <c r="AJ75" s="21" t="str">
        <f ca="1"/>
        <v>In progress</v>
      </c>
    </row>
    <row r="76" spans="2:36" x14ac:dyDescent="0.2">
      <c r="B76" s="21" t="str">
        <f ca="1"/>
        <v>4c-01-W302</v>
      </c>
      <c r="C76" s="21" t="str">
        <f ca="1"/>
        <v>Rafael Anez</v>
      </c>
      <c r="D76" s="21">
        <f ca="1"/>
        <v>21</v>
      </c>
      <c r="E76" s="21" t="str">
        <f ca="1"/>
        <v>Refrigerator-other problem</v>
      </c>
      <c r="F76" s="21" t="str">
        <f ca="1"/>
        <v>In progress</v>
      </c>
      <c r="H76" s="21" t="str">
        <f ca="1"/>
        <v>4-06-5795</v>
      </c>
      <c r="I76" s="21" t="str">
        <f ca="1"/>
        <v>Unassigned</v>
      </c>
      <c r="J76" s="21">
        <f ca="1"/>
        <v>2</v>
      </c>
      <c r="K76" s="21" t="str">
        <f ca="1"/>
        <v>Pest Control requested</v>
      </c>
      <c r="L76" s="21" t="str">
        <f ca="1"/>
        <v>In progress</v>
      </c>
      <c r="Z76" s="21" t="str">
        <f ca="1"/>
        <v>4-07-5764</v>
      </c>
      <c r="AA76" s="21" t="str">
        <f ca="1"/>
        <v>Unassigned</v>
      </c>
      <c r="AB76" s="21">
        <f ca="1"/>
        <v>18</v>
      </c>
      <c r="AC76" s="21" t="str">
        <f ca="1"/>
        <v>Other - Please see comments</v>
      </c>
      <c r="AD76" s="21" t="str">
        <f ca="1"/>
        <v>In progress</v>
      </c>
      <c r="AF76" s="21" t="str">
        <f ca="1"/>
        <v>4-27-0305</v>
      </c>
      <c r="AG76" s="21" t="str">
        <f ca="1"/>
        <v>Unassigned</v>
      </c>
      <c r="AH76" s="21">
        <f ca="1"/>
        <v>1</v>
      </c>
      <c r="AI76" s="21" t="str">
        <f ca="1"/>
        <v>Mw door/handle broken/damaged</v>
      </c>
      <c r="AJ76" s="21" t="str">
        <f ca="1"/>
        <v>In progress</v>
      </c>
    </row>
    <row r="77" spans="2:36" x14ac:dyDescent="0.2">
      <c r="B77" s="21" t="str">
        <f ca="1"/>
        <v>5-18-0216</v>
      </c>
      <c r="C77" s="21" t="str">
        <f ca="1"/>
        <v>Latrell Dawson</v>
      </c>
      <c r="D77" s="21">
        <f ca="1"/>
        <v>21</v>
      </c>
      <c r="E77" s="21" t="str">
        <f ca="1"/>
        <v>Other - Please see comments</v>
      </c>
      <c r="F77" s="21" t="str">
        <f ca="1"/>
        <v>In progress</v>
      </c>
      <c r="H77" s="21" t="str">
        <f ca="1"/>
        <v>3-30-0121</v>
      </c>
      <c r="I77" s="21" t="str">
        <f ca="1"/>
        <v>Unassigned</v>
      </c>
      <c r="J77" s="21">
        <f ca="1"/>
        <v>2</v>
      </c>
      <c r="K77" s="21" t="str">
        <f ca="1"/>
        <v>Other - Please see comments</v>
      </c>
      <c r="L77" s="21" t="str">
        <f ca="1"/>
        <v>In progress</v>
      </c>
      <c r="Z77" s="21" t="str">
        <f ca="1"/>
        <v>4-07-5764</v>
      </c>
      <c r="AA77" s="21" t="str">
        <f ca="1"/>
        <v>Unassigned</v>
      </c>
      <c r="AB77" s="21">
        <f ca="1"/>
        <v>18</v>
      </c>
      <c r="AC77" s="21" t="str">
        <f ca="1"/>
        <v>Ext door-other problem</v>
      </c>
      <c r="AD77" s="21" t="str">
        <f ca="1"/>
        <v>In progress</v>
      </c>
      <c r="AF77" s="21" t="str">
        <f ca="1"/>
        <v>4-22-0224</v>
      </c>
      <c r="AG77" s="21" t="str">
        <f ca="1"/>
        <v>Unassigned</v>
      </c>
      <c r="AH77" s="21">
        <f ca="1"/>
        <v>1</v>
      </c>
      <c r="AI77" s="21" t="str">
        <f ca="1"/>
        <v>Other - Please see comments</v>
      </c>
      <c r="AJ77" s="21" t="str">
        <f ca="1"/>
        <v>In progress</v>
      </c>
    </row>
    <row r="78" spans="2:36" x14ac:dyDescent="0.2">
      <c r="B78" s="21" t="str">
        <f ca="1"/>
        <v>7-TH4-0106</v>
      </c>
      <c r="C78" s="21" t="str">
        <f ca="1"/>
        <v>Miguel Gil</v>
      </c>
      <c r="D78" s="21">
        <f ca="1"/>
        <v>20</v>
      </c>
      <c r="E78" s="21" t="str">
        <f ca="1"/>
        <v>Other - Please see comments</v>
      </c>
      <c r="F78" s="21" t="str">
        <f ca="1"/>
        <v>In progress</v>
      </c>
      <c r="H78" s="21" t="str">
        <f ca="1"/>
        <v>5-04-5740</v>
      </c>
      <c r="I78" s="21" t="str">
        <f ca="1"/>
        <v>Unassigned</v>
      </c>
      <c r="J78" s="21">
        <f ca="1"/>
        <v>2</v>
      </c>
      <c r="K78" s="21" t="str">
        <f ca="1"/>
        <v>Pest Control requested</v>
      </c>
      <c r="L78" s="21" t="str">
        <f ca="1"/>
        <v>In progress</v>
      </c>
      <c r="Z78" s="21" t="str">
        <f ca="1"/>
        <v>3-28-0224</v>
      </c>
      <c r="AA78" s="21" t="str">
        <f ca="1"/>
        <v>Victor Castaneda</v>
      </c>
      <c r="AB78" s="21">
        <f ca="1"/>
        <v>18</v>
      </c>
      <c r="AC78" s="21" t="str">
        <f ca="1"/>
        <v>Light bulb is out</v>
      </c>
      <c r="AD78" s="21" t="str">
        <f ca="1"/>
        <v>In progress</v>
      </c>
      <c r="AF78" s="21" t="str">
        <f ca="1"/>
        <v>4-01-5790</v>
      </c>
      <c r="AG78" s="21" t="str">
        <f ca="1"/>
        <v>Unassigned</v>
      </c>
      <c r="AH78" s="21">
        <f ca="1"/>
        <v>1</v>
      </c>
      <c r="AI78" s="21" t="str">
        <f ca="1"/>
        <v>Shower clogged</v>
      </c>
      <c r="AJ78" s="21" t="str">
        <f ca="1"/>
        <v>In progress</v>
      </c>
    </row>
    <row r="79" spans="2:36" x14ac:dyDescent="0.2">
      <c r="B79" s="21" t="str">
        <f ca="1"/>
        <v>4-24-0107</v>
      </c>
      <c r="C79" s="21" t="str">
        <f ca="1"/>
        <v>Rayniel Rincon</v>
      </c>
      <c r="D79" s="21">
        <f ca="1"/>
        <v>20</v>
      </c>
      <c r="E79" s="21" t="str">
        <f ca="1"/>
        <v>Scratch or surface damage</v>
      </c>
      <c r="F79" s="21" t="str">
        <f ca="1"/>
        <v>On hold</v>
      </c>
      <c r="H79" s="21" t="str">
        <f ca="1"/>
        <v>7-04-0212</v>
      </c>
      <c r="I79" s="21" t="str">
        <f ca="1"/>
        <v>Unassigned</v>
      </c>
      <c r="J79" s="21">
        <f ca="1"/>
        <v>2</v>
      </c>
      <c r="K79" s="21" t="str">
        <f ca="1"/>
        <v>Sink-other problem</v>
      </c>
      <c r="L79" s="21" t="str">
        <f ca="1"/>
        <v>In progress</v>
      </c>
      <c r="Z79" s="21" t="str">
        <f ca="1"/>
        <v>3-02-0202</v>
      </c>
      <c r="AA79" s="21" t="str">
        <f ca="1"/>
        <v>Unassigned</v>
      </c>
      <c r="AB79" s="21">
        <f ca="1"/>
        <v>18</v>
      </c>
      <c r="AC79" s="21" t="str">
        <f ca="1"/>
        <v>Paint faded/chipped</v>
      </c>
      <c r="AD79" s="21" t="str">
        <f ca="1"/>
        <v>In progress</v>
      </c>
      <c r="AF79" s="21" t="str">
        <f ca="1"/>
        <v>4-23-0104</v>
      </c>
      <c r="AG79" s="21" t="str">
        <f ca="1"/>
        <v>Unassigned</v>
      </c>
      <c r="AH79" s="21">
        <f ca="1"/>
        <v>1</v>
      </c>
      <c r="AI79" s="21" t="str">
        <f ca="1"/>
        <v>Pest Control requested</v>
      </c>
      <c r="AJ79" s="21" t="str">
        <f ca="1"/>
        <v>In progress</v>
      </c>
    </row>
    <row r="80" spans="2:36" x14ac:dyDescent="0.2">
      <c r="B80" s="21" t="str">
        <f ca="1"/>
        <v>3-08-0109</v>
      </c>
      <c r="C80" s="21" t="str">
        <f ca="1"/>
        <v>Alexander Gonzalez</v>
      </c>
      <c r="D80" s="21">
        <f ca="1"/>
        <v>20</v>
      </c>
      <c r="E80" s="21" t="str">
        <f ca="1"/>
        <v>Tub-other problem</v>
      </c>
      <c r="F80" s="21" t="str">
        <f ca="1"/>
        <v>In progress</v>
      </c>
      <c r="H80" s="21" t="str">
        <f ca="1"/>
        <v>5-18-0111</v>
      </c>
      <c r="I80" s="21" t="str">
        <f ca="1"/>
        <v>Unassigned</v>
      </c>
      <c r="J80" s="21">
        <f ca="1"/>
        <v>1</v>
      </c>
      <c r="K80" s="21" t="str">
        <f ca="1"/>
        <v>Shower-other problem</v>
      </c>
      <c r="L80" s="21" t="str">
        <f ca="1"/>
        <v>In progress</v>
      </c>
      <c r="Z80" s="21" t="str">
        <f ca="1"/>
        <v>3-01-0310</v>
      </c>
      <c r="AA80" s="21" t="str">
        <f ca="1"/>
        <v>Rafael Anez</v>
      </c>
      <c r="AB80" s="21">
        <f ca="1"/>
        <v>18</v>
      </c>
      <c r="AC80" s="21" t="str">
        <f ca="1"/>
        <v>Ceramic floor tile need repair</v>
      </c>
      <c r="AD80" s="21" t="str">
        <f ca="1"/>
        <v>On hold</v>
      </c>
    </row>
    <row r="81" spans="2:30" x14ac:dyDescent="0.2">
      <c r="B81" s="21" t="str">
        <f ca="1"/>
        <v>4-21-0210</v>
      </c>
      <c r="C81" s="21" t="str">
        <f ca="1"/>
        <v>Rayniel Rincon</v>
      </c>
      <c r="D81" s="21">
        <f ca="1"/>
        <v>20</v>
      </c>
      <c r="E81" s="21" t="str">
        <f ca="1"/>
        <v>Dryer does not work properly</v>
      </c>
      <c r="F81" s="21" t="str">
        <f ca="1"/>
        <v>On hold</v>
      </c>
      <c r="H81" s="21" t="str">
        <f ca="1"/>
        <v>3-09-0205</v>
      </c>
      <c r="I81" s="21" t="str">
        <f ca="1"/>
        <v>Unassigned</v>
      </c>
      <c r="J81" s="21">
        <f ca="1"/>
        <v>1</v>
      </c>
      <c r="K81" s="21" t="str">
        <f ca="1"/>
        <v>Thermostat-other problem</v>
      </c>
      <c r="L81" s="21" t="str">
        <f ca="1"/>
        <v>In progress</v>
      </c>
      <c r="Z81" s="21" t="str">
        <f ca="1"/>
        <v>3-08-0109</v>
      </c>
      <c r="AA81" s="21" t="str">
        <f ca="1"/>
        <v>Alexander Gonzalez</v>
      </c>
      <c r="AB81" s="21">
        <f ca="1"/>
        <v>16</v>
      </c>
      <c r="AC81" s="21" t="str">
        <f ca="1"/>
        <v>Vents/ducts dirty/odor</v>
      </c>
      <c r="AD81" s="21" t="str">
        <f ca="1"/>
        <v>In progress</v>
      </c>
    </row>
    <row r="82" spans="2:30" x14ac:dyDescent="0.2">
      <c r="B82" s="21" t="str">
        <f ca="1"/>
        <v>4-21-0210</v>
      </c>
      <c r="C82" s="21" t="str">
        <f ca="1"/>
        <v>Dennis Arevalo</v>
      </c>
      <c r="D82" s="21">
        <f ca="1"/>
        <v>20</v>
      </c>
      <c r="E82" s="21" t="str">
        <f ca="1"/>
        <v>Other - Please see comments</v>
      </c>
      <c r="F82" s="21" t="str">
        <f ca="1"/>
        <v>On hold</v>
      </c>
      <c r="H82" s="21" t="str">
        <f ca="1"/>
        <v>5-18-0310</v>
      </c>
      <c r="I82" s="21" t="str">
        <f ca="1"/>
        <v>Unassigned</v>
      </c>
      <c r="J82" s="21">
        <f ca="1"/>
        <v>1</v>
      </c>
      <c r="K82" s="21" t="str">
        <f ca="1"/>
        <v>Faucet-other problem</v>
      </c>
      <c r="L82" s="21" t="str">
        <f ca="1"/>
        <v>In progress</v>
      </c>
      <c r="Z82" s="21" t="str">
        <f ca="1"/>
        <v>3-01-0201</v>
      </c>
      <c r="AA82" s="21" t="str">
        <f ca="1"/>
        <v>Unassigned</v>
      </c>
      <c r="AB82" s="21">
        <f ca="1"/>
        <v>15</v>
      </c>
      <c r="AC82" s="21" t="str">
        <f ca="1"/>
        <v>Dryer-other problem</v>
      </c>
      <c r="AD82" s="21" t="str">
        <f ca="1"/>
        <v>In progress</v>
      </c>
    </row>
    <row r="83" spans="2:30" x14ac:dyDescent="0.2">
      <c r="B83" s="21" t="str">
        <f ca="1"/>
        <v>4-24-0107</v>
      </c>
      <c r="C83" s="21" t="str">
        <f ca="1"/>
        <v>Rayniel Rincon</v>
      </c>
      <c r="D83" s="21">
        <f ca="1"/>
        <v>20</v>
      </c>
      <c r="E83" s="21" t="str">
        <f ca="1"/>
        <v>Vinyl flooring needs repair</v>
      </c>
      <c r="F83" s="21" t="str">
        <f ca="1"/>
        <v>In progress</v>
      </c>
      <c r="H83" s="21" t="str">
        <f ca="1"/>
        <v>8-01-2039</v>
      </c>
      <c r="I83" s="21" t="str">
        <f ca="1"/>
        <v>Unassigned</v>
      </c>
      <c r="J83" s="21">
        <f ca="1"/>
        <v>1</v>
      </c>
      <c r="K83" s="21" t="str">
        <f ca="1"/>
        <v>Shower clogged</v>
      </c>
      <c r="L83" s="21" t="str">
        <f ca="1"/>
        <v>In progress</v>
      </c>
      <c r="Z83" s="21" t="str">
        <f ca="1"/>
        <v>3-09-0105</v>
      </c>
      <c r="AA83" s="21" t="str">
        <f ca="1"/>
        <v>Unassigned</v>
      </c>
      <c r="AB83" s="21">
        <f ca="1"/>
        <v>15</v>
      </c>
      <c r="AC83" s="21" t="str">
        <f ca="1"/>
        <v>Other - Please see comments</v>
      </c>
      <c r="AD83" s="21" t="str">
        <f ca="1"/>
        <v>In progress</v>
      </c>
    </row>
    <row r="84" spans="2:30" x14ac:dyDescent="0.2">
      <c r="B84" s="21" t="str">
        <f ca="1"/>
        <v>4-26-0116</v>
      </c>
      <c r="C84" s="21" t="str">
        <f ca="1"/>
        <v>Rayniel Rincon</v>
      </c>
      <c r="D84" s="21">
        <f ca="1"/>
        <v>19</v>
      </c>
      <c r="E84" s="21" t="str">
        <f ca="1"/>
        <v>Tub-other problem</v>
      </c>
      <c r="F84" s="21" t="str">
        <f ca="1"/>
        <v>In progress</v>
      </c>
      <c r="H84" s="21" t="str">
        <f ca="1"/>
        <v>3-31-0205</v>
      </c>
      <c r="I84" s="21" t="str">
        <f ca="1"/>
        <v>Unassigned</v>
      </c>
      <c r="J84" s="21">
        <f ca="1"/>
        <v>1</v>
      </c>
      <c r="K84" s="21" t="str">
        <f ca="1"/>
        <v>Patio door gaps or is drafty</v>
      </c>
      <c r="L84" s="21" t="str">
        <f ca="1"/>
        <v>In progress</v>
      </c>
      <c r="Z84" s="21" t="str">
        <f ca="1"/>
        <v>4c-02-S202</v>
      </c>
      <c r="AA84" s="21" t="str">
        <f ca="1"/>
        <v>Unassigned</v>
      </c>
      <c r="AB84" s="21">
        <f ca="1"/>
        <v>15</v>
      </c>
      <c r="AC84" s="21" t="str">
        <f ca="1"/>
        <v>Other mail issue</v>
      </c>
      <c r="AD84" s="21" t="str">
        <f ca="1"/>
        <v>In progress</v>
      </c>
    </row>
    <row r="85" spans="2:30" x14ac:dyDescent="0.2">
      <c r="B85" s="21" t="str">
        <f ca="1"/>
        <v>3-13-0005</v>
      </c>
      <c r="C85" s="21" t="str">
        <f ca="1"/>
        <v>Unassigned</v>
      </c>
      <c r="D85" s="21">
        <f ca="1"/>
        <v>19</v>
      </c>
      <c r="E85" s="21" t="str">
        <f ca="1"/>
        <v>Other - Please see comments</v>
      </c>
      <c r="F85" s="21" t="str">
        <f ca="1"/>
        <v>In progress</v>
      </c>
      <c r="H85" s="21" t="str">
        <f ca="1"/>
        <v>3-27-0301</v>
      </c>
      <c r="I85" s="21" t="str">
        <f ca="1"/>
        <v>Unassigned</v>
      </c>
      <c r="J85" s="21">
        <f ca="1"/>
        <v>1</v>
      </c>
      <c r="K85" s="21" t="str">
        <f ca="1"/>
        <v>Other - Please see comments</v>
      </c>
      <c r="L85" s="21" t="str">
        <f ca="1"/>
        <v>In progress</v>
      </c>
      <c r="Z85" s="21" t="str">
        <f ca="1"/>
        <v>3-16-0102</v>
      </c>
      <c r="AA85" s="21" t="str">
        <f ca="1"/>
        <v>Unassigned</v>
      </c>
      <c r="AB85" s="21">
        <f ca="1"/>
        <v>15</v>
      </c>
      <c r="AC85" s="21" t="str">
        <f ca="1"/>
        <v>Frig/freezer/ice maker leaks</v>
      </c>
      <c r="AD85" s="21" t="str">
        <f ca="1"/>
        <v>In progress</v>
      </c>
    </row>
    <row r="86" spans="2:30" x14ac:dyDescent="0.2">
      <c r="B86" s="21" t="str">
        <f ca="1"/>
        <v>3-13-0005</v>
      </c>
      <c r="C86" s="21" t="str">
        <f ca="1"/>
        <v>Unassigned</v>
      </c>
      <c r="D86" s="21">
        <f ca="1"/>
        <v>19</v>
      </c>
      <c r="E86" s="21" t="str">
        <f ca="1"/>
        <v>Mw light does not work</v>
      </c>
      <c r="F86" s="21" t="str">
        <f ca="1"/>
        <v>In progress</v>
      </c>
      <c r="H86" s="21" t="str">
        <f ca="1"/>
        <v>4-25-0315</v>
      </c>
      <c r="I86" s="21" t="str">
        <f ca="1"/>
        <v>Unassigned</v>
      </c>
      <c r="J86" s="21">
        <f ca="1"/>
        <v>1</v>
      </c>
      <c r="K86" s="21" t="str">
        <f ca="1"/>
        <v>Other Issue</v>
      </c>
      <c r="L86" s="21" t="str">
        <f ca="1"/>
        <v>In progress</v>
      </c>
      <c r="Z86" s="21" t="str">
        <f ca="1"/>
        <v>3-03-0101</v>
      </c>
      <c r="AA86" s="21" t="str">
        <f ca="1"/>
        <v>Unassigned</v>
      </c>
      <c r="AB86" s="21">
        <f ca="1"/>
        <v>15</v>
      </c>
      <c r="AC86" s="21" t="str">
        <f ca="1"/>
        <v>Washer-no cycle/rinse/spin</v>
      </c>
      <c r="AD86" s="21" t="str">
        <f ca="1"/>
        <v>In progress</v>
      </c>
    </row>
    <row r="87" spans="2:30" x14ac:dyDescent="0.2">
      <c r="B87" s="21" t="str">
        <f ca="1"/>
        <v>3-13-0005</v>
      </c>
      <c r="C87" s="21" t="str">
        <f ca="1"/>
        <v>Unassigned</v>
      </c>
      <c r="D87" s="21">
        <f ca="1"/>
        <v>19</v>
      </c>
      <c r="E87" s="21" t="str">
        <f ca="1"/>
        <v>Other - Please see comments</v>
      </c>
      <c r="F87" s="21" t="str">
        <f ca="1"/>
        <v>In progress</v>
      </c>
      <c r="H87" s="21" t="str">
        <f ca="1"/>
        <v>3-18-0104</v>
      </c>
      <c r="I87" s="21" t="str">
        <f ca="1"/>
        <v>Unassigned</v>
      </c>
      <c r="J87" s="21">
        <f ca="1"/>
        <v>1</v>
      </c>
      <c r="K87" s="21" t="str">
        <f ca="1"/>
        <v>Other - Please see comments</v>
      </c>
      <c r="L87" s="21" t="str">
        <f ca="1"/>
        <v>In progress</v>
      </c>
      <c r="Z87" s="21" t="str">
        <f ca="1"/>
        <v>3-03-0101</v>
      </c>
      <c r="AA87" s="21" t="str">
        <f ca="1"/>
        <v>Unassigned</v>
      </c>
      <c r="AB87" s="21">
        <f ca="1"/>
        <v>15</v>
      </c>
      <c r="AC87" s="21" t="str">
        <f ca="1"/>
        <v>Cabinet door missing</v>
      </c>
      <c r="AD87" s="21" t="str">
        <f ca="1"/>
        <v>In progress</v>
      </c>
    </row>
    <row r="88" spans="2:30" x14ac:dyDescent="0.2">
      <c r="B88" s="21" t="str">
        <f ca="1"/>
        <v>4-07-5764</v>
      </c>
      <c r="C88" s="21" t="str">
        <f ca="1"/>
        <v>Unassigned</v>
      </c>
      <c r="D88" s="21">
        <f ca="1"/>
        <v>18</v>
      </c>
      <c r="E88" s="21" t="str">
        <f ca="1"/>
        <v>Other - Please see comments</v>
      </c>
      <c r="F88" s="21" t="str">
        <f ca="1"/>
        <v>In progress</v>
      </c>
      <c r="H88" s="21" t="str">
        <f ca="1"/>
        <v>8-01-1005</v>
      </c>
      <c r="I88" s="21" t="str">
        <f ca="1"/>
        <v>Unassigned</v>
      </c>
      <c r="J88" s="21">
        <f ca="1"/>
        <v>1</v>
      </c>
      <c r="K88" s="21" t="str">
        <f ca="1"/>
        <v>Other - Please see comments</v>
      </c>
      <c r="L88" s="21" t="str">
        <f ca="1"/>
        <v>In progress</v>
      </c>
      <c r="Z88" s="21" t="str">
        <f ca="1"/>
        <v>3-01-0201</v>
      </c>
      <c r="AA88" s="21" t="str">
        <f ca="1"/>
        <v>Unassigned</v>
      </c>
      <c r="AB88" s="21">
        <f ca="1"/>
        <v>15</v>
      </c>
      <c r="AC88" s="21" t="str">
        <f ca="1"/>
        <v>Washer controls/knobs broken</v>
      </c>
      <c r="AD88" s="21" t="str">
        <f ca="1"/>
        <v>In progress</v>
      </c>
    </row>
    <row r="89" spans="2:30" x14ac:dyDescent="0.2">
      <c r="B89" s="21" t="str">
        <f ca="1"/>
        <v>4-07-5764</v>
      </c>
      <c r="C89" s="21" t="str">
        <f ca="1"/>
        <v>Unassigned</v>
      </c>
      <c r="D89" s="21">
        <f ca="1"/>
        <v>18</v>
      </c>
      <c r="E89" s="21" t="str">
        <f ca="1"/>
        <v>Ext door-other problem</v>
      </c>
      <c r="F89" s="21" t="str">
        <f ca="1"/>
        <v>In progress</v>
      </c>
      <c r="H89" s="21" t="str">
        <f ca="1"/>
        <v>8-01-4049</v>
      </c>
      <c r="I89" s="21" t="str">
        <f ca="1"/>
        <v>Unassigned</v>
      </c>
      <c r="J89" s="21">
        <f ca="1"/>
        <v>1</v>
      </c>
      <c r="K89" s="21" t="str">
        <f ca="1"/>
        <v>SmartLock broken</v>
      </c>
      <c r="L89" s="21" t="str">
        <f ca="1"/>
        <v>In progress</v>
      </c>
      <c r="Z89" s="21" t="str">
        <f ca="1"/>
        <v>4c-02-S308</v>
      </c>
      <c r="AA89" s="21" t="str">
        <f ca="1"/>
        <v>Unassigned</v>
      </c>
      <c r="AB89" s="21">
        <f ca="1"/>
        <v>14</v>
      </c>
      <c r="AC89" s="21" t="str">
        <f ca="1"/>
        <v>Mw does not work/heat properly</v>
      </c>
      <c r="AD89" s="21" t="str">
        <f ca="1"/>
        <v>In progress</v>
      </c>
    </row>
    <row r="90" spans="2:30" x14ac:dyDescent="0.2">
      <c r="B90" s="21" t="str">
        <f ca="1"/>
        <v>3-28-0224</v>
      </c>
      <c r="C90" s="21" t="str">
        <f ca="1"/>
        <v>Victor Castaneda</v>
      </c>
      <c r="D90" s="21">
        <f ca="1"/>
        <v>18</v>
      </c>
      <c r="E90" s="21" t="str">
        <f ca="1"/>
        <v>Light bulb is out</v>
      </c>
      <c r="F90" s="21" t="str">
        <f ca="1"/>
        <v>In progress</v>
      </c>
      <c r="H90" s="21" t="str">
        <f ca="1"/>
        <v>4-21-0205</v>
      </c>
      <c r="I90" s="21" t="str">
        <f ca="1"/>
        <v>Unassigned</v>
      </c>
      <c r="J90" s="21">
        <f ca="1"/>
        <v>1</v>
      </c>
      <c r="K90" s="21" t="str">
        <f ca="1"/>
        <v>Tub-other problem</v>
      </c>
      <c r="L90" s="21" t="str">
        <f ca="1"/>
        <v>In progress</v>
      </c>
      <c r="Z90" s="21" t="str">
        <f ca="1"/>
        <v>4c-02-S308</v>
      </c>
      <c r="AA90" s="21" t="str">
        <f ca="1"/>
        <v>Unassigned</v>
      </c>
      <c r="AB90" s="21">
        <f ca="1"/>
        <v>14</v>
      </c>
      <c r="AC90" s="21" t="str">
        <f ca="1"/>
        <v>A/C does not cool properly</v>
      </c>
      <c r="AD90" s="21" t="str">
        <f ca="1"/>
        <v>In progress</v>
      </c>
    </row>
    <row r="91" spans="2:30" x14ac:dyDescent="0.2">
      <c r="B91" s="21" t="str">
        <f ca="1"/>
        <v>3-01-0310</v>
      </c>
      <c r="C91" s="21" t="str">
        <f ca="1"/>
        <v>Rafael Anez</v>
      </c>
      <c r="D91" s="21">
        <f ca="1"/>
        <v>18</v>
      </c>
      <c r="E91" s="21" t="str">
        <f ca="1"/>
        <v>Ceramic floor tile need repair</v>
      </c>
      <c r="F91" s="21" t="str">
        <f ca="1"/>
        <v>On hold</v>
      </c>
      <c r="H91" s="21" t="str">
        <f ca="1"/>
        <v>4-27-0305</v>
      </c>
      <c r="I91" s="21" t="str">
        <f ca="1"/>
        <v>Unassigned</v>
      </c>
      <c r="J91" s="21">
        <f ca="1"/>
        <v>1</v>
      </c>
      <c r="K91" s="21" t="str">
        <f ca="1"/>
        <v>Mw door/handle broken/damaged</v>
      </c>
      <c r="L91" s="21" t="str">
        <f ca="1"/>
        <v>In progress</v>
      </c>
      <c r="Z91" s="21" t="str">
        <f ca="1"/>
        <v>4-21-0216</v>
      </c>
      <c r="AA91" s="21" t="str">
        <f ca="1"/>
        <v>Unassigned</v>
      </c>
      <c r="AB91" s="21">
        <f ca="1"/>
        <v>14</v>
      </c>
      <c r="AC91" s="21" t="str">
        <f ca="1"/>
        <v>Ice maker makes bad/dirty ice</v>
      </c>
      <c r="AD91" s="21" t="str">
        <f ca="1"/>
        <v>In progress</v>
      </c>
    </row>
    <row r="92" spans="2:30" x14ac:dyDescent="0.2">
      <c r="B92" s="21" t="str">
        <f ca="1"/>
        <v>4-04-7105</v>
      </c>
      <c r="C92" s="21" t="str">
        <f ca="1"/>
        <v>Unassigned</v>
      </c>
      <c r="D92" s="21">
        <f ca="1"/>
        <v>18</v>
      </c>
      <c r="E92" s="21" t="str">
        <f ca="1"/>
        <v>Other - Please see comments</v>
      </c>
      <c r="F92" s="21" t="str">
        <f ca="1"/>
        <v>In progress</v>
      </c>
      <c r="H92" s="21" t="str">
        <f ca="1"/>
        <v>8-01-3076</v>
      </c>
      <c r="I92" s="21" t="str">
        <f ca="1"/>
        <v>Unassigned</v>
      </c>
      <c r="J92" s="21">
        <f ca="1"/>
        <v>1</v>
      </c>
      <c r="K92" s="21" t="str">
        <f ca="1"/>
        <v>Other - Please see comments</v>
      </c>
      <c r="L92" s="21" t="str">
        <f ca="1"/>
        <v>In progress</v>
      </c>
      <c r="Z92" s="21" t="str">
        <f ca="1"/>
        <v>4c-02-S306</v>
      </c>
      <c r="AA92" s="21" t="str">
        <f ca="1"/>
        <v>Unassigned</v>
      </c>
      <c r="AB92" s="21">
        <f ca="1"/>
        <v>14</v>
      </c>
      <c r="AC92" s="21" t="str">
        <f ca="1"/>
        <v>Other - Please see comments</v>
      </c>
      <c r="AD92" s="21" t="str">
        <f ca="1"/>
        <v>In progress</v>
      </c>
    </row>
    <row r="93" spans="2:30" x14ac:dyDescent="0.2">
      <c r="B93" s="21" t="str">
        <f ca="1"/>
        <v>3-02-0202</v>
      </c>
      <c r="C93" s="21" t="str">
        <f ca="1"/>
        <v>Unassigned</v>
      </c>
      <c r="D93" s="21">
        <f ca="1"/>
        <v>18</v>
      </c>
      <c r="E93" s="21" t="str">
        <f ca="1"/>
        <v>Paint faded/chipped</v>
      </c>
      <c r="F93" s="21" t="str">
        <f ca="1"/>
        <v>In progress</v>
      </c>
      <c r="H93" s="21" t="str">
        <f ca="1"/>
        <v>4-22-0224</v>
      </c>
      <c r="I93" s="21" t="str">
        <f ca="1"/>
        <v>Unassigned</v>
      </c>
      <c r="J93" s="21">
        <f ca="1"/>
        <v>1</v>
      </c>
      <c r="K93" s="21" t="str">
        <f ca="1"/>
        <v>Other - Please see comments</v>
      </c>
      <c r="L93" s="21" t="str">
        <f ca="1"/>
        <v>In progress</v>
      </c>
      <c r="Z93" s="21" t="str">
        <f ca="1"/>
        <v>4-17-5785</v>
      </c>
      <c r="AA93" s="21" t="str">
        <f ca="1"/>
        <v>Unassigned</v>
      </c>
      <c r="AB93" s="21">
        <f ca="1"/>
        <v>14</v>
      </c>
      <c r="AC93" s="21" t="str">
        <f ca="1"/>
        <v>Gutter damaged</v>
      </c>
      <c r="AD93" s="21" t="str">
        <f ca="1"/>
        <v>In progress</v>
      </c>
    </row>
    <row r="94" spans="2:30" x14ac:dyDescent="0.2">
      <c r="B94" s="21" t="str">
        <f ca="1"/>
        <v>5-18-0330</v>
      </c>
      <c r="C94" s="21" t="str">
        <f ca="1"/>
        <v>Yomar Gonzalez</v>
      </c>
      <c r="D94" s="21">
        <f ca="1"/>
        <v>17</v>
      </c>
      <c r="E94" s="21" t="str">
        <f ca="1"/>
        <v>Washer-other problem</v>
      </c>
      <c r="F94" s="21" t="str">
        <f ca="1"/>
        <v>In progress</v>
      </c>
      <c r="H94" s="21" t="str">
        <f ca="1"/>
        <v>4-01-5790</v>
      </c>
      <c r="I94" s="21" t="str">
        <f ca="1"/>
        <v>Unassigned</v>
      </c>
      <c r="J94" s="21">
        <f ca="1"/>
        <v>1</v>
      </c>
      <c r="K94" s="21" t="str">
        <f ca="1"/>
        <v>Shower clogged</v>
      </c>
      <c r="L94" s="21" t="str">
        <f ca="1"/>
        <v>In progress</v>
      </c>
      <c r="Z94" s="21" t="str">
        <f ca="1"/>
        <v>4c-02-S306</v>
      </c>
      <c r="AA94" s="21" t="str">
        <f ca="1"/>
        <v>Unassigned</v>
      </c>
      <c r="AB94" s="21">
        <f ca="1"/>
        <v>14</v>
      </c>
      <c r="AC94" s="21" t="str">
        <f ca="1"/>
        <v>Light bulb is out</v>
      </c>
      <c r="AD94" s="21" t="str">
        <f ca="1"/>
        <v>In progress</v>
      </c>
    </row>
    <row r="95" spans="2:30" x14ac:dyDescent="0.2">
      <c r="B95" s="21" t="str">
        <f ca="1"/>
        <v>3-08-0109</v>
      </c>
      <c r="C95" s="21" t="str">
        <f ca="1"/>
        <v>Alexander Gonzalez</v>
      </c>
      <c r="D95" s="21">
        <f ca="1"/>
        <v>16</v>
      </c>
      <c r="E95" s="21" t="str">
        <f ca="1"/>
        <v>Vents/ducts dirty/odor</v>
      </c>
      <c r="F95" s="21" t="str">
        <f ca="1"/>
        <v>In progress</v>
      </c>
      <c r="H95" s="21" t="str">
        <f ca="1"/>
        <v>4-23-0104</v>
      </c>
      <c r="I95" s="21" t="str">
        <f ca="1"/>
        <v>Unassigned</v>
      </c>
      <c r="J95" s="21">
        <f ca="1"/>
        <v>1</v>
      </c>
      <c r="K95" s="21" t="str">
        <f ca="1"/>
        <v>Pest Control requested</v>
      </c>
      <c r="L95" s="21" t="str">
        <f ca="1"/>
        <v>In progress</v>
      </c>
      <c r="Z95" s="21" t="str">
        <f ca="1"/>
        <v>3-30-0121</v>
      </c>
      <c r="AA95" s="21" t="str">
        <f ca="1"/>
        <v>Victor Castaneda</v>
      </c>
      <c r="AB95" s="21">
        <f ca="1"/>
        <v>13</v>
      </c>
      <c r="AC95" s="21" t="str">
        <f ca="1"/>
        <v>Dryer does not work properly</v>
      </c>
      <c r="AD95" s="21" t="str">
        <f ca="1"/>
        <v>In progress</v>
      </c>
    </row>
    <row r="96" spans="2:30" x14ac:dyDescent="0.2">
      <c r="B96" s="21" t="str">
        <f ca="1"/>
        <v>3-09-0105</v>
      </c>
      <c r="C96" s="21" t="str">
        <f ca="1"/>
        <v>Unassigned</v>
      </c>
      <c r="D96" s="21">
        <f ca="1"/>
        <v>15</v>
      </c>
      <c r="E96" s="21" t="str">
        <f ca="1"/>
        <v>Other - Please see comments</v>
      </c>
      <c r="F96" s="21" t="str">
        <f ca="1"/>
        <v>In progress</v>
      </c>
      <c r="Z96" s="21" t="str">
        <f ca="1"/>
        <v>3-28-0212</v>
      </c>
      <c r="AA96" s="21" t="str">
        <f ca="1"/>
        <v>Unassigned</v>
      </c>
      <c r="AB96" s="21">
        <f ca="1"/>
        <v>13</v>
      </c>
      <c r="AC96" s="21" t="str">
        <f ca="1"/>
        <v>Other - Please see comments</v>
      </c>
      <c r="AD96" s="21" t="str">
        <f ca="1"/>
        <v>In progress</v>
      </c>
    </row>
    <row r="97" spans="2:30" x14ac:dyDescent="0.2">
      <c r="B97" s="21" t="str">
        <f ca="1"/>
        <v>4c-02-S202</v>
      </c>
      <c r="C97" s="21" t="str">
        <f ca="1"/>
        <v>Unassigned</v>
      </c>
      <c r="D97" s="21">
        <f ca="1"/>
        <v>15</v>
      </c>
      <c r="E97" s="21" t="str">
        <f ca="1"/>
        <v>Other mail issue</v>
      </c>
      <c r="F97" s="21" t="str">
        <f ca="1"/>
        <v>In progress</v>
      </c>
      <c r="Z97" s="21" t="str">
        <f ca="1"/>
        <v>4c-02-S202</v>
      </c>
      <c r="AA97" s="21" t="str">
        <f ca="1"/>
        <v>Unassigned</v>
      </c>
      <c r="AB97" s="21">
        <f ca="1"/>
        <v>13</v>
      </c>
      <c r="AC97" s="21" t="str">
        <f ca="1"/>
        <v>Other - Please see comments</v>
      </c>
      <c r="AD97" s="21" t="str">
        <f ca="1"/>
        <v>In progress</v>
      </c>
    </row>
    <row r="98" spans="2:30" x14ac:dyDescent="0.2">
      <c r="B98" s="21" t="str">
        <f ca="1"/>
        <v>3-01-0201</v>
      </c>
      <c r="C98" s="21" t="str">
        <f ca="1"/>
        <v>Unassigned</v>
      </c>
      <c r="D98" s="21">
        <f ca="1"/>
        <v>15</v>
      </c>
      <c r="E98" s="21" t="str">
        <f ca="1"/>
        <v>Dryer-other problem</v>
      </c>
      <c r="F98" s="21" t="str">
        <f ca="1"/>
        <v>In progress</v>
      </c>
      <c r="Z98" s="21" t="str">
        <f ca="1"/>
        <v>3-33-0102</v>
      </c>
      <c r="AA98" s="21" t="str">
        <f ca="1"/>
        <v>Unassigned</v>
      </c>
      <c r="AB98" s="21">
        <f ca="1"/>
        <v>13</v>
      </c>
      <c r="AC98" s="21" t="str">
        <f ca="1"/>
        <v>Other - Please see comments</v>
      </c>
      <c r="AD98" s="21" t="str">
        <f ca="1"/>
        <v>In progress</v>
      </c>
    </row>
    <row r="99" spans="2:30" x14ac:dyDescent="0.2">
      <c r="B99" s="21" t="str">
        <f ca="1"/>
        <v>3-01-0201</v>
      </c>
      <c r="C99" s="21" t="str">
        <f ca="1"/>
        <v>Unassigned</v>
      </c>
      <c r="D99" s="21">
        <f ca="1"/>
        <v>15</v>
      </c>
      <c r="E99" s="21" t="str">
        <f ca="1"/>
        <v>Washer controls/knobs broken</v>
      </c>
      <c r="F99" s="21" t="str">
        <f ca="1"/>
        <v>In progress</v>
      </c>
      <c r="Z99" s="21" t="str">
        <f ca="1"/>
        <v>4c-02-S202</v>
      </c>
      <c r="AA99" s="21" t="str">
        <f ca="1"/>
        <v>Rafael Anez</v>
      </c>
      <c r="AB99" s="21">
        <f ca="1"/>
        <v>13</v>
      </c>
      <c r="AC99" s="21" t="str">
        <f ca="1"/>
        <v>Oven light out</v>
      </c>
      <c r="AD99" s="21" t="str">
        <f ca="1"/>
        <v>On hold</v>
      </c>
    </row>
    <row r="100" spans="2:30" x14ac:dyDescent="0.2">
      <c r="B100" s="21" t="str">
        <f ca="1"/>
        <v>3-16-0102</v>
      </c>
      <c r="C100" s="21" t="str">
        <f ca="1"/>
        <v>Unassigned</v>
      </c>
      <c r="D100" s="21">
        <f ca="1"/>
        <v>15</v>
      </c>
      <c r="E100" s="21" t="str">
        <f ca="1"/>
        <v>Frig/freezer/ice maker leaks</v>
      </c>
      <c r="F100" s="21" t="str">
        <f ca="1"/>
        <v>In progress</v>
      </c>
      <c r="Z100" s="21" t="str">
        <f ca="1"/>
        <v>3-01-0210</v>
      </c>
      <c r="AA100" s="21" t="str">
        <f ca="1"/>
        <v>Dennis Arevalo</v>
      </c>
      <c r="AB100" s="21">
        <f ca="1"/>
        <v>13</v>
      </c>
      <c r="AC100" s="21" t="str">
        <f ca="1"/>
        <v>DW does not drain/backing up</v>
      </c>
      <c r="AD100" s="21" t="str">
        <f ca="1"/>
        <v>In progress</v>
      </c>
    </row>
    <row r="101" spans="2:30" x14ac:dyDescent="0.2">
      <c r="B101" s="21" t="str">
        <f ca="1"/>
        <v>3-03-0101</v>
      </c>
      <c r="C101" s="21" t="str">
        <f ca="1"/>
        <v>Unassigned</v>
      </c>
      <c r="D101" s="21">
        <f ca="1"/>
        <v>15</v>
      </c>
      <c r="E101" s="21" t="str">
        <f ca="1"/>
        <v>Washer-no cycle/rinse/spin</v>
      </c>
      <c r="F101" s="21" t="str">
        <f ca="1"/>
        <v>In progress</v>
      </c>
      <c r="Z101" s="21" t="str">
        <f ca="1"/>
        <v>3-01-0202</v>
      </c>
      <c r="AA101" s="21" t="str">
        <f ca="1"/>
        <v>Alexander Gonzalez</v>
      </c>
      <c r="AB101" s="21">
        <f ca="1"/>
        <v>13</v>
      </c>
      <c r="AC101" s="21" t="str">
        <f ca="1"/>
        <v>Broken or Missing brackets</v>
      </c>
      <c r="AD101" s="21" t="str">
        <f ca="1"/>
        <v>In progress</v>
      </c>
    </row>
    <row r="102" spans="2:30" x14ac:dyDescent="0.2">
      <c r="B102" s="21" t="str">
        <f ca="1"/>
        <v>3-03-0101</v>
      </c>
      <c r="C102" s="21" t="str">
        <f ca="1"/>
        <v>Unassigned</v>
      </c>
      <c r="D102" s="21">
        <f ca="1"/>
        <v>15</v>
      </c>
      <c r="E102" s="21" t="str">
        <f ca="1"/>
        <v>Cabinet door missing</v>
      </c>
      <c r="F102" s="21" t="str">
        <f ca="1"/>
        <v>In progress</v>
      </c>
      <c r="Z102" s="21" t="str">
        <f ca="1"/>
        <v>4-25-0216</v>
      </c>
      <c r="AA102" s="21" t="str">
        <f ca="1"/>
        <v>Rayniel Rincon</v>
      </c>
      <c r="AB102" s="21">
        <f ca="1"/>
        <v>12</v>
      </c>
      <c r="AC102" s="21" t="str">
        <f ca="1"/>
        <v>DW does not work</v>
      </c>
      <c r="AD102" s="21" t="str">
        <f ca="1"/>
        <v>On hold</v>
      </c>
    </row>
    <row r="103" spans="2:30" x14ac:dyDescent="0.2">
      <c r="B103" s="21" t="str">
        <f ca="1"/>
        <v>5-03-0133</v>
      </c>
      <c r="C103" s="21" t="str">
        <f ca="1"/>
        <v>Roberto Palacios</v>
      </c>
      <c r="D103" s="21">
        <f ca="1"/>
        <v>15</v>
      </c>
      <c r="E103" s="21" t="str">
        <f ca="1"/>
        <v>Carpet-other problem</v>
      </c>
      <c r="F103" s="21" t="str">
        <f ca="1"/>
        <v>In progress</v>
      </c>
      <c r="Z103" s="21" t="str">
        <f ca="1"/>
        <v>4-27-0308</v>
      </c>
      <c r="AA103" s="21" t="str">
        <f ca="1"/>
        <v>Rayniel Rincon</v>
      </c>
      <c r="AB103" s="21">
        <f ca="1"/>
        <v>11</v>
      </c>
      <c r="AC103" s="21" t="str">
        <f ca="1"/>
        <v>Other - Please see comments</v>
      </c>
      <c r="AD103" s="21" t="str">
        <f ca="1"/>
        <v>In progress</v>
      </c>
    </row>
    <row r="104" spans="2:30" x14ac:dyDescent="0.2">
      <c r="B104" s="21" t="str">
        <f ca="1"/>
        <v>4-21-0216</v>
      </c>
      <c r="C104" s="21" t="str">
        <f ca="1"/>
        <v>Unassigned</v>
      </c>
      <c r="D104" s="21">
        <f ca="1"/>
        <v>14</v>
      </c>
      <c r="E104" s="21" t="str">
        <f ca="1"/>
        <v>Ice maker makes bad/dirty ice</v>
      </c>
      <c r="F104" s="21" t="str">
        <f ca="1"/>
        <v>In progress</v>
      </c>
      <c r="Z104" s="21" t="str">
        <f ca="1"/>
        <v>3-17-0210</v>
      </c>
      <c r="AA104" s="21" t="str">
        <f ca="1"/>
        <v>Unassigned</v>
      </c>
      <c r="AB104" s="21">
        <f ca="1"/>
        <v>11</v>
      </c>
      <c r="AC104" s="21" t="str">
        <f ca="1"/>
        <v>Ceiling fan is noisy</v>
      </c>
      <c r="AD104" s="21" t="str">
        <f ca="1"/>
        <v>In progress</v>
      </c>
    </row>
    <row r="105" spans="2:30" x14ac:dyDescent="0.2">
      <c r="B105" s="21" t="str">
        <f ca="1"/>
        <v>4c-02-S308</v>
      </c>
      <c r="C105" s="21" t="str">
        <f ca="1"/>
        <v>Unassigned</v>
      </c>
      <c r="D105" s="21">
        <f ca="1"/>
        <v>14</v>
      </c>
      <c r="E105" s="21" t="str">
        <f ca="1"/>
        <v>Mw does not work/heat properly</v>
      </c>
      <c r="F105" s="21" t="str">
        <f ca="1"/>
        <v>In progress</v>
      </c>
      <c r="Z105" s="21" t="str">
        <f ca="1"/>
        <v>4-23-0109</v>
      </c>
      <c r="AA105" s="21" t="str">
        <f ca="1"/>
        <v>Dennis Arevalo</v>
      </c>
      <c r="AB105" s="21">
        <f ca="1"/>
        <v>11</v>
      </c>
      <c r="AC105" s="21" t="str">
        <f ca="1"/>
        <v>Other - Please see comments</v>
      </c>
      <c r="AD105" s="21" t="str">
        <f ca="1"/>
        <v>On hold</v>
      </c>
    </row>
    <row r="106" spans="2:30" x14ac:dyDescent="0.2">
      <c r="B106" s="21" t="str">
        <f ca="1"/>
        <v>4c-02-S306</v>
      </c>
      <c r="C106" s="21" t="str">
        <f ca="1"/>
        <v>Unassigned</v>
      </c>
      <c r="D106" s="21">
        <f ca="1"/>
        <v>14</v>
      </c>
      <c r="E106" s="21" t="str">
        <f ca="1"/>
        <v>Other - Please see comments</v>
      </c>
      <c r="F106" s="21" t="str">
        <f ca="1"/>
        <v>In progress</v>
      </c>
      <c r="Z106" s="21" t="str">
        <f ca="1"/>
        <v>4-21-0216</v>
      </c>
      <c r="AA106" s="21" t="str">
        <f ca="1"/>
        <v>Rayniel Rincon</v>
      </c>
      <c r="AB106" s="21">
        <f ca="1"/>
        <v>11</v>
      </c>
      <c r="AC106" s="21" t="str">
        <f ca="1"/>
        <v>Water from ceiling</v>
      </c>
      <c r="AD106" s="21" t="str">
        <f ca="1"/>
        <v>In progress</v>
      </c>
    </row>
    <row r="107" spans="2:30" x14ac:dyDescent="0.2">
      <c r="B107" s="21" t="str">
        <f ca="1"/>
        <v>4c-02-S308</v>
      </c>
      <c r="C107" s="21" t="str">
        <f ca="1"/>
        <v>Unassigned</v>
      </c>
      <c r="D107" s="21">
        <f ca="1"/>
        <v>14</v>
      </c>
      <c r="E107" s="21" t="str">
        <f ca="1"/>
        <v>A/C does not cool properly</v>
      </c>
      <c r="F107" s="21" t="str">
        <f ca="1"/>
        <v>In progress</v>
      </c>
      <c r="Z107" s="21" t="str">
        <f ca="1"/>
        <v>4-21-0216</v>
      </c>
      <c r="AA107" s="21" t="str">
        <f ca="1"/>
        <v>Rayniel Rincon</v>
      </c>
      <c r="AB107" s="21">
        <f ca="1"/>
        <v>11</v>
      </c>
      <c r="AC107" s="21" t="str">
        <f ca="1"/>
        <v>Dryer area is dirty</v>
      </c>
      <c r="AD107" s="21" t="str">
        <f ca="1"/>
        <v>In progress</v>
      </c>
    </row>
    <row r="108" spans="2:30" x14ac:dyDescent="0.2">
      <c r="B108" s="21" t="str">
        <f ca="1"/>
        <v>4-17-5785</v>
      </c>
      <c r="C108" s="21" t="str">
        <f ca="1"/>
        <v>Unassigned</v>
      </c>
      <c r="D108" s="21">
        <f ca="1"/>
        <v>14</v>
      </c>
      <c r="E108" s="21" t="str">
        <f ca="1"/>
        <v>Gutter damaged</v>
      </c>
      <c r="F108" s="21" t="str">
        <f ca="1"/>
        <v>In progress</v>
      </c>
      <c r="Z108" s="21" t="str">
        <f ca="1"/>
        <v>4-11-7125</v>
      </c>
      <c r="AA108" s="21" t="str">
        <f ca="1"/>
        <v>Rayniel Rincon</v>
      </c>
      <c r="AB108" s="21">
        <f ca="1"/>
        <v>10</v>
      </c>
      <c r="AC108" s="21" t="str">
        <f ca="1"/>
        <v>Water leak</v>
      </c>
      <c r="AD108" s="21" t="str">
        <f ca="1"/>
        <v>On hold</v>
      </c>
    </row>
    <row r="109" spans="2:30" x14ac:dyDescent="0.2">
      <c r="B109" s="21" t="str">
        <f ca="1"/>
        <v>4c-02-S306</v>
      </c>
      <c r="C109" s="21" t="str">
        <f ca="1"/>
        <v>Unassigned</v>
      </c>
      <c r="D109" s="21">
        <f ca="1"/>
        <v>14</v>
      </c>
      <c r="E109" s="21" t="str">
        <f ca="1"/>
        <v>Light bulb is out</v>
      </c>
      <c r="F109" s="21" t="str">
        <f ca="1"/>
        <v>In progress</v>
      </c>
      <c r="Z109" s="21" t="str">
        <f ca="1"/>
        <v>3-20-0101</v>
      </c>
      <c r="AA109" s="21" t="str">
        <f ca="1"/>
        <v>Victor Castaneda</v>
      </c>
      <c r="AB109" s="21">
        <f ca="1"/>
        <v>9</v>
      </c>
      <c r="AC109" s="21" t="str">
        <f ca="1"/>
        <v>Other - Please see comments</v>
      </c>
      <c r="AD109" s="21" t="str">
        <f ca="1"/>
        <v>In progress</v>
      </c>
    </row>
    <row r="110" spans="2:30" x14ac:dyDescent="0.2">
      <c r="B110" s="21" t="str">
        <f ca="1"/>
        <v>5-18-0312</v>
      </c>
      <c r="C110" s="21" t="str">
        <f ca="1"/>
        <v>Latrell Dawson</v>
      </c>
      <c r="D110" s="21">
        <f ca="1"/>
        <v>13</v>
      </c>
      <c r="E110" s="21" t="str">
        <f ca="1"/>
        <v>Paint faded/chipped</v>
      </c>
      <c r="F110" s="21" t="str">
        <f ca="1"/>
        <v>In progress</v>
      </c>
      <c r="Z110" s="21" t="str">
        <f ca="1"/>
        <v>3-29-0323</v>
      </c>
      <c r="AA110" s="21" t="str">
        <f ca="1"/>
        <v>Unassigned</v>
      </c>
      <c r="AB110" s="21">
        <f ca="1"/>
        <v>8</v>
      </c>
      <c r="AC110" s="21" t="str">
        <f ca="1"/>
        <v>Damaged or missing screens</v>
      </c>
      <c r="AD110" s="21" t="str">
        <f ca="1"/>
        <v>In progress</v>
      </c>
    </row>
    <row r="111" spans="2:30" x14ac:dyDescent="0.2">
      <c r="B111" s="21" t="str">
        <f ca="1"/>
        <v>4c-02-S202</v>
      </c>
      <c r="C111" s="21" t="str">
        <f ca="1"/>
        <v>Unassigned</v>
      </c>
      <c r="D111" s="21">
        <f ca="1"/>
        <v>13</v>
      </c>
      <c r="E111" s="21" t="str">
        <f ca="1"/>
        <v>Other - Please see comments</v>
      </c>
      <c r="F111" s="21" t="str">
        <f ca="1"/>
        <v>In progress</v>
      </c>
      <c r="Z111" s="21" t="str">
        <f ca="1"/>
        <v>4-26-0411</v>
      </c>
      <c r="AA111" s="21" t="str">
        <f ca="1"/>
        <v>Dennis Arevalo</v>
      </c>
      <c r="AB111" s="21">
        <f ca="1"/>
        <v>8</v>
      </c>
      <c r="AC111" s="21" t="str">
        <f ca="1"/>
        <v>Washer is noisy</v>
      </c>
      <c r="AD111" s="21" t="str">
        <f ca="1"/>
        <v>On hold</v>
      </c>
    </row>
    <row r="112" spans="2:30" x14ac:dyDescent="0.2">
      <c r="B112" s="21" t="str">
        <f ca="1"/>
        <v>3-01-0202</v>
      </c>
      <c r="C112" s="21" t="str">
        <f ca="1"/>
        <v>Alexander Gonzalez</v>
      </c>
      <c r="D112" s="21">
        <f ca="1"/>
        <v>13</v>
      </c>
      <c r="E112" s="21" t="str">
        <f ca="1"/>
        <v>Broken or Missing brackets</v>
      </c>
      <c r="F112" s="21" t="str">
        <f ca="1"/>
        <v>In progress</v>
      </c>
      <c r="Z112" s="21" t="str">
        <f ca="1"/>
        <v>3-02-0204</v>
      </c>
      <c r="AA112" s="21" t="str">
        <f ca="1"/>
        <v>Alexander Gonzalez</v>
      </c>
      <c r="AB112" s="21">
        <f ca="1"/>
        <v>7</v>
      </c>
      <c r="AC112" s="21" t="str">
        <f ca="1"/>
        <v>Locks or latches not working</v>
      </c>
      <c r="AD112" s="21" t="str">
        <f ca="1"/>
        <v>In progress</v>
      </c>
    </row>
    <row r="113" spans="2:30" x14ac:dyDescent="0.2">
      <c r="B113" s="21" t="str">
        <f ca="1"/>
        <v>3-30-0121</v>
      </c>
      <c r="C113" s="21" t="str">
        <f ca="1"/>
        <v>Victor Castaneda</v>
      </c>
      <c r="D113" s="21">
        <f ca="1"/>
        <v>13</v>
      </c>
      <c r="E113" s="21" t="str">
        <f ca="1"/>
        <v>Dryer does not work properly</v>
      </c>
      <c r="F113" s="21" t="str">
        <f ca="1"/>
        <v>In progress</v>
      </c>
      <c r="Z113" s="21" t="str">
        <f ca="1"/>
        <v>3-30-0121</v>
      </c>
      <c r="AA113" s="21" t="str">
        <f ca="1"/>
        <v>Victor Castaneda</v>
      </c>
      <c r="AB113" s="21">
        <f ca="1"/>
        <v>7</v>
      </c>
      <c r="AC113" s="21" t="str">
        <f ca="1"/>
        <v>Other - Please see comments</v>
      </c>
      <c r="AD113" s="21" t="str">
        <f ca="1"/>
        <v>In progress</v>
      </c>
    </row>
    <row r="114" spans="2:30" x14ac:dyDescent="0.2">
      <c r="B114" s="21" t="str">
        <f ca="1"/>
        <v>4c-02-S202</v>
      </c>
      <c r="C114" s="21" t="str">
        <f ca="1"/>
        <v>Rafael Anez</v>
      </c>
      <c r="D114" s="21">
        <f ca="1"/>
        <v>13</v>
      </c>
      <c r="E114" s="21" t="str">
        <f ca="1"/>
        <v>Oven light out</v>
      </c>
      <c r="F114" s="21" t="str">
        <f ca="1"/>
        <v>On hold</v>
      </c>
      <c r="Z114" s="21" t="str">
        <f ca="1"/>
        <v>3-30-0121</v>
      </c>
      <c r="AA114" s="21" t="str">
        <f ca="1"/>
        <v>Victor Castaneda</v>
      </c>
      <c r="AB114" s="21">
        <f ca="1"/>
        <v>7</v>
      </c>
      <c r="AC114" s="21" t="str">
        <f ca="1"/>
        <v>Other - Please see comments</v>
      </c>
      <c r="AD114" s="21" t="str">
        <f ca="1"/>
        <v>In progress</v>
      </c>
    </row>
    <row r="115" spans="2:30" x14ac:dyDescent="0.2">
      <c r="B115" s="21" t="str">
        <f ca="1"/>
        <v>3-01-0210</v>
      </c>
      <c r="C115" s="21" t="str">
        <f ca="1"/>
        <v>Dennis Arevalo</v>
      </c>
      <c r="D115" s="21">
        <f ca="1"/>
        <v>13</v>
      </c>
      <c r="E115" s="21" t="str">
        <f ca="1"/>
        <v>DW does not drain/backing up</v>
      </c>
      <c r="F115" s="21" t="str">
        <f ca="1"/>
        <v>In progress</v>
      </c>
      <c r="Z115" s="21" t="str">
        <f ca="1"/>
        <v>4-22-0220</v>
      </c>
      <c r="AA115" s="21" t="str">
        <f ca="1"/>
        <v>Barron Russell</v>
      </c>
      <c r="AB115" s="21">
        <f ca="1"/>
        <v>7</v>
      </c>
      <c r="AC115" s="21" t="str">
        <f ca="1"/>
        <v>Washer-no cycle/rinse/spin</v>
      </c>
      <c r="AD115" s="21" t="str">
        <f ca="1"/>
        <v>On hold</v>
      </c>
    </row>
    <row r="116" spans="2:30" x14ac:dyDescent="0.2">
      <c r="B116" s="21" t="str">
        <f ca="1"/>
        <v>3-33-0102</v>
      </c>
      <c r="C116" s="21" t="str">
        <f ca="1"/>
        <v>Unassigned</v>
      </c>
      <c r="D116" s="21">
        <f ca="1"/>
        <v>13</v>
      </c>
      <c r="E116" s="21" t="str">
        <f ca="1"/>
        <v>Other - Please see comments</v>
      </c>
      <c r="F116" s="21" t="str">
        <f ca="1"/>
        <v>In progress</v>
      </c>
      <c r="Z116" s="21" t="str">
        <f ca="1"/>
        <v>4-01-5786</v>
      </c>
      <c r="AA116" s="21" t="str">
        <f ca="1"/>
        <v>Unassigned</v>
      </c>
      <c r="AB116" s="21">
        <f ca="1"/>
        <v>7</v>
      </c>
      <c r="AC116" s="21" t="str">
        <f ca="1"/>
        <v>Tub-other problem</v>
      </c>
      <c r="AD116" s="21" t="str">
        <f ca="1"/>
        <v>In progress</v>
      </c>
    </row>
    <row r="117" spans="2:30" x14ac:dyDescent="0.2">
      <c r="B117" s="21" t="str">
        <f ca="1"/>
        <v>3-28-0212</v>
      </c>
      <c r="C117" s="21" t="str">
        <f ca="1"/>
        <v>Unassigned</v>
      </c>
      <c r="D117" s="21">
        <f ca="1"/>
        <v>13</v>
      </c>
      <c r="E117" s="21" t="str">
        <f ca="1"/>
        <v>Other - Please see comments</v>
      </c>
      <c r="F117" s="21" t="str">
        <f ca="1"/>
        <v>In progress</v>
      </c>
      <c r="Z117" s="21" t="str">
        <f ca="1"/>
        <v>3-11-0106</v>
      </c>
      <c r="AA117" s="21" t="str">
        <f ca="1"/>
        <v>Diego Zapata</v>
      </c>
      <c r="AB117" s="21">
        <f ca="1"/>
        <v>7</v>
      </c>
      <c r="AC117" s="21" t="str">
        <f ca="1"/>
        <v>Other - Please see comments</v>
      </c>
      <c r="AD117" s="21" t="str">
        <f ca="1"/>
        <v>In progress</v>
      </c>
    </row>
    <row r="118" spans="2:30" x14ac:dyDescent="0.2">
      <c r="B118" s="21" t="str">
        <f ca="1"/>
        <v>4-25-0216</v>
      </c>
      <c r="C118" s="21" t="str">
        <f ca="1"/>
        <v>Rayniel Rincon</v>
      </c>
      <c r="D118" s="21">
        <f ca="1"/>
        <v>12</v>
      </c>
      <c r="E118" s="21" t="str">
        <f ca="1"/>
        <v>DW does not work</v>
      </c>
      <c r="F118" s="21" t="str">
        <f ca="1"/>
        <v>On hold</v>
      </c>
      <c r="Z118" s="21" t="str">
        <f ca="1"/>
        <v>4-21-0209</v>
      </c>
      <c r="AA118" s="21" t="str">
        <f ca="1"/>
        <v>Dennis Arevalo</v>
      </c>
      <c r="AB118" s="21">
        <f ca="1"/>
        <v>7</v>
      </c>
      <c r="AC118" s="21" t="str">
        <f ca="1"/>
        <v>Chipping or peeling trim</v>
      </c>
      <c r="AD118" s="21" t="str">
        <f ca="1"/>
        <v>On hold</v>
      </c>
    </row>
    <row r="119" spans="2:30" x14ac:dyDescent="0.2">
      <c r="B119" s="21" t="str">
        <f ca="1"/>
        <v>4-27-0308</v>
      </c>
      <c r="C119" s="21" t="str">
        <f ca="1"/>
        <v>Rayniel Rincon</v>
      </c>
      <c r="D119" s="21">
        <f ca="1"/>
        <v>11</v>
      </c>
      <c r="E119" s="21" t="str">
        <f ca="1"/>
        <v>Other - Please see comments</v>
      </c>
      <c r="F119" s="21" t="str">
        <f ca="1"/>
        <v>In progress</v>
      </c>
      <c r="Z119" s="21" t="str">
        <f ca="1"/>
        <v>3-08-0108</v>
      </c>
      <c r="AA119" s="21" t="str">
        <f ca="1"/>
        <v>Unassigned</v>
      </c>
      <c r="AB119" s="21">
        <f ca="1"/>
        <v>6</v>
      </c>
      <c r="AC119" s="21" t="str">
        <f ca="1"/>
        <v>Other - Please see comments</v>
      </c>
      <c r="AD119" s="21" t="str">
        <f ca="1"/>
        <v>In progress</v>
      </c>
    </row>
    <row r="120" spans="2:30" x14ac:dyDescent="0.2">
      <c r="B120" s="21" t="str">
        <f ca="1"/>
        <v>4-21-0216</v>
      </c>
      <c r="C120" s="21" t="str">
        <f ca="1"/>
        <v>Rayniel Rincon</v>
      </c>
      <c r="D120" s="21">
        <f ca="1"/>
        <v>11</v>
      </c>
      <c r="E120" s="21" t="str">
        <f ca="1"/>
        <v>Water from ceiling</v>
      </c>
      <c r="F120" s="21" t="str">
        <f ca="1"/>
        <v>In progress</v>
      </c>
      <c r="Z120" s="21" t="str">
        <f ca="1"/>
        <v>4-26-0102</v>
      </c>
      <c r="AA120" s="21" t="str">
        <f ca="1"/>
        <v>Latrell Dawson</v>
      </c>
      <c r="AB120" s="21">
        <f ca="1"/>
        <v>6</v>
      </c>
      <c r="AC120" s="21" t="str">
        <f ca="1"/>
        <v>Washer will not fill/drain</v>
      </c>
      <c r="AD120" s="21" t="str">
        <f ca="1"/>
        <v>On hold</v>
      </c>
    </row>
    <row r="121" spans="2:30" x14ac:dyDescent="0.2">
      <c r="B121" s="21" t="str">
        <f ca="1"/>
        <v>4-23-0109</v>
      </c>
      <c r="C121" s="21" t="str">
        <f ca="1"/>
        <v>Dennis Arevalo</v>
      </c>
      <c r="D121" s="21">
        <f ca="1"/>
        <v>11</v>
      </c>
      <c r="E121" s="21" t="str">
        <f ca="1"/>
        <v>Other - Please see comments</v>
      </c>
      <c r="F121" s="21" t="str">
        <f ca="1"/>
        <v>On hold</v>
      </c>
      <c r="Z121" s="21" t="str">
        <f ca="1"/>
        <v>3-30-0121</v>
      </c>
      <c r="AA121" s="21" t="str">
        <f ca="1"/>
        <v>Victor Castaneda</v>
      </c>
      <c r="AB121" s="21">
        <f ca="1"/>
        <v>6</v>
      </c>
      <c r="AC121" s="21" t="str">
        <f ca="1"/>
        <v>Mw light does not work</v>
      </c>
      <c r="AD121" s="21" t="str">
        <f ca="1"/>
        <v>In progress</v>
      </c>
    </row>
    <row r="122" spans="2:30" x14ac:dyDescent="0.2">
      <c r="B122" s="21" t="str">
        <f ca="1"/>
        <v>3-17-0210</v>
      </c>
      <c r="C122" s="21" t="str">
        <f ca="1"/>
        <v>Unassigned</v>
      </c>
      <c r="D122" s="21">
        <f ca="1"/>
        <v>11</v>
      </c>
      <c r="E122" s="21" t="str">
        <f ca="1"/>
        <v>Ceiling fan is noisy</v>
      </c>
      <c r="F122" s="21" t="str">
        <f ca="1"/>
        <v>In progress</v>
      </c>
      <c r="Z122" s="21" t="str">
        <f ca="1"/>
        <v>3-27-0202</v>
      </c>
      <c r="AA122" s="21" t="str">
        <f ca="1"/>
        <v>Unassigned</v>
      </c>
      <c r="AB122" s="21">
        <f ca="1"/>
        <v>5</v>
      </c>
      <c r="AC122" s="21" t="str">
        <f ca="1"/>
        <v>Drafts or poor air circulation</v>
      </c>
      <c r="AD122" s="21" t="str">
        <f ca="1"/>
        <v>In progress</v>
      </c>
    </row>
    <row r="123" spans="2:30" x14ac:dyDescent="0.2">
      <c r="B123" s="21" t="str">
        <f ca="1"/>
        <v>4-21-0216</v>
      </c>
      <c r="C123" s="21" t="str">
        <f ca="1"/>
        <v>Rayniel Rincon</v>
      </c>
      <c r="D123" s="21">
        <f ca="1"/>
        <v>11</v>
      </c>
      <c r="E123" s="21" t="str">
        <f ca="1"/>
        <v>Dryer area is dirty</v>
      </c>
      <c r="F123" s="21" t="str">
        <f ca="1"/>
        <v>In progress</v>
      </c>
      <c r="Z123" s="21" t="str">
        <f ca="1"/>
        <v>3-01-0206</v>
      </c>
      <c r="AA123" s="21" t="str">
        <f ca="1"/>
        <v>Unassigned</v>
      </c>
      <c r="AB123" s="21">
        <f ca="1"/>
        <v>5</v>
      </c>
      <c r="AC123" s="21" t="str">
        <f ca="1"/>
        <v>Patio door gaps or is drafty</v>
      </c>
      <c r="AD123" s="21" t="str">
        <f ca="1"/>
        <v>In progress</v>
      </c>
    </row>
    <row r="124" spans="2:30" x14ac:dyDescent="0.2">
      <c r="B124" s="21" t="str">
        <f ca="1"/>
        <v>4-11-7125</v>
      </c>
      <c r="C124" s="21" t="str">
        <f ca="1"/>
        <v>Rayniel Rincon</v>
      </c>
      <c r="D124" s="21">
        <f ca="1"/>
        <v>10</v>
      </c>
      <c r="E124" s="21" t="str">
        <f ca="1"/>
        <v>Water leak</v>
      </c>
      <c r="F124" s="21" t="str">
        <f ca="1"/>
        <v>On hold</v>
      </c>
      <c r="Z124" s="21" t="str">
        <f ca="1"/>
        <v>3-31-0212</v>
      </c>
      <c r="AA124" s="21" t="str">
        <f ca="1"/>
        <v>Victor Castaneda</v>
      </c>
      <c r="AB124" s="21">
        <f ca="1"/>
        <v>4</v>
      </c>
      <c r="AC124" s="21" t="str">
        <f ca="1"/>
        <v>Light flickers</v>
      </c>
      <c r="AD124" s="21" t="str">
        <f ca="1"/>
        <v>In progress</v>
      </c>
    </row>
    <row r="125" spans="2:30" x14ac:dyDescent="0.2">
      <c r="B125" s="21" t="str">
        <f ca="1"/>
        <v>7-09-0206</v>
      </c>
      <c r="C125" s="21" t="str">
        <f ca="1"/>
        <v>Barron Russell</v>
      </c>
      <c r="D125" s="21">
        <f ca="1"/>
        <v>9</v>
      </c>
      <c r="E125" s="21" t="str">
        <f ca="1"/>
        <v>Sink leaks</v>
      </c>
      <c r="F125" s="21" t="str">
        <f ca="1"/>
        <v>In progress</v>
      </c>
      <c r="Z125" s="21" t="str">
        <f ca="1"/>
        <v>4-12-7089</v>
      </c>
      <c r="AA125" s="21" t="str">
        <f ca="1"/>
        <v>Unassigned</v>
      </c>
      <c r="AB125" s="21">
        <f ca="1"/>
        <v>3</v>
      </c>
      <c r="AC125" s="21" t="str">
        <f ca="1"/>
        <v>Power-other problem</v>
      </c>
      <c r="AD125" s="21" t="str">
        <f ca="1"/>
        <v>In progress</v>
      </c>
    </row>
    <row r="126" spans="2:30" x14ac:dyDescent="0.2">
      <c r="B126" s="21" t="str">
        <f ca="1"/>
        <v>3-20-0101</v>
      </c>
      <c r="C126" s="21" t="str">
        <f ca="1"/>
        <v>Victor Castaneda</v>
      </c>
      <c r="D126" s="21">
        <f ca="1"/>
        <v>9</v>
      </c>
      <c r="E126" s="21" t="str">
        <f ca="1"/>
        <v>Other - Please see comments</v>
      </c>
      <c r="F126" s="21" t="str">
        <f ca="1"/>
        <v>In progress</v>
      </c>
      <c r="Z126" s="21" t="str">
        <f ca="1"/>
        <v>3-30-0121</v>
      </c>
      <c r="AA126" s="21" t="str">
        <f ca="1"/>
        <v>Victor Castaneda</v>
      </c>
      <c r="AB126" s="21">
        <f ca="1"/>
        <v>3</v>
      </c>
      <c r="AC126" s="21" t="str">
        <f ca="1"/>
        <v>Faucet water pressure problems</v>
      </c>
      <c r="AD126" s="21" t="str">
        <f ca="1"/>
        <v>In progress</v>
      </c>
    </row>
    <row r="127" spans="2:30" x14ac:dyDescent="0.2">
      <c r="B127" s="21" t="str">
        <f ca="1"/>
        <v>5-16-0303</v>
      </c>
      <c r="C127" s="21" t="str">
        <f ca="1"/>
        <v>Latrell Dawson</v>
      </c>
      <c r="D127" s="21">
        <f ca="1"/>
        <v>9</v>
      </c>
      <c r="E127" s="21" t="str">
        <f ca="1"/>
        <v>Other - Please see comments</v>
      </c>
      <c r="F127" s="21" t="str">
        <f ca="1"/>
        <v>In progress</v>
      </c>
      <c r="Z127" s="21" t="str">
        <f ca="1"/>
        <v>4c-02-S308</v>
      </c>
      <c r="AA127" s="21" t="str">
        <f ca="1"/>
        <v>Unassigned</v>
      </c>
      <c r="AB127" s="21">
        <f ca="1"/>
        <v>3</v>
      </c>
      <c r="AC127" s="21" t="str">
        <f ca="1"/>
        <v>Mw does not work/heat properly</v>
      </c>
      <c r="AD127" s="21" t="str">
        <f ca="1"/>
        <v>In progress</v>
      </c>
    </row>
    <row r="128" spans="2:30" x14ac:dyDescent="0.2">
      <c r="B128" s="21" t="str">
        <f ca="1"/>
        <v>Pool - Verandah</v>
      </c>
      <c r="C128" s="21" t="str">
        <f ca="1"/>
        <v>Shawn Gove</v>
      </c>
      <c r="D128" s="21">
        <f ca="1"/>
        <v>9</v>
      </c>
      <c r="E128" s="21" t="str">
        <f ca="1"/>
        <v>Replace/Repair Canopy or sail</v>
      </c>
      <c r="F128" s="21" t="str">
        <f ca="1"/>
        <v>On hold</v>
      </c>
      <c r="Z128" s="21" t="str">
        <f ca="1"/>
        <v>4c-02-S308</v>
      </c>
      <c r="AA128" s="21" t="str">
        <f ca="1"/>
        <v>Unassigned</v>
      </c>
      <c r="AB128" s="21">
        <f ca="1"/>
        <v>3</v>
      </c>
      <c r="AC128" s="21" t="str">
        <f ca="1"/>
        <v>Other - Please see comments</v>
      </c>
      <c r="AD128" s="21" t="str">
        <f ca="1"/>
        <v>In progress</v>
      </c>
    </row>
    <row r="129" spans="2:30" x14ac:dyDescent="0.2">
      <c r="B129" s="21" t="str">
        <f ca="1"/>
        <v>5-03-0429</v>
      </c>
      <c r="C129" s="21" t="str">
        <f ca="1"/>
        <v>Miguel Gonzalez</v>
      </c>
      <c r="D129" s="21">
        <f ca="1"/>
        <v>9</v>
      </c>
      <c r="E129" s="21" t="str">
        <f ca="1"/>
        <v>Carpet is wet</v>
      </c>
      <c r="F129" s="21" t="str">
        <f ca="1"/>
        <v>On hold</v>
      </c>
      <c r="Z129" s="21" t="str">
        <f ca="1"/>
        <v>3-04-7105</v>
      </c>
      <c r="AA129" s="21" t="str">
        <f ca="1"/>
        <v>Unassigned</v>
      </c>
      <c r="AB129" s="21">
        <f ca="1"/>
        <v>3</v>
      </c>
      <c r="AC129" s="21" t="str">
        <f ca="1"/>
        <v>Vents/ducts-other problem</v>
      </c>
      <c r="AD129" s="21" t="str">
        <f ca="1"/>
        <v>In progress</v>
      </c>
    </row>
    <row r="130" spans="2:30" x14ac:dyDescent="0.2">
      <c r="B130" s="21" t="str">
        <f ca="1"/>
        <v>3-29-0323</v>
      </c>
      <c r="C130" s="21" t="str">
        <f ca="1"/>
        <v>Unassigned</v>
      </c>
      <c r="D130" s="21">
        <f ca="1"/>
        <v>8</v>
      </c>
      <c r="E130" s="21" t="str">
        <f ca="1"/>
        <v>Damaged or missing screens</v>
      </c>
      <c r="F130" s="21" t="str">
        <f ca="1"/>
        <v>In progress</v>
      </c>
      <c r="Z130" s="21" t="str">
        <f ca="1"/>
        <v>3-33-0308</v>
      </c>
      <c r="AA130" s="21" t="str">
        <f ca="1"/>
        <v>Unassigned</v>
      </c>
      <c r="AB130" s="21">
        <f ca="1"/>
        <v>3</v>
      </c>
      <c r="AC130" s="21" t="str">
        <f ca="1"/>
        <v>Other - Please see comments</v>
      </c>
      <c r="AD130" s="21" t="str">
        <f ca="1"/>
        <v>In progress</v>
      </c>
    </row>
    <row r="131" spans="2:30" x14ac:dyDescent="0.2">
      <c r="B131" s="21" t="str">
        <f ca="1"/>
        <v>4-26-0411</v>
      </c>
      <c r="C131" s="21" t="str">
        <f ca="1"/>
        <v>Dennis Arevalo</v>
      </c>
      <c r="D131" s="21">
        <f ca="1"/>
        <v>8</v>
      </c>
      <c r="E131" s="21" t="str">
        <f ca="1"/>
        <v>Washer is noisy</v>
      </c>
      <c r="F131" s="21" t="str">
        <f ca="1"/>
        <v>On hold</v>
      </c>
      <c r="Z131" s="21" t="str">
        <f ca="1"/>
        <v>3-33-0210</v>
      </c>
      <c r="AA131" s="21" t="str">
        <f ca="1"/>
        <v>Unassigned</v>
      </c>
      <c r="AB131" s="21">
        <f ca="1"/>
        <v>3</v>
      </c>
      <c r="AC131" s="21" t="str">
        <f ca="1"/>
        <v>Frig parts/access missing/brkn</v>
      </c>
      <c r="AD131" s="21" t="str">
        <f ca="1"/>
        <v>In progress</v>
      </c>
    </row>
    <row r="132" spans="2:30" x14ac:dyDescent="0.2">
      <c r="B132" s="21" t="str">
        <f ca="1"/>
        <v>4-21-0209</v>
      </c>
      <c r="C132" s="21" t="str">
        <f ca="1"/>
        <v>Dennis Arevalo</v>
      </c>
      <c r="D132" s="21">
        <f ca="1"/>
        <v>7</v>
      </c>
      <c r="E132" s="21" t="str">
        <f ca="1"/>
        <v>Chipping or peeling trim</v>
      </c>
      <c r="F132" s="21" t="str">
        <f ca="1"/>
        <v>On hold</v>
      </c>
      <c r="Z132" s="21" t="str">
        <f ca="1"/>
        <v>3-03-0210</v>
      </c>
      <c r="AA132" s="21" t="str">
        <f ca="1"/>
        <v>Minnie Reyes</v>
      </c>
      <c r="AB132" s="21">
        <f ca="1"/>
        <v>3</v>
      </c>
      <c r="AC132" s="21" t="str">
        <f ca="1"/>
        <v>Pest Control requested</v>
      </c>
      <c r="AD132" s="21" t="str">
        <f ca="1"/>
        <v>In progress</v>
      </c>
    </row>
    <row r="133" spans="2:30" x14ac:dyDescent="0.2">
      <c r="B133" s="21" t="str">
        <f ca="1"/>
        <v>4-22-0220</v>
      </c>
      <c r="C133" s="21" t="str">
        <f ca="1"/>
        <v>Barron Russell</v>
      </c>
      <c r="D133" s="21">
        <f ca="1"/>
        <v>7</v>
      </c>
      <c r="E133" s="21" t="str">
        <f ca="1"/>
        <v>Washer-no cycle/rinse/spin</v>
      </c>
      <c r="F133" s="21" t="str">
        <f ca="1"/>
        <v>On hold</v>
      </c>
      <c r="Z133" s="21" t="str">
        <f ca="1"/>
        <v>4-27-0313</v>
      </c>
      <c r="AA133" s="21" t="str">
        <f ca="1"/>
        <v>Dennis Arevalo</v>
      </c>
      <c r="AB133" s="21">
        <f ca="1"/>
        <v>3</v>
      </c>
      <c r="AC133" s="21" t="str">
        <f ca="1"/>
        <v>Outlet switch does not work</v>
      </c>
      <c r="AD133" s="21" t="str">
        <f ca="1"/>
        <v>In progress</v>
      </c>
    </row>
    <row r="134" spans="2:30" x14ac:dyDescent="0.2">
      <c r="B134" s="21" t="str">
        <f ca="1"/>
        <v>Clubhouse</v>
      </c>
      <c r="C134" s="21" t="str">
        <f ca="1"/>
        <v>Facilities Tech</v>
      </c>
      <c r="D134" s="21">
        <f ca="1"/>
        <v>7</v>
      </c>
      <c r="E134" s="21" t="str">
        <f ca="1"/>
        <v>Other - Please see comments</v>
      </c>
      <c r="F134" s="21" t="str">
        <f ca="1"/>
        <v>In progress</v>
      </c>
      <c r="Z134" s="21" t="str">
        <f ca="1"/>
        <v>3-03-0210</v>
      </c>
      <c r="AA134" s="21" t="str">
        <f ca="1"/>
        <v>Alexander Gonzalez</v>
      </c>
      <c r="AB134" s="21">
        <f ca="1"/>
        <v>3</v>
      </c>
      <c r="AC134" s="21" t="str">
        <f ca="1"/>
        <v>Other - Please see comments</v>
      </c>
      <c r="AD134" s="21" t="str">
        <f ca="1"/>
        <v>In progress</v>
      </c>
    </row>
    <row r="135" spans="2:30" x14ac:dyDescent="0.2">
      <c r="B135" s="21" t="str">
        <f ca="1"/>
        <v>3-30-0121</v>
      </c>
      <c r="C135" s="21" t="str">
        <f ca="1"/>
        <v>Victor Castaneda</v>
      </c>
      <c r="D135" s="21">
        <f ca="1"/>
        <v>7</v>
      </c>
      <c r="E135" s="21" t="str">
        <f ca="1"/>
        <v>Other - Please see comments</v>
      </c>
      <c r="F135" s="21" t="str">
        <f ca="1"/>
        <v>In progress</v>
      </c>
      <c r="Z135" s="21" t="str">
        <f ca="1"/>
        <v>3-03-0210</v>
      </c>
      <c r="AA135" s="21" t="str">
        <f ca="1"/>
        <v>Alexander Gonzalez</v>
      </c>
      <c r="AB135" s="21">
        <f ca="1"/>
        <v>3</v>
      </c>
      <c r="AC135" s="21" t="str">
        <f ca="1"/>
        <v>Other - Please see comments</v>
      </c>
      <c r="AD135" s="21" t="str">
        <f ca="1"/>
        <v>In progress</v>
      </c>
    </row>
    <row r="136" spans="2:30" x14ac:dyDescent="0.2">
      <c r="B136" s="21" t="str">
        <f ca="1"/>
        <v>5-18-0413</v>
      </c>
      <c r="C136" s="21" t="str">
        <f ca="1"/>
        <v>Yomar Gonzalez</v>
      </c>
      <c r="D136" s="21">
        <f ca="1"/>
        <v>7</v>
      </c>
      <c r="E136" s="21" t="str">
        <f ca="1"/>
        <v>Other - Please see comments</v>
      </c>
      <c r="F136" s="21" t="str">
        <f ca="1"/>
        <v>In progress</v>
      </c>
      <c r="Z136" s="21" t="str">
        <f ca="1"/>
        <v>3-03-0210</v>
      </c>
      <c r="AA136" s="21" t="str">
        <f ca="1"/>
        <v>Alexander Gonzalez</v>
      </c>
      <c r="AB136" s="21">
        <f ca="1"/>
        <v>3</v>
      </c>
      <c r="AC136" s="21" t="str">
        <f ca="1"/>
        <v>Light flickers</v>
      </c>
      <c r="AD136" s="21" t="str">
        <f ca="1"/>
        <v>In progress</v>
      </c>
    </row>
    <row r="137" spans="2:30" x14ac:dyDescent="0.2">
      <c r="B137" s="21" t="str">
        <f ca="1"/>
        <v>7-11-0206</v>
      </c>
      <c r="C137" s="21" t="str">
        <f ca="1"/>
        <v>Barron Russell</v>
      </c>
      <c r="D137" s="21">
        <f ca="1"/>
        <v>7</v>
      </c>
      <c r="E137" s="21" t="str">
        <f ca="1"/>
        <v>Other Issue</v>
      </c>
      <c r="F137" s="21" t="str">
        <f ca="1"/>
        <v>In progress</v>
      </c>
      <c r="Z137" s="21" t="str">
        <f ca="1"/>
        <v>4-21-0202</v>
      </c>
      <c r="AA137" s="21" t="str">
        <f ca="1"/>
        <v>Minnie Reyes</v>
      </c>
      <c r="AB137" s="21">
        <f ca="1"/>
        <v>3</v>
      </c>
      <c r="AC137" s="21" t="str">
        <f ca="1"/>
        <v>Pest Control requested</v>
      </c>
      <c r="AD137" s="21" t="str">
        <f ca="1"/>
        <v>In progress</v>
      </c>
    </row>
    <row r="138" spans="2:30" x14ac:dyDescent="0.2">
      <c r="B138" s="21" t="str">
        <f ca="1"/>
        <v>3-11-0106</v>
      </c>
      <c r="C138" s="21" t="str">
        <f ca="1"/>
        <v>Diego Zapata</v>
      </c>
      <c r="D138" s="21">
        <f ca="1"/>
        <v>7</v>
      </c>
      <c r="E138" s="21" t="str">
        <f ca="1"/>
        <v>Other - Please see comments</v>
      </c>
      <c r="F138" s="21" t="str">
        <f ca="1"/>
        <v>In progress</v>
      </c>
      <c r="Z138" s="21" t="str">
        <f ca="1"/>
        <v>4-27-0313</v>
      </c>
      <c r="AA138" s="21" t="str">
        <f ca="1"/>
        <v>Dennis Arevalo</v>
      </c>
      <c r="AB138" s="21">
        <f ca="1"/>
        <v>3</v>
      </c>
      <c r="AC138" s="21" t="str">
        <f ca="1"/>
        <v>Tub faucet/spout broken</v>
      </c>
      <c r="AD138" s="21" t="str">
        <f ca="1"/>
        <v>In progress</v>
      </c>
    </row>
    <row r="139" spans="2:30" x14ac:dyDescent="0.2">
      <c r="B139" s="21" t="str">
        <f ca="1"/>
        <v>8-01-3101</v>
      </c>
      <c r="C139" s="21" t="str">
        <f ca="1"/>
        <v>Miguel Gil</v>
      </c>
      <c r="D139" s="21">
        <f ca="1"/>
        <v>7</v>
      </c>
      <c r="E139" s="21" t="str">
        <f ca="1"/>
        <v>Other - Please see comments</v>
      </c>
      <c r="F139" s="21" t="str">
        <f ca="1"/>
        <v>In progress</v>
      </c>
      <c r="Z139" s="21" t="str">
        <f ca="1"/>
        <v>3-32-0203</v>
      </c>
      <c r="AA139" s="21" t="str">
        <f ca="1"/>
        <v>Victor Castaneda</v>
      </c>
      <c r="AB139" s="21">
        <f ca="1"/>
        <v>3</v>
      </c>
      <c r="AC139" s="21" t="str">
        <f ca="1"/>
        <v>Other - Please see comments</v>
      </c>
      <c r="AD139" s="21" t="str">
        <f ca="1"/>
        <v>In progress</v>
      </c>
    </row>
    <row r="140" spans="2:30" x14ac:dyDescent="0.2">
      <c r="B140" s="21" t="str">
        <f ca="1"/>
        <v>3-02-0204</v>
      </c>
      <c r="C140" s="21" t="str">
        <f ca="1"/>
        <v>Alexander Gonzalez</v>
      </c>
      <c r="D140" s="21">
        <f ca="1"/>
        <v>7</v>
      </c>
      <c r="E140" s="21" t="str">
        <f ca="1"/>
        <v>Locks or latches not working</v>
      </c>
      <c r="F140" s="21" t="str">
        <f ca="1"/>
        <v>In progress</v>
      </c>
      <c r="Z140" s="21" t="str">
        <f ca="1"/>
        <v>3-26-0202</v>
      </c>
      <c r="AA140" s="21" t="str">
        <f ca="1"/>
        <v>Unassigned</v>
      </c>
      <c r="AB140" s="21">
        <f ca="1"/>
        <v>2</v>
      </c>
      <c r="AC140" s="21" t="str">
        <f ca="1"/>
        <v>Mw shorts/smokes/sparks</v>
      </c>
      <c r="AD140" s="21" t="str">
        <f ca="1"/>
        <v>In progress</v>
      </c>
    </row>
    <row r="141" spans="2:30" x14ac:dyDescent="0.2">
      <c r="B141" s="21" t="str">
        <f ca="1"/>
        <v>3-30-0121</v>
      </c>
      <c r="C141" s="21" t="str">
        <f ca="1"/>
        <v>Victor Castaneda</v>
      </c>
      <c r="D141" s="21">
        <f ca="1"/>
        <v>7</v>
      </c>
      <c r="E141" s="21" t="str">
        <f ca="1"/>
        <v>Other - Please see comments</v>
      </c>
      <c r="F141" s="21" t="str">
        <f ca="1"/>
        <v>In progress</v>
      </c>
      <c r="Z141" s="21" t="str">
        <f ca="1"/>
        <v>4-16-5789</v>
      </c>
      <c r="AA141" s="21" t="str">
        <f ca="1"/>
        <v>Dennis Arevalo</v>
      </c>
      <c r="AB141" s="21">
        <f ca="1"/>
        <v>2</v>
      </c>
      <c r="AC141" s="21" t="str">
        <f ca="1"/>
        <v>A/C filter needs changing</v>
      </c>
      <c r="AD141" s="21" t="str">
        <f ca="1"/>
        <v>In progress</v>
      </c>
    </row>
    <row r="142" spans="2:30" x14ac:dyDescent="0.2">
      <c r="B142" s="21" t="str">
        <f ca="1"/>
        <v>4-01-5786</v>
      </c>
      <c r="C142" s="21" t="str">
        <f ca="1"/>
        <v>Unassigned</v>
      </c>
      <c r="D142" s="21">
        <f ca="1"/>
        <v>7</v>
      </c>
      <c r="E142" s="21" t="str">
        <f ca="1"/>
        <v>Tub-other problem</v>
      </c>
      <c r="F142" s="21" t="str">
        <f ca="1"/>
        <v>In progress</v>
      </c>
      <c r="Z142" s="21" t="str">
        <f ca="1"/>
        <v>4-26-0236</v>
      </c>
      <c r="AA142" s="21" t="str">
        <f ca="1"/>
        <v>Rafael Anez</v>
      </c>
      <c r="AB142" s="21">
        <f ca="1"/>
        <v>2</v>
      </c>
      <c r="AC142" s="21" t="str">
        <f ca="1"/>
        <v>Frig/freezer/ice maker leaks</v>
      </c>
      <c r="AD142" s="21" t="str">
        <f ca="1"/>
        <v>In progress</v>
      </c>
    </row>
    <row r="143" spans="2:30" x14ac:dyDescent="0.2">
      <c r="B143" s="21" t="str">
        <f ca="1"/>
        <v>5-18-0137</v>
      </c>
      <c r="C143" s="21" t="str">
        <f ca="1"/>
        <v>Unassigned</v>
      </c>
      <c r="D143" s="21">
        <f ca="1"/>
        <v>6</v>
      </c>
      <c r="E143" s="21" t="str">
        <f ca="1"/>
        <v>Other - Please see comments</v>
      </c>
      <c r="F143" s="21" t="str">
        <f ca="1"/>
        <v>In progress</v>
      </c>
      <c r="Z143" s="21" t="str">
        <f ca="1"/>
        <v>3-12-0012</v>
      </c>
      <c r="AA143" s="21" t="str">
        <f ca="1"/>
        <v>Edna Pacheco</v>
      </c>
      <c r="AB143" s="21">
        <f ca="1"/>
        <v>2</v>
      </c>
      <c r="AC143" s="21" t="str">
        <f ca="1"/>
        <v>Broken equipment</v>
      </c>
      <c r="AD143" s="21" t="str">
        <f ca="1"/>
        <v>In progress</v>
      </c>
    </row>
    <row r="144" spans="2:30" x14ac:dyDescent="0.2">
      <c r="B144" s="21" t="str">
        <f ca="1"/>
        <v>5-18-0320</v>
      </c>
      <c r="C144" s="21" t="str">
        <f ca="1"/>
        <v>Latrell Dawson</v>
      </c>
      <c r="D144" s="21">
        <f ca="1"/>
        <v>6</v>
      </c>
      <c r="E144" s="21" t="str">
        <f ca="1"/>
        <v>Frig/freezer/ice maker leaks</v>
      </c>
      <c r="F144" s="21" t="str">
        <f ca="1"/>
        <v>In progress</v>
      </c>
      <c r="Z144" s="21" t="str">
        <f ca="1"/>
        <v>4-26-0236</v>
      </c>
      <c r="AA144" s="21" t="str">
        <f ca="1"/>
        <v>Rafael Anez</v>
      </c>
      <c r="AB144" s="21">
        <f ca="1"/>
        <v>2</v>
      </c>
      <c r="AC144" s="21" t="str">
        <f ca="1"/>
        <v>Outlet does not work</v>
      </c>
      <c r="AD144" s="21" t="str">
        <f ca="1"/>
        <v>In progress</v>
      </c>
    </row>
    <row r="145" spans="2:30" x14ac:dyDescent="0.2">
      <c r="B145" s="21" t="str">
        <f ca="1"/>
        <v>3-08-0108</v>
      </c>
      <c r="C145" s="21" t="str">
        <f ca="1"/>
        <v>Unassigned</v>
      </c>
      <c r="D145" s="21">
        <f ca="1"/>
        <v>6</v>
      </c>
      <c r="E145" s="21" t="str">
        <f ca="1"/>
        <v>Other - Please see comments</v>
      </c>
      <c r="F145" s="21" t="str">
        <f ca="1"/>
        <v>In progress</v>
      </c>
      <c r="Z145" s="21" t="str">
        <f ca="1"/>
        <v>4-21-0205</v>
      </c>
      <c r="AA145" s="21" t="str">
        <f ca="1"/>
        <v>Unassigned</v>
      </c>
      <c r="AB145" s="21">
        <f ca="1"/>
        <v>2</v>
      </c>
      <c r="AC145" s="21" t="str">
        <f ca="1"/>
        <v>Other - Please see comments</v>
      </c>
      <c r="AD145" s="21" t="str">
        <f ca="1"/>
        <v>In progress</v>
      </c>
    </row>
    <row r="146" spans="2:30" x14ac:dyDescent="0.2">
      <c r="B146" s="21" t="str">
        <f ca="1"/>
        <v>7-11-0508</v>
      </c>
      <c r="C146" s="21" t="str">
        <f ca="1"/>
        <v>Unassigned</v>
      </c>
      <c r="D146" s="21">
        <f ca="1"/>
        <v>6</v>
      </c>
      <c r="E146" s="21" t="str">
        <f ca="1"/>
        <v>Make Ready</v>
      </c>
      <c r="F146" s="21" t="str">
        <f ca="1"/>
        <v>In progress</v>
      </c>
      <c r="Z146" s="21" t="str">
        <f ca="1"/>
        <v>4-06-5795</v>
      </c>
      <c r="AA146" s="21" t="str">
        <f ca="1"/>
        <v>Unassigned</v>
      </c>
      <c r="AB146" s="21">
        <f ca="1"/>
        <v>2</v>
      </c>
      <c r="AC146" s="21" t="str">
        <f ca="1"/>
        <v>Pest Control requested</v>
      </c>
      <c r="AD146" s="21" t="str">
        <f ca="1"/>
        <v>In progress</v>
      </c>
    </row>
    <row r="147" spans="2:30" x14ac:dyDescent="0.2">
      <c r="B147" s="21" t="str">
        <f ca="1"/>
        <v>3-30-0121</v>
      </c>
      <c r="C147" s="21" t="str">
        <f ca="1"/>
        <v>Victor Castaneda</v>
      </c>
      <c r="D147" s="21">
        <f ca="1"/>
        <v>6</v>
      </c>
      <c r="E147" s="21" t="str">
        <f ca="1"/>
        <v>Mw light does not work</v>
      </c>
      <c r="F147" s="21" t="str">
        <f ca="1"/>
        <v>In progress</v>
      </c>
      <c r="Z147" s="21" t="str">
        <f ca="1"/>
        <v>3-30-0121</v>
      </c>
      <c r="AA147" s="21" t="str">
        <f ca="1"/>
        <v>Unassigned</v>
      </c>
      <c r="AB147" s="21">
        <f ca="1"/>
        <v>2</v>
      </c>
      <c r="AC147" s="21" t="str">
        <f ca="1"/>
        <v>Other - Please see comments</v>
      </c>
      <c r="AD147" s="21" t="str">
        <f ca="1"/>
        <v>In progress</v>
      </c>
    </row>
    <row r="148" spans="2:30" x14ac:dyDescent="0.2">
      <c r="B148" s="21" t="str">
        <f ca="1"/>
        <v>4-26-0102</v>
      </c>
      <c r="C148" s="21" t="str">
        <f ca="1"/>
        <v>Latrell Dawson</v>
      </c>
      <c r="D148" s="21">
        <f ca="1"/>
        <v>6</v>
      </c>
      <c r="E148" s="21" t="str">
        <f ca="1"/>
        <v>Washer will not fill/drain</v>
      </c>
      <c r="F148" s="21" t="str">
        <f ca="1"/>
        <v>On hold</v>
      </c>
      <c r="Z148" s="21" t="str">
        <f ca="1"/>
        <v>4c-01-W309</v>
      </c>
      <c r="AA148" s="21" t="str">
        <f ca="1"/>
        <v>Unassigned</v>
      </c>
      <c r="AB148" s="21">
        <f ca="1"/>
        <v>2</v>
      </c>
      <c r="AC148" s="21" t="str">
        <f ca="1"/>
        <v>Other - Please see comments</v>
      </c>
      <c r="AD148" s="21" t="str">
        <f ca="1"/>
        <v>In progress</v>
      </c>
    </row>
    <row r="149" spans="2:30" x14ac:dyDescent="0.2">
      <c r="B149" s="21" t="str">
        <f ca="1"/>
        <v>3-27-0202</v>
      </c>
      <c r="C149" s="21" t="str">
        <f ca="1"/>
        <v>Unassigned</v>
      </c>
      <c r="D149" s="21">
        <f ca="1"/>
        <v>5</v>
      </c>
      <c r="E149" s="21" t="str">
        <f ca="1"/>
        <v>Drafts or poor air circulation</v>
      </c>
      <c r="F149" s="21" t="str">
        <f ca="1"/>
        <v>In progress</v>
      </c>
      <c r="Z149" s="21" t="str">
        <f ca="1"/>
        <v>3-32-0308</v>
      </c>
      <c r="AA149" s="21" t="str">
        <f ca="1"/>
        <v>Unassigned</v>
      </c>
      <c r="AB149" s="21">
        <f ca="1"/>
        <v>2</v>
      </c>
      <c r="AC149" s="21" t="str">
        <f ca="1"/>
        <v>DW door does not work/lock</v>
      </c>
      <c r="AD149" s="21" t="str">
        <f ca="1"/>
        <v>In progress</v>
      </c>
    </row>
    <row r="150" spans="2:30" x14ac:dyDescent="0.2">
      <c r="B150" s="21" t="str">
        <f ca="1"/>
        <v>3-01-0206</v>
      </c>
      <c r="C150" s="21" t="str">
        <f ca="1"/>
        <v>Unassigned</v>
      </c>
      <c r="D150" s="21">
        <f ca="1"/>
        <v>5</v>
      </c>
      <c r="E150" s="21" t="str">
        <f ca="1"/>
        <v>Patio door gaps or is drafty</v>
      </c>
      <c r="F150" s="21" t="str">
        <f ca="1"/>
        <v>In progress</v>
      </c>
      <c r="Z150" s="21" t="str">
        <f ca="1"/>
        <v>4-22-0308</v>
      </c>
      <c r="AA150" s="21" t="str">
        <f ca="1"/>
        <v>Barron Russell</v>
      </c>
      <c r="AB150" s="21">
        <f ca="1"/>
        <v>2</v>
      </c>
      <c r="AC150" s="21" t="str">
        <f ca="1"/>
        <v>Mw door/handle broken/damaged</v>
      </c>
      <c r="AD150" s="21" t="str">
        <f ca="1"/>
        <v>On hold</v>
      </c>
    </row>
    <row r="151" spans="2:30" x14ac:dyDescent="0.2">
      <c r="B151" s="21" t="str">
        <f ca="1"/>
        <v>8-01-3009</v>
      </c>
      <c r="C151" s="21" t="str">
        <f ca="1"/>
        <v>Minnie Reyes</v>
      </c>
      <c r="D151" s="21">
        <f ca="1"/>
        <v>4</v>
      </c>
      <c r="E151" s="21" t="str">
        <f ca="1"/>
        <v>Pest Control requested</v>
      </c>
      <c r="F151" s="21" t="str">
        <f ca="1"/>
        <v>In progress</v>
      </c>
      <c r="Z151" s="21" t="str">
        <f ca="1"/>
        <v>3-02-0304</v>
      </c>
      <c r="AA151" s="21" t="str">
        <f ca="1"/>
        <v>Alexander Gonzalez</v>
      </c>
      <c r="AB151" s="21">
        <f ca="1"/>
        <v>2</v>
      </c>
      <c r="AC151" s="21" t="str">
        <f ca="1"/>
        <v>A/C filter needs changing</v>
      </c>
      <c r="AD151" s="21" t="str">
        <f ca="1"/>
        <v>In progress</v>
      </c>
    </row>
    <row r="152" spans="2:30" x14ac:dyDescent="0.2">
      <c r="B152" s="21" t="str">
        <f ca="1"/>
        <v>5-17-0117</v>
      </c>
      <c r="C152" s="21" t="str">
        <f ca="1"/>
        <v>Latrell Dawson</v>
      </c>
      <c r="D152" s="21">
        <f ca="1"/>
        <v>4</v>
      </c>
      <c r="E152" s="21" t="str">
        <f ca="1"/>
        <v>Dryer does not work properly</v>
      </c>
      <c r="F152" s="21" t="str">
        <f ca="1"/>
        <v>In progress</v>
      </c>
      <c r="Z152" s="21" t="str">
        <f ca="1"/>
        <v>3-02-0202</v>
      </c>
      <c r="AA152" s="21" t="str">
        <f ca="1"/>
        <v>Alexander Gonzalez</v>
      </c>
      <c r="AB152" s="21">
        <f ca="1"/>
        <v>2</v>
      </c>
      <c r="AC152" s="21" t="str">
        <f ca="1"/>
        <v>Need key, make duplicate</v>
      </c>
      <c r="AD152" s="21" t="str">
        <f ca="1"/>
        <v>In progress</v>
      </c>
    </row>
    <row r="153" spans="2:30" x14ac:dyDescent="0.2">
      <c r="B153" s="21" t="str">
        <f ca="1"/>
        <v>5-18-0102</v>
      </c>
      <c r="C153" s="21" t="str">
        <f ca="1"/>
        <v>Latrell Dawson</v>
      </c>
      <c r="D153" s="21">
        <f ca="1"/>
        <v>4</v>
      </c>
      <c r="E153" s="21" t="str">
        <f ca="1"/>
        <v>Ceiling fan is noisy</v>
      </c>
      <c r="F153" s="21" t="str">
        <f ca="1"/>
        <v>In progress</v>
      </c>
      <c r="Z153" s="21" t="str">
        <f ca="1"/>
        <v>3-09-0301</v>
      </c>
      <c r="AA153" s="21" t="str">
        <f ca="1"/>
        <v>Alexander Gonzalez</v>
      </c>
      <c r="AB153" s="21">
        <f ca="1"/>
        <v>2</v>
      </c>
      <c r="AC153" s="21" t="str">
        <f ca="1"/>
        <v>Lock-other problem</v>
      </c>
      <c r="AD153" s="21" t="str">
        <f ca="1"/>
        <v>In progress</v>
      </c>
    </row>
    <row r="154" spans="2:30" x14ac:dyDescent="0.2">
      <c r="B154" s="21" t="str">
        <f ca="1"/>
        <v>7-08-0308</v>
      </c>
      <c r="C154" s="21" t="str">
        <f ca="1"/>
        <v>Barron Russell</v>
      </c>
      <c r="D154" s="21">
        <f ca="1"/>
        <v>4</v>
      </c>
      <c r="E154" s="21" t="str">
        <f ca="1"/>
        <v>Other - Please see comments</v>
      </c>
      <c r="F154" s="21" t="str">
        <f ca="1"/>
        <v>In progress</v>
      </c>
      <c r="Z154" s="21" t="str">
        <f ca="1"/>
        <v>3-02-0204</v>
      </c>
      <c r="AA154" s="21" t="str">
        <f ca="1"/>
        <v>Alexander Gonzalez</v>
      </c>
      <c r="AB154" s="21">
        <f ca="1"/>
        <v>2</v>
      </c>
      <c r="AC154" s="21" t="str">
        <f ca="1"/>
        <v>Other - Please see comments</v>
      </c>
      <c r="AD154" s="21" t="str">
        <f ca="1"/>
        <v>In progress</v>
      </c>
    </row>
    <row r="155" spans="2:30" x14ac:dyDescent="0.2">
      <c r="B155" s="21" t="str">
        <f ca="1"/>
        <v>3-31-0212</v>
      </c>
      <c r="C155" s="21" t="str">
        <f ca="1"/>
        <v>Victor Castaneda</v>
      </c>
      <c r="D155" s="21">
        <f ca="1"/>
        <v>4</v>
      </c>
      <c r="E155" s="21" t="str">
        <f ca="1"/>
        <v>Light flickers</v>
      </c>
      <c r="F155" s="21" t="str">
        <f ca="1"/>
        <v>In progress</v>
      </c>
      <c r="Z155" s="21" t="str">
        <f ca="1"/>
        <v>4-26-0236</v>
      </c>
      <c r="AA155" s="21" t="str">
        <f ca="1"/>
        <v>Chuck Griffis</v>
      </c>
      <c r="AB155" s="21">
        <f ca="1"/>
        <v>2</v>
      </c>
      <c r="AC155" s="21" t="str">
        <f ca="1"/>
        <v>Pest Control requested</v>
      </c>
      <c r="AD155" s="21" t="str">
        <f ca="1"/>
        <v>In progress</v>
      </c>
    </row>
    <row r="156" spans="2:30" x14ac:dyDescent="0.2">
      <c r="B156" s="21" t="str">
        <f ca="1"/>
        <v>5-01-0213</v>
      </c>
      <c r="C156" s="21" t="str">
        <f ca="1"/>
        <v>Yomar Gonzalez</v>
      </c>
      <c r="D156" s="21">
        <f ca="1"/>
        <v>4</v>
      </c>
      <c r="E156" s="21" t="str">
        <f ca="1"/>
        <v>Ceiling fan is noisy</v>
      </c>
      <c r="F156" s="21" t="str">
        <f ca="1"/>
        <v>In progress</v>
      </c>
      <c r="Z156" s="21" t="str">
        <f ca="1"/>
        <v>4-21-0205</v>
      </c>
      <c r="AA156" s="21" t="str">
        <f ca="1"/>
        <v>Unassigned</v>
      </c>
      <c r="AB156" s="21">
        <f ca="1"/>
        <v>2</v>
      </c>
      <c r="AC156" s="21" t="str">
        <f ca="1"/>
        <v>Fading or discoloration</v>
      </c>
      <c r="AD156" s="21" t="str">
        <f ca="1"/>
        <v>In progress</v>
      </c>
    </row>
    <row r="157" spans="2:30" x14ac:dyDescent="0.2">
      <c r="B157" s="21" t="str">
        <f ca="1"/>
        <v>7-04-0209</v>
      </c>
      <c r="C157" s="21" t="str">
        <f ca="1"/>
        <v>Yomar Gonzalez</v>
      </c>
      <c r="D157" s="21">
        <f ca="1"/>
        <v>4</v>
      </c>
      <c r="E157" s="21" t="str">
        <f ca="1"/>
        <v>Int door hinge problems</v>
      </c>
      <c r="F157" s="21" t="str">
        <f ca="1"/>
        <v>On hold</v>
      </c>
      <c r="Z157" s="21" t="str">
        <f ca="1"/>
        <v>3-09-0301</v>
      </c>
      <c r="AA157" s="21" t="str">
        <f ca="1"/>
        <v>Unassigned</v>
      </c>
      <c r="AB157" s="21">
        <f ca="1"/>
        <v>2</v>
      </c>
      <c r="AC157" s="21" t="str">
        <f ca="1"/>
        <v>Dryer takes too long to dry</v>
      </c>
      <c r="AD157" s="21" t="str">
        <f ca="1"/>
        <v>In progress</v>
      </c>
    </row>
    <row r="158" spans="2:30" x14ac:dyDescent="0.2">
      <c r="B158" s="21" t="str">
        <f ca="1"/>
        <v>7-08-0107</v>
      </c>
      <c r="C158" s="21" t="str">
        <f ca="1"/>
        <v>Barron Russell</v>
      </c>
      <c r="D158" s="21">
        <f ca="1"/>
        <v>3</v>
      </c>
      <c r="E158" s="21" t="str">
        <f ca="1"/>
        <v>Other - Please see comments</v>
      </c>
      <c r="F158" s="21" t="str">
        <f ca="1"/>
        <v>In progress</v>
      </c>
      <c r="Z158" s="21" t="str">
        <f ca="1"/>
        <v>3-24-0203</v>
      </c>
      <c r="AA158" s="21" t="str">
        <f ca="1"/>
        <v>Alexander Gonzalez</v>
      </c>
      <c r="AB158" s="21">
        <f ca="1"/>
        <v>1</v>
      </c>
      <c r="AC158" s="21" t="str">
        <f ca="1"/>
        <v>Other - Please see comments</v>
      </c>
      <c r="AD158" s="21" t="str">
        <f ca="1"/>
        <v>In progress</v>
      </c>
    </row>
    <row r="159" spans="2:30" x14ac:dyDescent="0.2">
      <c r="B159" s="21" t="str">
        <f ca="1"/>
        <v>5-02-0313</v>
      </c>
      <c r="C159" s="21" t="str">
        <f ca="1"/>
        <v>Yomar Gonzalez</v>
      </c>
      <c r="D159" s="21">
        <f ca="1"/>
        <v>3</v>
      </c>
      <c r="E159" s="21" t="str">
        <f ca="1"/>
        <v>Heater-other problem</v>
      </c>
      <c r="F159" s="21" t="str">
        <f ca="1"/>
        <v>On hold</v>
      </c>
      <c r="Z159" s="21" t="str">
        <f ca="1"/>
        <v>3-18-0104</v>
      </c>
      <c r="AA159" s="21" t="str">
        <f ca="1"/>
        <v>Unassigned</v>
      </c>
      <c r="AB159" s="21">
        <f ca="1"/>
        <v>1</v>
      </c>
      <c r="AC159" s="21" t="str">
        <f ca="1"/>
        <v>Other - Please see comments</v>
      </c>
      <c r="AD159" s="21" t="str">
        <f ca="1"/>
        <v>In progress</v>
      </c>
    </row>
    <row r="160" spans="2:30" x14ac:dyDescent="0.2">
      <c r="B160" s="21" t="str">
        <f ca="1"/>
        <v>5-01-0218</v>
      </c>
      <c r="C160" s="21" t="str">
        <f ca="1"/>
        <v>Yomar Gonzalez</v>
      </c>
      <c r="D160" s="21">
        <f ca="1"/>
        <v>3</v>
      </c>
      <c r="E160" s="21" t="str">
        <f ca="1"/>
        <v>Other - Please see comments</v>
      </c>
      <c r="F160" s="21" t="str">
        <f ca="1"/>
        <v>In progress</v>
      </c>
      <c r="Z160" s="21" t="str">
        <f ca="1"/>
        <v>4-23-0104</v>
      </c>
      <c r="AA160" s="21" t="str">
        <f ca="1"/>
        <v>Unassigned</v>
      </c>
      <c r="AB160" s="21">
        <f ca="1"/>
        <v>1</v>
      </c>
      <c r="AC160" s="21" t="str">
        <f ca="1"/>
        <v>Pest Control requested</v>
      </c>
      <c r="AD160" s="21" t="str">
        <f ca="1"/>
        <v>In progress</v>
      </c>
    </row>
    <row r="161" spans="2:30" x14ac:dyDescent="0.2">
      <c r="B161" s="21" t="str">
        <f ca="1"/>
        <v>5-18-0225</v>
      </c>
      <c r="C161" s="21" t="str">
        <f ca="1"/>
        <v>Yomar Gonzalez</v>
      </c>
      <c r="D161" s="21">
        <f ca="1"/>
        <v>3</v>
      </c>
      <c r="E161" s="21" t="str">
        <f ca="1"/>
        <v>Other - Please see comments</v>
      </c>
      <c r="F161" s="21" t="str">
        <f ca="1"/>
        <v>In progress</v>
      </c>
      <c r="Z161" s="21" t="str">
        <f ca="1"/>
        <v>4-01-5790</v>
      </c>
      <c r="AA161" s="21" t="str">
        <f ca="1"/>
        <v>Unassigned</v>
      </c>
      <c r="AB161" s="21">
        <f ca="1"/>
        <v>1</v>
      </c>
      <c r="AC161" s="21" t="str">
        <f ca="1"/>
        <v>Shower clogged</v>
      </c>
      <c r="AD161" s="21" t="str">
        <f ca="1"/>
        <v>In progress</v>
      </c>
    </row>
    <row r="162" spans="2:30" x14ac:dyDescent="0.2">
      <c r="B162" s="21" t="str">
        <f ca="1"/>
        <v>4-21-0202</v>
      </c>
      <c r="C162" s="21" t="str">
        <f ca="1"/>
        <v>Minnie Reyes</v>
      </c>
      <c r="D162" s="21">
        <f ca="1"/>
        <v>3</v>
      </c>
      <c r="E162" s="21" t="str">
        <f ca="1"/>
        <v>Pest Control requested</v>
      </c>
      <c r="F162" s="21" t="str">
        <f ca="1"/>
        <v>In progress</v>
      </c>
      <c r="Z162" s="21" t="str">
        <f ca="1"/>
        <v>3-16-0115</v>
      </c>
      <c r="AA162" s="21" t="str">
        <f ca="1"/>
        <v>Alexander Gonzalez</v>
      </c>
      <c r="AB162" s="21">
        <f ca="1"/>
        <v>1</v>
      </c>
      <c r="AC162" s="21" t="str">
        <f ca="1"/>
        <v>Other - Please see comments</v>
      </c>
      <c r="AD162" s="21" t="str">
        <f ca="1"/>
        <v>In progress</v>
      </c>
    </row>
    <row r="163" spans="2:30" x14ac:dyDescent="0.2">
      <c r="B163" s="21" t="str">
        <f ca="1"/>
        <v>3-04-7105</v>
      </c>
      <c r="C163" s="21" t="str">
        <f ca="1"/>
        <v>Unassigned</v>
      </c>
      <c r="D163" s="21">
        <f ca="1"/>
        <v>3</v>
      </c>
      <c r="E163" s="21" t="str">
        <f ca="1"/>
        <v>Vents/ducts-other problem</v>
      </c>
      <c r="F163" s="21" t="str">
        <f ca="1"/>
        <v>In progress</v>
      </c>
      <c r="Z163" s="21" t="str">
        <f ca="1"/>
        <v>3-23-0302</v>
      </c>
      <c r="AA163" s="21" t="str">
        <f ca="1"/>
        <v>Victor Castaneda</v>
      </c>
      <c r="AB163" s="21">
        <f ca="1"/>
        <v>1</v>
      </c>
      <c r="AC163" s="21" t="str">
        <f ca="1"/>
        <v>Other - Please see comments</v>
      </c>
      <c r="AD163" s="21" t="str">
        <f ca="1"/>
        <v>In progress</v>
      </c>
    </row>
    <row r="164" spans="2:30" x14ac:dyDescent="0.2">
      <c r="B164" s="21" t="str">
        <f ca="1"/>
        <v>4c-02-S308</v>
      </c>
      <c r="C164" s="21" t="str">
        <f ca="1"/>
        <v>Unassigned</v>
      </c>
      <c r="D164" s="21">
        <f ca="1"/>
        <v>3</v>
      </c>
      <c r="E164" s="21" t="str">
        <f ca="1"/>
        <v>Other - Please see comments</v>
      </c>
      <c r="F164" s="21" t="str">
        <f ca="1"/>
        <v>In progress</v>
      </c>
      <c r="Z164" s="21" t="str">
        <f ca="1"/>
        <v>3-09-0205</v>
      </c>
      <c r="AA164" s="21" t="str">
        <f ca="1"/>
        <v>Unassigned</v>
      </c>
      <c r="AB164" s="21">
        <f ca="1"/>
        <v>1</v>
      </c>
      <c r="AC164" s="21" t="str">
        <f ca="1"/>
        <v>Thermostat-other problem</v>
      </c>
      <c r="AD164" s="21" t="str">
        <f ca="1"/>
        <v>In progress</v>
      </c>
    </row>
    <row r="165" spans="2:30" x14ac:dyDescent="0.2">
      <c r="B165" s="21" t="str">
        <f ca="1"/>
        <v>7-02-0313</v>
      </c>
      <c r="C165" s="21" t="str">
        <f ca="1"/>
        <v>Unassigned</v>
      </c>
      <c r="D165" s="21">
        <f ca="1"/>
        <v>3</v>
      </c>
      <c r="E165" s="21" t="str">
        <f ca="1"/>
        <v>Washer will not fill/drain</v>
      </c>
      <c r="F165" s="21" t="str">
        <f ca="1"/>
        <v>In progress</v>
      </c>
      <c r="Z165" s="21" t="str">
        <f ca="1"/>
        <v>3-18-0301</v>
      </c>
      <c r="AA165" s="21" t="str">
        <f ca="1"/>
        <v>Alexander Gonzalez</v>
      </c>
      <c r="AB165" s="21">
        <f ca="1"/>
        <v>1</v>
      </c>
      <c r="AC165" s="21" t="str">
        <f ca="1"/>
        <v>Toilet runs continually</v>
      </c>
      <c r="AD165" s="21" t="str">
        <f ca="1"/>
        <v>In progress</v>
      </c>
    </row>
    <row r="166" spans="2:30" x14ac:dyDescent="0.2">
      <c r="B166" s="21" t="str">
        <f ca="1"/>
        <v>7-11-0405</v>
      </c>
      <c r="C166" s="21" t="str">
        <f ca="1"/>
        <v>Antonio Sherfield</v>
      </c>
      <c r="D166" s="21">
        <f ca="1"/>
        <v>3</v>
      </c>
      <c r="E166" s="21" t="str">
        <f ca="1"/>
        <v>Tub-other problem</v>
      </c>
      <c r="F166" s="21" t="str">
        <f ca="1"/>
        <v>In progress</v>
      </c>
      <c r="Z166" s="21" t="str">
        <f ca="1"/>
        <v>4-25-0315</v>
      </c>
      <c r="AA166" s="21" t="str">
        <f ca="1"/>
        <v>Unassigned</v>
      </c>
      <c r="AB166" s="21">
        <f ca="1"/>
        <v>1</v>
      </c>
      <c r="AC166" s="21" t="str">
        <f ca="1"/>
        <v>Other Issue</v>
      </c>
      <c r="AD166" s="21" t="str">
        <f ca="1"/>
        <v>In progress</v>
      </c>
    </row>
    <row r="167" spans="2:30" x14ac:dyDescent="0.2">
      <c r="B167" s="21" t="str">
        <f ca="1"/>
        <v>3-33-0308</v>
      </c>
      <c r="C167" s="21" t="str">
        <f ca="1"/>
        <v>Unassigned</v>
      </c>
      <c r="D167" s="21">
        <f ca="1"/>
        <v>3</v>
      </c>
      <c r="E167" s="21" t="str">
        <f ca="1"/>
        <v>Other - Please see comments</v>
      </c>
      <c r="F167" s="21" t="str">
        <f ca="1"/>
        <v>In progress</v>
      </c>
      <c r="Z167" s="21" t="str">
        <f ca="1"/>
        <v>3-27-0301</v>
      </c>
      <c r="AA167" s="21" t="str">
        <f ca="1"/>
        <v>Unassigned</v>
      </c>
      <c r="AB167" s="21">
        <f ca="1"/>
        <v>1</v>
      </c>
      <c r="AC167" s="21" t="str">
        <f ca="1"/>
        <v>Other - Please see comments</v>
      </c>
      <c r="AD167" s="21" t="str">
        <f ca="1"/>
        <v>In progress</v>
      </c>
    </row>
    <row r="168" spans="2:30" x14ac:dyDescent="0.2">
      <c r="B168" s="21" t="str">
        <f ca="1"/>
        <v>3-33-0210</v>
      </c>
      <c r="C168" s="21" t="str">
        <f ca="1"/>
        <v>Unassigned</v>
      </c>
      <c r="D168" s="21">
        <f ca="1"/>
        <v>3</v>
      </c>
      <c r="E168" s="21" t="str">
        <f ca="1"/>
        <v>Frig parts/access missing/brkn</v>
      </c>
      <c r="F168" s="21" t="str">
        <f ca="1"/>
        <v>In progress</v>
      </c>
      <c r="Z168" s="21" t="str">
        <f ca="1"/>
        <v>4-22-0224</v>
      </c>
      <c r="AA168" s="21" t="str">
        <f ca="1"/>
        <v>Unassigned</v>
      </c>
      <c r="AB168" s="21">
        <f ca="1"/>
        <v>1</v>
      </c>
      <c r="AC168" s="21" t="str">
        <f ca="1"/>
        <v>Other - Please see comments</v>
      </c>
      <c r="AD168" s="21" t="str">
        <f ca="1"/>
        <v>In progress</v>
      </c>
    </row>
    <row r="169" spans="2:30" x14ac:dyDescent="0.2">
      <c r="B169" s="21" t="str">
        <f ca="1"/>
        <v>7-03-0113</v>
      </c>
      <c r="C169" s="21" t="str">
        <f ca="1"/>
        <v>Unassigned</v>
      </c>
      <c r="D169" s="21">
        <f ca="1"/>
        <v>3</v>
      </c>
      <c r="E169" s="21" t="str">
        <f ca="1"/>
        <v>Drafts or poor air circulation</v>
      </c>
      <c r="F169" s="21" t="str">
        <f ca="1"/>
        <v>In progress</v>
      </c>
      <c r="Z169" s="21" t="str">
        <f ca="1"/>
        <v>4-27-0305</v>
      </c>
      <c r="AA169" s="21" t="str">
        <f ca="1"/>
        <v>Unassigned</v>
      </c>
      <c r="AB169" s="21">
        <f ca="1"/>
        <v>1</v>
      </c>
      <c r="AC169" s="21" t="str">
        <f ca="1"/>
        <v>Mw door/handle broken/damaged</v>
      </c>
      <c r="AD169" s="21" t="str">
        <f ca="1"/>
        <v>In progress</v>
      </c>
    </row>
    <row r="170" spans="2:30" x14ac:dyDescent="0.2">
      <c r="B170" s="21" t="str">
        <f ca="1"/>
        <v>3-03-0210</v>
      </c>
      <c r="C170" s="21" t="str">
        <f ca="1"/>
        <v>Alexander Gonzalez</v>
      </c>
      <c r="D170" s="21">
        <f ca="1"/>
        <v>3</v>
      </c>
      <c r="E170" s="21" t="str">
        <f ca="1"/>
        <v>Light flickers</v>
      </c>
      <c r="F170" s="21" t="str">
        <f ca="1"/>
        <v>In progress</v>
      </c>
      <c r="Z170" s="21" t="str">
        <f ca="1"/>
        <v>4-21-0205</v>
      </c>
      <c r="AA170" s="21" t="str">
        <f ca="1"/>
        <v>Unassigned</v>
      </c>
      <c r="AB170" s="21">
        <f ca="1"/>
        <v>1</v>
      </c>
      <c r="AC170" s="21" t="str">
        <f ca="1"/>
        <v>Tub-other problem</v>
      </c>
      <c r="AD170" s="21" t="str">
        <f ca="1"/>
        <v>In progress</v>
      </c>
    </row>
    <row r="171" spans="2:30" x14ac:dyDescent="0.2">
      <c r="B171" s="21" t="str">
        <f ca="1"/>
        <v>4-27-0313</v>
      </c>
      <c r="C171" s="21" t="str">
        <f ca="1"/>
        <v>Dennis Arevalo</v>
      </c>
      <c r="D171" s="21">
        <f ca="1"/>
        <v>3</v>
      </c>
      <c r="E171" s="21" t="str">
        <f ca="1"/>
        <v>Tub faucet/spout broken</v>
      </c>
      <c r="F171" s="21" t="str">
        <f ca="1"/>
        <v>In progress</v>
      </c>
      <c r="Z171" s="21" t="str">
        <f ca="1"/>
        <v>3-31-0205</v>
      </c>
      <c r="AA171" s="21" t="str">
        <f ca="1"/>
        <v>Unassigned</v>
      </c>
      <c r="AB171" s="21">
        <f ca="1"/>
        <v>1</v>
      </c>
      <c r="AC171" s="21" t="str">
        <f ca="1"/>
        <v>Patio door gaps or is drafty</v>
      </c>
      <c r="AD171" s="21" t="str">
        <f ca="1"/>
        <v>In progress</v>
      </c>
    </row>
    <row r="172" spans="2:30" x14ac:dyDescent="0.2">
      <c r="B172" s="21" t="str">
        <f ca="1"/>
        <v>4-27-0313</v>
      </c>
      <c r="C172" s="21" t="str">
        <f ca="1"/>
        <v>Dennis Arevalo</v>
      </c>
      <c r="D172" s="21">
        <f ca="1"/>
        <v>3</v>
      </c>
      <c r="E172" s="21" t="str">
        <f ca="1"/>
        <v>Outlet switch does not work</v>
      </c>
      <c r="F172" s="21" t="str">
        <f ca="1"/>
        <v>In progress</v>
      </c>
    </row>
    <row r="173" spans="2:30" x14ac:dyDescent="0.2">
      <c r="B173" s="21" t="str">
        <f ca="1"/>
        <v>3-32-0203</v>
      </c>
      <c r="C173" s="21" t="str">
        <f ca="1"/>
        <v>Victor Castaneda</v>
      </c>
      <c r="D173" s="21">
        <f ca="1"/>
        <v>3</v>
      </c>
      <c r="E173" s="21" t="str">
        <f ca="1"/>
        <v>Other - Please see comments</v>
      </c>
      <c r="F173" s="21" t="str">
        <f ca="1"/>
        <v>In progress</v>
      </c>
    </row>
    <row r="174" spans="2:30" x14ac:dyDescent="0.2">
      <c r="B174" s="21" t="str">
        <f ca="1"/>
        <v>3-30-0121</v>
      </c>
      <c r="C174" s="21" t="str">
        <f ca="1"/>
        <v>Victor Castaneda</v>
      </c>
      <c r="D174" s="21">
        <f ca="1"/>
        <v>3</v>
      </c>
      <c r="E174" s="21" t="str">
        <f ca="1"/>
        <v>Faucet water pressure problems</v>
      </c>
      <c r="F174" s="21" t="str">
        <f ca="1"/>
        <v>In progress</v>
      </c>
    </row>
    <row r="175" spans="2:30" x14ac:dyDescent="0.2">
      <c r="B175" s="21" t="str">
        <f ca="1"/>
        <v>3-03-0210</v>
      </c>
      <c r="C175" s="21" t="str">
        <f ca="1"/>
        <v>Minnie Reyes</v>
      </c>
      <c r="D175" s="21">
        <f ca="1"/>
        <v>3</v>
      </c>
      <c r="E175" s="21" t="str">
        <f ca="1"/>
        <v>Pest Control requested</v>
      </c>
      <c r="F175" s="21" t="str">
        <f ca="1"/>
        <v>In progress</v>
      </c>
    </row>
    <row r="176" spans="2:30" x14ac:dyDescent="0.2">
      <c r="B176" s="21" t="str">
        <f ca="1"/>
        <v>8-01-1113</v>
      </c>
      <c r="C176" s="21" t="str">
        <f ca="1"/>
        <v>Minnie Reyes</v>
      </c>
      <c r="D176" s="21">
        <f ca="1"/>
        <v>3</v>
      </c>
      <c r="E176" s="21" t="str">
        <f ca="1"/>
        <v>Pest Control requested</v>
      </c>
      <c r="F176" s="21" t="str">
        <f ca="1"/>
        <v>In progress</v>
      </c>
    </row>
    <row r="177" spans="2:6" x14ac:dyDescent="0.2">
      <c r="B177" s="21" t="str">
        <f ca="1"/>
        <v>3-03-0210</v>
      </c>
      <c r="C177" s="21" t="str">
        <f ca="1"/>
        <v>Alexander Gonzalez</v>
      </c>
      <c r="D177" s="21">
        <f ca="1"/>
        <v>3</v>
      </c>
      <c r="E177" s="21" t="str">
        <f ca="1"/>
        <v>Other - Please see comments</v>
      </c>
      <c r="F177" s="21" t="str">
        <f ca="1"/>
        <v>In progress</v>
      </c>
    </row>
    <row r="178" spans="2:6" x14ac:dyDescent="0.2">
      <c r="B178" s="21" t="str">
        <f ca="1"/>
        <v>4-12-7089</v>
      </c>
      <c r="C178" s="21" t="str">
        <f ca="1"/>
        <v>Unassigned</v>
      </c>
      <c r="D178" s="21">
        <f ca="1"/>
        <v>3</v>
      </c>
      <c r="E178" s="21" t="str">
        <f ca="1"/>
        <v>Power-other problem</v>
      </c>
      <c r="F178" s="21" t="str">
        <f ca="1"/>
        <v>In progress</v>
      </c>
    </row>
    <row r="179" spans="2:6" x14ac:dyDescent="0.2">
      <c r="B179" s="21" t="str">
        <f ca="1"/>
        <v>4c-02-S308</v>
      </c>
      <c r="C179" s="21" t="str">
        <f ca="1"/>
        <v>Unassigned</v>
      </c>
      <c r="D179" s="21">
        <f ca="1"/>
        <v>3</v>
      </c>
      <c r="E179" s="21" t="str">
        <f ca="1"/>
        <v>Mw does not work/heat properly</v>
      </c>
      <c r="F179" s="21" t="str">
        <f ca="1"/>
        <v>In progress</v>
      </c>
    </row>
    <row r="180" spans="2:6" x14ac:dyDescent="0.2">
      <c r="B180" s="21" t="str">
        <f ca="1"/>
        <v>3-03-0210</v>
      </c>
      <c r="C180" s="21" t="str">
        <f ca="1"/>
        <v>Alexander Gonzalez</v>
      </c>
      <c r="D180" s="21">
        <f ca="1"/>
        <v>3</v>
      </c>
      <c r="E180" s="21" t="str">
        <f ca="1"/>
        <v>Other - Please see comments</v>
      </c>
      <c r="F180" s="21" t="str">
        <f ca="1"/>
        <v>In progress</v>
      </c>
    </row>
    <row r="181" spans="2:6" x14ac:dyDescent="0.2">
      <c r="B181" s="21" t="str">
        <f ca="1"/>
        <v>3-09-0301</v>
      </c>
      <c r="C181" s="21" t="str">
        <f ca="1"/>
        <v>Alexander Gonzalez</v>
      </c>
      <c r="D181" s="21">
        <f ca="1"/>
        <v>2</v>
      </c>
      <c r="E181" s="21" t="str">
        <f ca="1"/>
        <v>Lock-other problem</v>
      </c>
      <c r="F181" s="21" t="str">
        <f ca="1"/>
        <v>In progress</v>
      </c>
    </row>
    <row r="182" spans="2:6" x14ac:dyDescent="0.2">
      <c r="B182" s="21" t="str">
        <f ca="1"/>
        <v>3-26-0202</v>
      </c>
      <c r="C182" s="21" t="str">
        <f ca="1"/>
        <v>Unassigned</v>
      </c>
      <c r="D182" s="21">
        <f ca="1"/>
        <v>2</v>
      </c>
      <c r="E182" s="21" t="str">
        <f ca="1"/>
        <v>Mw shorts/smokes/sparks</v>
      </c>
      <c r="F182" s="21" t="str">
        <f ca="1"/>
        <v>In progress</v>
      </c>
    </row>
    <row r="183" spans="2:6" x14ac:dyDescent="0.2">
      <c r="B183" s="21" t="str">
        <f ca="1"/>
        <v>8-01-4126</v>
      </c>
      <c r="C183" s="21" t="str">
        <f ca="1"/>
        <v>Miguel Gil</v>
      </c>
      <c r="D183" s="21">
        <f ca="1"/>
        <v>2</v>
      </c>
      <c r="E183" s="21" t="str">
        <f ca="1"/>
        <v>Other - Please see comments</v>
      </c>
      <c r="F183" s="21" t="str">
        <f ca="1"/>
        <v>In progress</v>
      </c>
    </row>
    <row r="184" spans="2:6" x14ac:dyDescent="0.2">
      <c r="B184" s="21" t="str">
        <f ca="1"/>
        <v>8-01-1014</v>
      </c>
      <c r="C184" s="21" t="str">
        <f ca="1"/>
        <v>Miguel Gil</v>
      </c>
      <c r="D184" s="21">
        <f ca="1"/>
        <v>2</v>
      </c>
      <c r="E184" s="21" t="str">
        <f ca="1"/>
        <v>Other - Please see comments</v>
      </c>
      <c r="F184" s="21" t="str">
        <f ca="1"/>
        <v>In progress</v>
      </c>
    </row>
    <row r="185" spans="2:6" x14ac:dyDescent="0.2">
      <c r="B185" s="21" t="str">
        <f ca="1"/>
        <v>4-22-0308</v>
      </c>
      <c r="C185" s="21" t="str">
        <f ca="1"/>
        <v>Barron Russell</v>
      </c>
      <c r="D185" s="21">
        <f ca="1"/>
        <v>2</v>
      </c>
      <c r="E185" s="21" t="str">
        <f ca="1"/>
        <v>Mw door/handle broken/damaged</v>
      </c>
      <c r="F185" s="21" t="str">
        <f ca="1"/>
        <v>On hold</v>
      </c>
    </row>
    <row r="186" spans="2:6" x14ac:dyDescent="0.2">
      <c r="B186" s="21" t="str">
        <f ca="1"/>
        <v>4-26-0236</v>
      </c>
      <c r="C186" s="21" t="str">
        <f ca="1"/>
        <v>Chuck Griffis</v>
      </c>
      <c r="D186" s="21">
        <f ca="1"/>
        <v>2</v>
      </c>
      <c r="E186" s="21" t="str">
        <f ca="1"/>
        <v>Pest Control requested</v>
      </c>
      <c r="F186" s="21" t="str">
        <f ca="1"/>
        <v>In progress</v>
      </c>
    </row>
    <row r="187" spans="2:6" x14ac:dyDescent="0.2">
      <c r="B187" s="21" t="str">
        <f ca="1"/>
        <v>7-07-0204</v>
      </c>
      <c r="C187" s="21" t="str">
        <f ca="1"/>
        <v>Antonio Sherfield</v>
      </c>
      <c r="D187" s="21">
        <f ca="1"/>
        <v>2</v>
      </c>
      <c r="E187" s="21" t="str">
        <f ca="1"/>
        <v>Light bulb is out</v>
      </c>
      <c r="F187" s="21" t="str">
        <f ca="1"/>
        <v>In progress</v>
      </c>
    </row>
    <row r="188" spans="2:6" x14ac:dyDescent="0.2">
      <c r="B188" s="21" t="str">
        <f ca="1"/>
        <v>3-12-0012</v>
      </c>
      <c r="C188" s="21" t="str">
        <f ca="1"/>
        <v>Edna Pacheco</v>
      </c>
      <c r="D188" s="21">
        <f ca="1"/>
        <v>2</v>
      </c>
      <c r="E188" s="21" t="str">
        <f ca="1"/>
        <v>Broken equipment</v>
      </c>
      <c r="F188" s="21" t="str">
        <f ca="1"/>
        <v>In progress</v>
      </c>
    </row>
    <row r="189" spans="2:6" x14ac:dyDescent="0.2">
      <c r="B189" s="21" t="str">
        <f ca="1"/>
        <v>8-01-2091</v>
      </c>
      <c r="C189" s="21" t="str">
        <f ca="1"/>
        <v>Miguel Gil</v>
      </c>
      <c r="D189" s="21">
        <f ca="1"/>
        <v>2</v>
      </c>
      <c r="E189" s="21" t="str">
        <f ca="1"/>
        <v>Washer does not work</v>
      </c>
      <c r="F189" s="21" t="str">
        <f ca="1"/>
        <v>In progress</v>
      </c>
    </row>
    <row r="190" spans="2:6" x14ac:dyDescent="0.2">
      <c r="B190" s="21" t="str">
        <f ca="1"/>
        <v>8-01-4126</v>
      </c>
      <c r="C190" s="21" t="str">
        <f ca="1"/>
        <v>Miguel Gil</v>
      </c>
      <c r="D190" s="21">
        <f ca="1"/>
        <v>2</v>
      </c>
      <c r="E190" s="21" t="str">
        <f ca="1"/>
        <v>Window won't close</v>
      </c>
      <c r="F190" s="21" t="str">
        <f ca="1"/>
        <v>In progress</v>
      </c>
    </row>
    <row r="191" spans="2:6" x14ac:dyDescent="0.2">
      <c r="B191" s="21" t="str">
        <f ca="1"/>
        <v>4-16-5789</v>
      </c>
      <c r="C191" s="21" t="str">
        <f ca="1"/>
        <v>Dennis Arevalo</v>
      </c>
      <c r="D191" s="21">
        <f ca="1"/>
        <v>2</v>
      </c>
      <c r="E191" s="21" t="str">
        <f ca="1"/>
        <v>A/C filter needs changing</v>
      </c>
      <c r="F191" s="21" t="str">
        <f ca="1"/>
        <v>In progress</v>
      </c>
    </row>
    <row r="192" spans="2:6" x14ac:dyDescent="0.2">
      <c r="B192" s="21" t="str">
        <f ca="1"/>
        <v>3-02-0304</v>
      </c>
      <c r="C192" s="21" t="str">
        <f ca="1"/>
        <v>Alexander Gonzalez</v>
      </c>
      <c r="D192" s="21">
        <f ca="1"/>
        <v>2</v>
      </c>
      <c r="E192" s="21" t="str">
        <f ca="1"/>
        <v>A/C filter needs changing</v>
      </c>
      <c r="F192" s="21" t="str">
        <f ca="1"/>
        <v>In progress</v>
      </c>
    </row>
    <row r="193" spans="2:6" x14ac:dyDescent="0.2">
      <c r="B193" s="21" t="str">
        <f ca="1"/>
        <v>3-02-0204</v>
      </c>
      <c r="C193" s="21" t="str">
        <f ca="1"/>
        <v>Alexander Gonzalez</v>
      </c>
      <c r="D193" s="21">
        <f ca="1"/>
        <v>2</v>
      </c>
      <c r="E193" s="21" t="str">
        <f ca="1"/>
        <v>Other - Please see comments</v>
      </c>
      <c r="F193" s="21" t="str">
        <f ca="1"/>
        <v>In progress</v>
      </c>
    </row>
    <row r="194" spans="2:6" x14ac:dyDescent="0.2">
      <c r="B194" s="21" t="str">
        <f ca="1"/>
        <v>4-06-5795</v>
      </c>
      <c r="C194" s="21" t="str">
        <f ca="1"/>
        <v>Unassigned</v>
      </c>
      <c r="D194" s="21">
        <f ca="1"/>
        <v>2</v>
      </c>
      <c r="E194" s="21" t="str">
        <f ca="1"/>
        <v>Pest Control requested</v>
      </c>
      <c r="F194" s="21" t="str">
        <f ca="1"/>
        <v>In progress</v>
      </c>
    </row>
    <row r="195" spans="2:6" x14ac:dyDescent="0.2">
      <c r="B195" s="21" t="str">
        <f ca="1"/>
        <v>5-04-5740</v>
      </c>
      <c r="C195" s="21" t="str">
        <f ca="1"/>
        <v>Unassigned</v>
      </c>
      <c r="D195" s="21">
        <f ca="1"/>
        <v>2</v>
      </c>
      <c r="E195" s="21" t="str">
        <f ca="1"/>
        <v>Pest Control requested</v>
      </c>
      <c r="F195" s="21" t="str">
        <f ca="1"/>
        <v>In progress</v>
      </c>
    </row>
    <row r="196" spans="2:6" x14ac:dyDescent="0.2">
      <c r="B196" s="21" t="str">
        <f ca="1"/>
        <v>7-04-0212</v>
      </c>
      <c r="C196" s="21" t="str">
        <f ca="1"/>
        <v>Unassigned</v>
      </c>
      <c r="D196" s="21">
        <f ca="1"/>
        <v>2</v>
      </c>
      <c r="E196" s="21" t="str">
        <f ca="1"/>
        <v>Sink-other problem</v>
      </c>
      <c r="F196" s="21" t="str">
        <f ca="1"/>
        <v>In progress</v>
      </c>
    </row>
    <row r="197" spans="2:6" x14ac:dyDescent="0.2">
      <c r="B197" s="21" t="str">
        <f ca="1"/>
        <v>4-21-0205</v>
      </c>
      <c r="C197" s="21" t="str">
        <f ca="1"/>
        <v>Unassigned</v>
      </c>
      <c r="D197" s="21">
        <f ca="1"/>
        <v>2</v>
      </c>
      <c r="E197" s="21" t="str">
        <f ca="1"/>
        <v>Other - Please see comments</v>
      </c>
      <c r="F197" s="21" t="str">
        <f ca="1"/>
        <v>In progress</v>
      </c>
    </row>
    <row r="198" spans="2:6" x14ac:dyDescent="0.2">
      <c r="B198" s="21" t="str">
        <f ca="1"/>
        <v>3-30-0121</v>
      </c>
      <c r="C198" s="21" t="str">
        <f ca="1"/>
        <v>Unassigned</v>
      </c>
      <c r="D198" s="21">
        <f ca="1"/>
        <v>2</v>
      </c>
      <c r="E198" s="21" t="str">
        <f ca="1"/>
        <v>Other - Please see comments</v>
      </c>
      <c r="F198" s="21" t="str">
        <f ca="1"/>
        <v>In progress</v>
      </c>
    </row>
    <row r="199" spans="2:6" x14ac:dyDescent="0.2">
      <c r="B199" s="21" t="str">
        <f ca="1"/>
        <v>3-02-0202</v>
      </c>
      <c r="C199" s="21" t="str">
        <f ca="1"/>
        <v>Alexander Gonzalez</v>
      </c>
      <c r="D199" s="21">
        <f ca="1"/>
        <v>2</v>
      </c>
      <c r="E199" s="21" t="str">
        <f ca="1"/>
        <v>Need key, make duplicate</v>
      </c>
      <c r="F199" s="21" t="str">
        <f ca="1"/>
        <v>In progress</v>
      </c>
    </row>
    <row r="200" spans="2:6" x14ac:dyDescent="0.2">
      <c r="B200" s="21" t="str">
        <f ca="1"/>
        <v>3-09-0301</v>
      </c>
      <c r="C200" s="21" t="str">
        <f ca="1"/>
        <v>Unassigned</v>
      </c>
      <c r="D200" s="21">
        <f ca="1"/>
        <v>2</v>
      </c>
      <c r="E200" s="21" t="str">
        <f ca="1"/>
        <v>Dryer takes too long to dry</v>
      </c>
      <c r="F200" s="21" t="str">
        <f ca="1"/>
        <v>In progress</v>
      </c>
    </row>
    <row r="201" spans="2:6" x14ac:dyDescent="0.2">
      <c r="B201" s="21" t="str">
        <f ca="1"/>
        <v>4c-01-W309</v>
      </c>
      <c r="C201" s="21" t="str">
        <f ca="1"/>
        <v>Unassigned</v>
      </c>
      <c r="D201" s="21">
        <f ca="1"/>
        <v>2</v>
      </c>
      <c r="E201" s="21" t="str">
        <f ca="1"/>
        <v>Other - Please see comments</v>
      </c>
      <c r="F201" s="21" t="str">
        <f ca="1"/>
        <v>In progress</v>
      </c>
    </row>
    <row r="202" spans="2:6" x14ac:dyDescent="0.2">
      <c r="B202" s="21" t="str">
        <f ca="1"/>
        <v>7-02-0204</v>
      </c>
      <c r="C202" s="21" t="str">
        <f ca="1"/>
        <v>Unassigned</v>
      </c>
      <c r="D202" s="21">
        <f ca="1"/>
        <v>2</v>
      </c>
      <c r="E202" s="21" t="str">
        <f ca="1"/>
        <v>Other mail issue</v>
      </c>
      <c r="F202" s="21" t="str">
        <f ca="1"/>
        <v>In progress</v>
      </c>
    </row>
    <row r="203" spans="2:6" x14ac:dyDescent="0.2">
      <c r="B203" s="21" t="str">
        <f ca="1"/>
        <v>5-18-0128</v>
      </c>
      <c r="C203" s="21" t="str">
        <f ca="1"/>
        <v>Unassigned</v>
      </c>
      <c r="D203" s="21">
        <f ca="1"/>
        <v>2</v>
      </c>
      <c r="E203" s="21" t="str">
        <f ca="1"/>
        <v>Pest Control requested</v>
      </c>
      <c r="F203" s="21" t="str">
        <f ca="1"/>
        <v>In progress</v>
      </c>
    </row>
    <row r="204" spans="2:6" x14ac:dyDescent="0.2">
      <c r="B204" s="21" t="str">
        <f ca="1"/>
        <v>7-02-0204</v>
      </c>
      <c r="C204" s="21" t="str">
        <f ca="1"/>
        <v>Unassigned</v>
      </c>
      <c r="D204" s="21">
        <f ca="1"/>
        <v>2</v>
      </c>
      <c r="E204" s="21" t="str">
        <f ca="1"/>
        <v>DW does not work</v>
      </c>
      <c r="F204" s="21" t="str">
        <f ca="1"/>
        <v>In progress</v>
      </c>
    </row>
    <row r="205" spans="2:6" x14ac:dyDescent="0.2">
      <c r="B205" s="21" t="str">
        <f ca="1"/>
        <v>3-32-0308</v>
      </c>
      <c r="C205" s="21" t="str">
        <f ca="1"/>
        <v>Unassigned</v>
      </c>
      <c r="D205" s="21">
        <f ca="1"/>
        <v>2</v>
      </c>
      <c r="E205" s="21" t="str">
        <f ca="1"/>
        <v>DW door does not work/lock</v>
      </c>
      <c r="F205" s="21" t="str">
        <f ca="1"/>
        <v>In progress</v>
      </c>
    </row>
    <row r="206" spans="2:6" x14ac:dyDescent="0.2">
      <c r="B206" s="21" t="str">
        <f ca="1"/>
        <v>4-21-0205</v>
      </c>
      <c r="C206" s="21" t="str">
        <f ca="1"/>
        <v>Unassigned</v>
      </c>
      <c r="D206" s="21">
        <f ca="1"/>
        <v>2</v>
      </c>
      <c r="E206" s="21" t="str">
        <f ca="1"/>
        <v>Fading or discoloration</v>
      </c>
      <c r="F206" s="21" t="str">
        <f ca="1"/>
        <v>In progress</v>
      </c>
    </row>
    <row r="207" spans="2:6" x14ac:dyDescent="0.2">
      <c r="B207" s="21" t="str">
        <f ca="1"/>
        <v>5-17-0316</v>
      </c>
      <c r="C207" s="21" t="str">
        <f ca="1"/>
        <v>Yomar Gonzalez</v>
      </c>
      <c r="D207" s="21">
        <f ca="1"/>
        <v>2</v>
      </c>
      <c r="E207" s="21" t="str">
        <f ca="1"/>
        <v>Light bulb is out</v>
      </c>
      <c r="F207" s="21" t="str">
        <f ca="1"/>
        <v>On hold</v>
      </c>
    </row>
    <row r="208" spans="2:6" x14ac:dyDescent="0.2">
      <c r="B208" s="21" t="str">
        <f ca="1"/>
        <v>4-26-0236</v>
      </c>
      <c r="C208" s="21" t="str">
        <f ca="1"/>
        <v>Rafael Anez</v>
      </c>
      <c r="D208" s="21">
        <f ca="1"/>
        <v>2</v>
      </c>
      <c r="E208" s="21" t="str">
        <f ca="1"/>
        <v>Frig/freezer/ice maker leaks</v>
      </c>
      <c r="F208" s="21" t="str">
        <f ca="1"/>
        <v>In progress</v>
      </c>
    </row>
    <row r="209" spans="2:6" x14ac:dyDescent="0.2">
      <c r="B209" s="21" t="str">
        <f ca="1"/>
        <v>5-18-0244</v>
      </c>
      <c r="C209" s="21" t="str">
        <f ca="1"/>
        <v>Yomar Gonzalez</v>
      </c>
      <c r="D209" s="21">
        <f ca="1"/>
        <v>2</v>
      </c>
      <c r="E209" s="21" t="str">
        <f ca="1"/>
        <v>Heater does not heat properly</v>
      </c>
      <c r="F209" s="21" t="str">
        <f ca="1"/>
        <v>In progress</v>
      </c>
    </row>
    <row r="210" spans="2:6" x14ac:dyDescent="0.2">
      <c r="B210" s="21" t="str">
        <f ca="1"/>
        <v>4-26-0236</v>
      </c>
      <c r="C210" s="21" t="str">
        <f ca="1"/>
        <v>Rafael Anez</v>
      </c>
      <c r="D210" s="21">
        <f ca="1"/>
        <v>2</v>
      </c>
      <c r="E210" s="21" t="str">
        <f ca="1"/>
        <v>Outlet does not work</v>
      </c>
      <c r="F210" s="21" t="str">
        <f ca="1"/>
        <v>In progress</v>
      </c>
    </row>
    <row r="211" spans="2:6" x14ac:dyDescent="0.2">
      <c r="B211" s="21" t="str">
        <f ca="1"/>
        <v>5-18-0315</v>
      </c>
      <c r="C211" s="21" t="str">
        <f ca="1"/>
        <v>Yomar Gonzalez</v>
      </c>
      <c r="D211" s="21">
        <f ca="1"/>
        <v>2</v>
      </c>
      <c r="E211" s="21" t="str">
        <f ca="1"/>
        <v>Vents/ducts dirty/odor</v>
      </c>
      <c r="F211" s="21" t="str">
        <f ca="1"/>
        <v>In progress</v>
      </c>
    </row>
    <row r="212" spans="2:6" x14ac:dyDescent="0.2">
      <c r="B212" s="21" t="str">
        <f ca="1"/>
        <v>5-18-0244</v>
      </c>
      <c r="C212" s="21" t="str">
        <f ca="1"/>
        <v>Yomar Gonzalez</v>
      </c>
      <c r="D212" s="21">
        <f ca="1"/>
        <v>2</v>
      </c>
      <c r="E212" s="21" t="str">
        <f ca="1"/>
        <v>Water leak</v>
      </c>
      <c r="F212" s="21" t="str">
        <f ca="1"/>
        <v>In progress</v>
      </c>
    </row>
    <row r="213" spans="2:6" x14ac:dyDescent="0.2">
      <c r="B213" s="21" t="str">
        <f ca="1"/>
        <v>5-11-0204</v>
      </c>
      <c r="C213" s="21" t="str">
        <f ca="1"/>
        <v>Yomar Gonzalez</v>
      </c>
      <c r="D213" s="21">
        <f ca="1"/>
        <v>2</v>
      </c>
      <c r="E213" s="21" t="str">
        <f ca="1"/>
        <v>Other - Please see comments</v>
      </c>
      <c r="F213" s="21" t="str">
        <f ca="1"/>
        <v>In progress</v>
      </c>
    </row>
    <row r="214" spans="2:6" x14ac:dyDescent="0.2">
      <c r="B214" s="21" t="str">
        <f ca="1"/>
        <v>5-18-0315</v>
      </c>
      <c r="C214" s="21" t="str">
        <f ca="1"/>
        <v>Yomar Gonzalez</v>
      </c>
      <c r="D214" s="21">
        <f ca="1"/>
        <v>2</v>
      </c>
      <c r="E214" s="21" t="str">
        <f ca="1"/>
        <v>Light bulb is out</v>
      </c>
      <c r="F214" s="21" t="str">
        <f ca="1"/>
        <v>In progress</v>
      </c>
    </row>
    <row r="215" spans="2:6" x14ac:dyDescent="0.2">
      <c r="B215" s="21" t="str">
        <f ca="1"/>
        <v>3-18-0104</v>
      </c>
      <c r="C215" s="21" t="str">
        <f ca="1"/>
        <v>Unassigned</v>
      </c>
      <c r="D215" s="21">
        <f ca="1"/>
        <v>1</v>
      </c>
      <c r="E215" s="21" t="str">
        <f ca="1"/>
        <v>Other - Please see comments</v>
      </c>
      <c r="F215" s="21" t="str">
        <f ca="1"/>
        <v>In progress</v>
      </c>
    </row>
    <row r="216" spans="2:6" x14ac:dyDescent="0.2">
      <c r="B216" s="21" t="str">
        <f ca="1"/>
        <v>5-18-0111</v>
      </c>
      <c r="C216" s="21" t="str">
        <f ca="1"/>
        <v>Unassigned</v>
      </c>
      <c r="D216" s="21">
        <f ca="1"/>
        <v>1</v>
      </c>
      <c r="E216" s="21" t="str">
        <f ca="1"/>
        <v>Shower-other problem</v>
      </c>
      <c r="F216" s="21" t="str">
        <f ca="1"/>
        <v>In progress</v>
      </c>
    </row>
    <row r="217" spans="2:6" x14ac:dyDescent="0.2">
      <c r="B217" s="21" t="str">
        <f ca="1"/>
        <v>5-18-0310</v>
      </c>
      <c r="C217" s="21" t="str">
        <f ca="1"/>
        <v>Unassigned</v>
      </c>
      <c r="D217" s="21">
        <f ca="1"/>
        <v>1</v>
      </c>
      <c r="E217" s="21" t="str">
        <f ca="1"/>
        <v>Faucet-other problem</v>
      </c>
      <c r="F217" s="21" t="str">
        <f ca="1"/>
        <v>In progress</v>
      </c>
    </row>
    <row r="218" spans="2:6" x14ac:dyDescent="0.2">
      <c r="B218" s="21" t="str">
        <f ca="1"/>
        <v>3-09-0205</v>
      </c>
      <c r="C218" s="21" t="str">
        <f ca="1"/>
        <v>Unassigned</v>
      </c>
      <c r="D218" s="21">
        <f ca="1"/>
        <v>1</v>
      </c>
      <c r="E218" s="21" t="str">
        <f ca="1"/>
        <v>Thermostat-other problem</v>
      </c>
      <c r="F218" s="21" t="str">
        <f ca="1"/>
        <v>In progress</v>
      </c>
    </row>
    <row r="219" spans="2:6" x14ac:dyDescent="0.2">
      <c r="B219" s="21" t="str">
        <f ca="1"/>
        <v>4-01-5790</v>
      </c>
      <c r="C219" s="21" t="str">
        <f ca="1"/>
        <v>Unassigned</v>
      </c>
      <c r="D219" s="21">
        <f ca="1"/>
        <v>1</v>
      </c>
      <c r="E219" s="21" t="str">
        <f ca="1"/>
        <v>Shower clogged</v>
      </c>
      <c r="F219" s="21" t="str">
        <f ca="1"/>
        <v>In progress</v>
      </c>
    </row>
    <row r="220" spans="2:6" x14ac:dyDescent="0.2">
      <c r="B220" s="21" t="str">
        <f ca="1"/>
        <v>4-23-0104</v>
      </c>
      <c r="C220" s="21" t="str">
        <f ca="1"/>
        <v>Unassigned</v>
      </c>
      <c r="D220" s="21">
        <f ca="1"/>
        <v>1</v>
      </c>
      <c r="E220" s="21" t="str">
        <f ca="1"/>
        <v>Pest Control requested</v>
      </c>
      <c r="F220" s="21" t="str">
        <f ca="1"/>
        <v>In progress</v>
      </c>
    </row>
    <row r="221" spans="2:6" x14ac:dyDescent="0.2">
      <c r="B221" s="21" t="str">
        <f ca="1"/>
        <v>4-21-0205</v>
      </c>
      <c r="C221" s="21" t="str">
        <f ca="1"/>
        <v>Unassigned</v>
      </c>
      <c r="D221" s="21">
        <f ca="1"/>
        <v>1</v>
      </c>
      <c r="E221" s="21" t="str">
        <f ca="1"/>
        <v>Tub-other problem</v>
      </c>
      <c r="F221" s="21" t="str">
        <f ca="1"/>
        <v>In progress</v>
      </c>
    </row>
    <row r="222" spans="2:6" x14ac:dyDescent="0.2">
      <c r="B222" s="21" t="str">
        <f ca="1"/>
        <v>4-27-0305</v>
      </c>
      <c r="C222" s="21" t="str">
        <f ca="1"/>
        <v>Unassigned</v>
      </c>
      <c r="D222" s="21">
        <f ca="1"/>
        <v>1</v>
      </c>
      <c r="E222" s="21" t="str">
        <f ca="1"/>
        <v>Mw door/handle broken/damaged</v>
      </c>
      <c r="F222" s="21" t="str">
        <f ca="1"/>
        <v>In progress</v>
      </c>
    </row>
    <row r="223" spans="2:6" x14ac:dyDescent="0.2">
      <c r="B223" s="21" t="str">
        <f ca="1"/>
        <v>8-01-3076</v>
      </c>
      <c r="C223" s="21" t="str">
        <f ca="1"/>
        <v>Unassigned</v>
      </c>
      <c r="D223" s="21">
        <f ca="1"/>
        <v>1</v>
      </c>
      <c r="E223" s="21" t="str">
        <f ca="1"/>
        <v>Other - Please see comments</v>
      </c>
      <c r="F223" s="21" t="str">
        <f ca="1"/>
        <v>In progress</v>
      </c>
    </row>
    <row r="224" spans="2:6" x14ac:dyDescent="0.2">
      <c r="B224" s="21" t="str">
        <f ca="1"/>
        <v>4-22-0224</v>
      </c>
      <c r="C224" s="21" t="str">
        <f ca="1"/>
        <v>Unassigned</v>
      </c>
      <c r="D224" s="21">
        <f ca="1"/>
        <v>1</v>
      </c>
      <c r="E224" s="21" t="str">
        <f ca="1"/>
        <v>Other - Please see comments</v>
      </c>
      <c r="F224" s="21" t="str">
        <f ca="1"/>
        <v>In progress</v>
      </c>
    </row>
    <row r="225" spans="2:6" x14ac:dyDescent="0.2">
      <c r="B225" s="21" t="str">
        <f ca="1"/>
        <v>8-01-2039</v>
      </c>
      <c r="C225" s="21" t="str">
        <f ca="1"/>
        <v>Unassigned</v>
      </c>
      <c r="D225" s="21">
        <f ca="1"/>
        <v>1</v>
      </c>
      <c r="E225" s="21" t="str">
        <f ca="1"/>
        <v>Shower clogged</v>
      </c>
      <c r="F225" s="21" t="str">
        <f ca="1"/>
        <v>In progress</v>
      </c>
    </row>
    <row r="226" spans="2:6" x14ac:dyDescent="0.2">
      <c r="B226" s="21" t="str">
        <f ca="1"/>
        <v>3-31-0205</v>
      </c>
      <c r="C226" s="21" t="str">
        <f ca="1"/>
        <v>Unassigned</v>
      </c>
      <c r="D226" s="21">
        <f ca="1"/>
        <v>1</v>
      </c>
      <c r="E226" s="21" t="str">
        <f ca="1"/>
        <v>Patio door gaps or is drafty</v>
      </c>
      <c r="F226" s="21" t="str">
        <f ca="1"/>
        <v>In progress</v>
      </c>
    </row>
    <row r="227" spans="2:6" x14ac:dyDescent="0.2">
      <c r="B227" s="21" t="str">
        <f ca="1"/>
        <v>3-27-0301</v>
      </c>
      <c r="C227" s="21" t="str">
        <f ca="1"/>
        <v>Unassigned</v>
      </c>
      <c r="D227" s="21">
        <f ca="1"/>
        <v>1</v>
      </c>
      <c r="E227" s="21" t="str">
        <f ca="1"/>
        <v>Other - Please see comments</v>
      </c>
      <c r="F227" s="21" t="str">
        <f ca="1"/>
        <v>In progress</v>
      </c>
    </row>
    <row r="228" spans="2:6" x14ac:dyDescent="0.2">
      <c r="B228" s="21" t="str">
        <f ca="1"/>
        <v>4-25-0315</v>
      </c>
      <c r="C228" s="21" t="str">
        <f ca="1"/>
        <v>Unassigned</v>
      </c>
      <c r="D228" s="21">
        <f ca="1"/>
        <v>1</v>
      </c>
      <c r="E228" s="21" t="str">
        <f ca="1"/>
        <v>Other Issue</v>
      </c>
      <c r="F228" s="21" t="str">
        <f ca="1"/>
        <v>In progress</v>
      </c>
    </row>
    <row r="229" spans="2:6" x14ac:dyDescent="0.2">
      <c r="B229" s="21" t="str">
        <f ca="1"/>
        <v>8-01-1005</v>
      </c>
      <c r="C229" s="21" t="str">
        <f ca="1"/>
        <v>Unassigned</v>
      </c>
      <c r="D229" s="21">
        <f ca="1"/>
        <v>1</v>
      </c>
      <c r="E229" s="21" t="str">
        <f ca="1"/>
        <v>Other - Please see comments</v>
      </c>
      <c r="F229" s="21" t="str">
        <f ca="1"/>
        <v>In progress</v>
      </c>
    </row>
    <row r="230" spans="2:6" x14ac:dyDescent="0.2">
      <c r="B230" s="21" t="str">
        <f ca="1"/>
        <v>8-01-4049</v>
      </c>
      <c r="C230" s="21" t="str">
        <f ca="1"/>
        <v>Unassigned</v>
      </c>
      <c r="D230" s="21">
        <f ca="1"/>
        <v>1</v>
      </c>
      <c r="E230" s="21" t="str">
        <f ca="1"/>
        <v>SmartLock broken</v>
      </c>
      <c r="F230" s="21" t="str">
        <f ca="1"/>
        <v>In progress</v>
      </c>
    </row>
    <row r="231" spans="2:6" x14ac:dyDescent="0.2">
      <c r="B231" s="21" t="str">
        <f ca="1"/>
        <v>3-24-0203</v>
      </c>
      <c r="C231" s="21" t="str">
        <f ca="1"/>
        <v>Alexander Gonzalez</v>
      </c>
      <c r="D231" s="21">
        <f ca="1"/>
        <v>1</v>
      </c>
      <c r="E231" s="21" t="str">
        <f ca="1"/>
        <v>Other - Please see comments</v>
      </c>
      <c r="F231" s="21" t="str">
        <f ca="1"/>
        <v>In progress</v>
      </c>
    </row>
    <row r="232" spans="2:6" x14ac:dyDescent="0.2">
      <c r="B232" s="21" t="str">
        <f ca="1"/>
        <v>3-18-0301</v>
      </c>
      <c r="C232" s="21" t="str">
        <f ca="1"/>
        <v>Alexander Gonzalez</v>
      </c>
      <c r="D232" s="21">
        <f ca="1"/>
        <v>1</v>
      </c>
      <c r="E232" s="21" t="str">
        <f ca="1"/>
        <v>Toilet runs continually</v>
      </c>
      <c r="F232" s="21" t="str">
        <f ca="1"/>
        <v>In progress</v>
      </c>
    </row>
    <row r="233" spans="2:6" x14ac:dyDescent="0.2">
      <c r="B233" s="21" t="str">
        <f ca="1"/>
        <v>3-16-0115</v>
      </c>
      <c r="C233" s="21" t="str">
        <f ca="1"/>
        <v>Alexander Gonzalez</v>
      </c>
      <c r="D233" s="21">
        <f ca="1"/>
        <v>1</v>
      </c>
      <c r="E233" s="21" t="str">
        <f ca="1"/>
        <v>Other - Please see comments</v>
      </c>
      <c r="F233" s="21" t="str">
        <f ca="1"/>
        <v>In progress</v>
      </c>
    </row>
    <row r="234" spans="2:6" x14ac:dyDescent="0.2">
      <c r="B234" s="21" t="str">
        <f ca="1"/>
        <v>5-18-0348</v>
      </c>
      <c r="C234" s="21" t="str">
        <f ca="1"/>
        <v>Roberto Palacios</v>
      </c>
      <c r="D234" s="21">
        <f ca="1"/>
        <v>1</v>
      </c>
      <c r="E234" s="21" t="str">
        <f ca="1"/>
        <v>Other - Please see comments</v>
      </c>
      <c r="F234" s="21" t="str">
        <f ca="1"/>
        <v>In progress</v>
      </c>
    </row>
    <row r="235" spans="2:6" x14ac:dyDescent="0.2">
      <c r="B235" s="21" t="str">
        <f ca="1"/>
        <v>3-23-0302</v>
      </c>
      <c r="C235" s="21" t="str">
        <f ca="1"/>
        <v>Victor Castaneda</v>
      </c>
      <c r="D235" s="21">
        <f ca="1"/>
        <v>1</v>
      </c>
      <c r="E235" s="21" t="str">
        <f ca="1"/>
        <v>Other - Please see comments</v>
      </c>
      <c r="F235" s="21" t="str">
        <f ca="1"/>
        <v>In progress</v>
      </c>
    </row>
  </sheetData>
  <mergeCells count="6">
    <mergeCell ref="B3:F4"/>
    <mergeCell ref="Z3:AD4"/>
    <mergeCell ref="T3:X4"/>
    <mergeCell ref="AF3:AJ4"/>
    <mergeCell ref="N3:R4"/>
    <mergeCell ref="H3:L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76899-CE00-7342-9E9F-4CE48DAB9C2B}">
  <dimension ref="B1:AD14"/>
  <sheetViews>
    <sheetView topLeftCell="D1" workbookViewId="0">
      <selection activeCell="T2" sqref="T2:X3"/>
    </sheetView>
  </sheetViews>
  <sheetFormatPr baseColWidth="10" defaultRowHeight="15" x14ac:dyDescent="0.2"/>
  <cols>
    <col min="1" max="1" width="3" customWidth="1"/>
    <col min="2" max="2" width="9.1640625" style="30" bestFit="1" customWidth="1"/>
    <col min="3" max="3" width="13.83203125" style="30" bestFit="1" customWidth="1"/>
    <col min="4" max="4" width="8.83203125" style="30" bestFit="1" customWidth="1"/>
    <col min="5" max="5" width="22.6640625" style="31" bestFit="1" customWidth="1"/>
    <col min="6" max="6" width="9.33203125" style="30" bestFit="1" customWidth="1"/>
    <col min="7" max="7" width="1" customWidth="1"/>
    <col min="8" max="8" width="10.6640625" style="30" bestFit="1" customWidth="1"/>
    <col min="9" max="9" width="12.33203125" style="30" bestFit="1" customWidth="1"/>
    <col min="10" max="10" width="8.83203125" style="30" bestFit="1" customWidth="1"/>
    <col min="11" max="11" width="25.6640625" style="31" bestFit="1" customWidth="1"/>
    <col min="12" max="12" width="9.33203125" style="30" bestFit="1" customWidth="1"/>
    <col min="13" max="13" width="1.1640625" style="13" customWidth="1"/>
    <col min="14" max="14" width="10.6640625" style="32" bestFit="1" customWidth="1"/>
    <col min="15" max="15" width="13" style="32" bestFit="1" customWidth="1"/>
    <col min="16" max="16" width="8.83203125" style="30" bestFit="1" customWidth="1"/>
    <col min="17" max="17" width="23.83203125" style="32" bestFit="1" customWidth="1"/>
    <col min="18" max="18" width="9.5" style="32" customWidth="1"/>
    <col min="19" max="19" width="2" customWidth="1"/>
    <col min="20" max="20" width="11.83203125" style="30" customWidth="1"/>
    <col min="21" max="21" width="13.83203125" style="30" bestFit="1" customWidth="1"/>
    <col min="22" max="22" width="8.83203125" style="30" bestFit="1" customWidth="1"/>
    <col min="23" max="23" width="24.33203125" style="30" customWidth="1"/>
    <col min="24" max="24" width="11" style="30" customWidth="1"/>
    <col min="25" max="25" width="1.33203125" customWidth="1"/>
    <col min="26" max="26" width="9.1640625" style="30" bestFit="1" customWidth="1"/>
    <col min="27" max="27" width="14.33203125" style="30" bestFit="1" customWidth="1"/>
    <col min="28" max="28" width="8.83203125" style="30" bestFit="1" customWidth="1"/>
    <col min="29" max="29" width="15.5" style="30" bestFit="1" customWidth="1"/>
    <col min="30" max="30" width="9.33203125" style="30" customWidth="1"/>
  </cols>
  <sheetData>
    <row r="1" spans="2:30" x14ac:dyDescent="0.2">
      <c r="B1" s="33"/>
      <c r="C1" s="33"/>
      <c r="D1" s="33"/>
      <c r="E1" s="34"/>
      <c r="F1" s="33"/>
      <c r="G1" s="35"/>
      <c r="H1" s="33"/>
      <c r="I1" s="33"/>
      <c r="J1" s="33"/>
      <c r="K1" s="34"/>
      <c r="L1" s="33"/>
      <c r="M1" s="33"/>
      <c r="N1" s="35"/>
      <c r="O1" s="35"/>
      <c r="P1" s="33"/>
      <c r="Q1" s="35"/>
      <c r="R1" s="35"/>
      <c r="T1" s="33"/>
      <c r="U1" s="33"/>
      <c r="V1" s="33"/>
      <c r="W1" s="33"/>
      <c r="X1" s="33"/>
      <c r="Z1" s="33"/>
      <c r="AA1" s="33"/>
      <c r="AB1" s="33"/>
      <c r="AC1" s="33"/>
      <c r="AD1" s="33"/>
    </row>
    <row r="2" spans="2:30" x14ac:dyDescent="0.2">
      <c r="B2" s="44" t="s">
        <v>45</v>
      </c>
      <c r="C2" s="44"/>
      <c r="D2" s="44"/>
      <c r="E2" s="44"/>
      <c r="F2" s="44"/>
      <c r="H2" s="45" t="s">
        <v>235</v>
      </c>
      <c r="I2" s="45"/>
      <c r="J2" s="45"/>
      <c r="K2" s="45"/>
      <c r="L2" s="45"/>
      <c r="N2" s="45" t="s">
        <v>101</v>
      </c>
      <c r="O2" s="45"/>
      <c r="P2" s="45"/>
      <c r="Q2" s="45"/>
      <c r="R2" s="45"/>
      <c r="T2" s="45" t="s">
        <v>88</v>
      </c>
      <c r="U2" s="45"/>
      <c r="V2" s="45"/>
      <c r="W2" s="45"/>
      <c r="X2" s="45"/>
      <c r="Z2" s="45" t="s">
        <v>131</v>
      </c>
      <c r="AA2" s="45"/>
      <c r="AB2" s="45"/>
      <c r="AC2" s="45"/>
      <c r="AD2" s="45"/>
    </row>
    <row r="3" spans="2:30" x14ac:dyDescent="0.2">
      <c r="B3" s="44"/>
      <c r="C3" s="44"/>
      <c r="D3" s="44"/>
      <c r="E3" s="44"/>
      <c r="F3" s="44"/>
      <c r="H3" s="45"/>
      <c r="I3" s="45"/>
      <c r="J3" s="45"/>
      <c r="K3" s="45"/>
      <c r="L3" s="45"/>
      <c r="N3" s="45"/>
      <c r="O3" s="45"/>
      <c r="P3" s="45"/>
      <c r="Q3" s="45"/>
      <c r="R3" s="45"/>
      <c r="T3" s="45"/>
      <c r="U3" s="45"/>
      <c r="V3" s="45"/>
      <c r="W3" s="45"/>
      <c r="X3" s="45"/>
      <c r="Z3" s="45"/>
      <c r="AA3" s="45"/>
      <c r="AB3" s="45"/>
      <c r="AC3" s="45"/>
      <c r="AD3" s="45"/>
    </row>
    <row r="4" spans="2:30" ht="19" x14ac:dyDescent="0.25">
      <c r="B4" s="28" t="str" cm="1">
        <f t="array" aca="1" ref="B4:F7" ca="1">_xlfn._xlws.PY(6,0,SEV_REQUEST[])</f>
        <v>Unit</v>
      </c>
      <c r="C4" s="22" t="str">
        <f ca="1"/>
        <v>Assigned to</v>
      </c>
      <c r="D4" s="22" t="str">
        <f ca="1"/>
        <v>Days open</v>
      </c>
      <c r="E4" s="29" t="str">
        <f ca="1"/>
        <v>Issue</v>
      </c>
      <c r="F4" s="22" t="str">
        <f ca="1"/>
        <v>Status</v>
      </c>
      <c r="H4" s="28" t="str" cm="1">
        <f t="array" aca="1" ref="H4:L10" ca="1">_xlfn._xlws.PY(7,0,SEV_REQUEST[])</f>
        <v>Unit</v>
      </c>
      <c r="I4" s="22" t="str">
        <f ca="1"/>
        <v>Assigned to</v>
      </c>
      <c r="J4" s="22" t="str">
        <f ca="1"/>
        <v>Days open</v>
      </c>
      <c r="K4" s="29" t="str">
        <f ca="1"/>
        <v>Issue</v>
      </c>
      <c r="L4" s="22" t="str">
        <f ca="1"/>
        <v>Status</v>
      </c>
      <c r="N4" s="28" t="str" cm="1">
        <f t="array" aca="1" ref="N4:R14" ca="1">_xlfn._xlws.PY(8,0,SEV_REQUEST[])</f>
        <v>Unit</v>
      </c>
      <c r="O4" s="25" t="str">
        <f ca="1"/>
        <v>Assigned to</v>
      </c>
      <c r="P4" s="22" t="str">
        <f ca="1"/>
        <v>Days open</v>
      </c>
      <c r="Q4" s="25" t="str">
        <f ca="1"/>
        <v>Issue</v>
      </c>
      <c r="R4" s="25" t="str">
        <f ca="1"/>
        <v>Status</v>
      </c>
      <c r="T4" s="28" t="str" cm="1">
        <f t="array" aca="1" ref="T4:X9" ca="1">_xlfn._xlws.PY(9,0,SEV_REQUEST[])</f>
        <v>Unit</v>
      </c>
      <c r="U4" s="22" t="str">
        <f ca="1"/>
        <v>Assigned to</v>
      </c>
      <c r="V4" s="22" t="str">
        <f ca="1"/>
        <v>Days open</v>
      </c>
      <c r="W4" s="22" t="str">
        <f ca="1"/>
        <v>Issue</v>
      </c>
      <c r="X4" s="22" t="str">
        <f ca="1"/>
        <v>Status</v>
      </c>
      <c r="Z4" s="28" t="str" cm="1">
        <f t="array" aca="1" ref="Z4:AD7" ca="1">_xlfn._xlws.PY(10,0,SEV_REQUEST[])</f>
        <v>Unit</v>
      </c>
      <c r="AA4" s="22" t="str">
        <f ca="1"/>
        <v>Assigned to</v>
      </c>
      <c r="AB4" s="22" t="str">
        <f ca="1"/>
        <v>Days open</v>
      </c>
      <c r="AC4" s="22" t="str">
        <f ca="1"/>
        <v>Issue</v>
      </c>
      <c r="AD4" s="22" t="str">
        <f ca="1"/>
        <v>Status</v>
      </c>
    </row>
    <row r="5" spans="2:30" x14ac:dyDescent="0.2">
      <c r="B5" s="30" t="str">
        <f ca="1"/>
        <v>5-02-0306</v>
      </c>
      <c r="C5" s="30" t="str">
        <f ca="1"/>
        <v>Roberto Palacios</v>
      </c>
      <c r="D5" s="30">
        <f ca="1"/>
        <v>129</v>
      </c>
      <c r="E5" s="31" t="str">
        <f ca="1"/>
        <v>Frig is noisy</v>
      </c>
      <c r="F5" s="30" t="str">
        <f ca="1"/>
        <v>On hold</v>
      </c>
      <c r="H5" s="30" t="str">
        <f ca="1"/>
        <v>5-18-0216</v>
      </c>
      <c r="I5" s="30" t="str">
        <f ca="1"/>
        <v>Latrell Dawson</v>
      </c>
      <c r="J5" s="30">
        <f ca="1"/>
        <v>21</v>
      </c>
      <c r="K5" s="31" t="str">
        <f ca="1"/>
        <v>Other - Please see comments</v>
      </c>
      <c r="L5" s="30" t="str">
        <f ca="1"/>
        <v>In progress</v>
      </c>
      <c r="N5" s="32" t="str">
        <f ca="1"/>
        <v>5-18-0330</v>
      </c>
      <c r="O5" s="32" t="str">
        <f ca="1"/>
        <v>Yomar Gonzalez</v>
      </c>
      <c r="P5" s="30">
        <f ca="1"/>
        <v>17</v>
      </c>
      <c r="Q5" s="32" t="str">
        <f ca="1"/>
        <v>Washer-other problem</v>
      </c>
      <c r="R5" s="32" t="str">
        <f ca="1"/>
        <v>In progress</v>
      </c>
      <c r="T5" s="30" t="str">
        <f ca="1"/>
        <v>7-03-0217</v>
      </c>
      <c r="U5" s="30" t="str">
        <f ca="1"/>
        <v>Barron Russell</v>
      </c>
      <c r="V5" s="30">
        <f ca="1"/>
        <v>24</v>
      </c>
      <c r="W5" s="30" t="str">
        <f ca="1"/>
        <v>Other - Please see comments</v>
      </c>
      <c r="X5" s="30" t="str">
        <f ca="1"/>
        <v>In progress</v>
      </c>
      <c r="Z5" s="30" t="str">
        <f ca="1"/>
        <v>8-01-1036</v>
      </c>
      <c r="AA5" s="30" t="str">
        <f ca="1"/>
        <v>Antonio Sherfield</v>
      </c>
      <c r="AB5" s="30">
        <f ca="1"/>
        <v>31</v>
      </c>
      <c r="AC5" s="30" t="str">
        <f ca="1"/>
        <v>Washer is noisy</v>
      </c>
      <c r="AD5" s="30" t="str">
        <f ca="1"/>
        <v>In progress</v>
      </c>
    </row>
    <row r="6" spans="2:30" x14ac:dyDescent="0.2">
      <c r="B6" s="30" t="str">
        <f ca="1"/>
        <v>5-03-0133</v>
      </c>
      <c r="C6" s="30" t="str">
        <f ca="1"/>
        <v>Roberto Palacios</v>
      </c>
      <c r="D6" s="30">
        <f ca="1"/>
        <v>15</v>
      </c>
      <c r="E6" s="31" t="str">
        <f ca="1"/>
        <v>Carpet-other problem</v>
      </c>
      <c r="F6" s="30" t="str">
        <f ca="1"/>
        <v>In progress</v>
      </c>
      <c r="H6" s="30" t="str">
        <f ca="1"/>
        <v>5-18-0312</v>
      </c>
      <c r="I6" s="30" t="str">
        <f ca="1"/>
        <v>Latrell Dawson</v>
      </c>
      <c r="J6" s="30">
        <f ca="1"/>
        <v>13</v>
      </c>
      <c r="K6" s="31" t="str">
        <f ca="1"/>
        <v>Paint faded/chipped</v>
      </c>
      <c r="L6" s="30" t="str">
        <f ca="1"/>
        <v>In progress</v>
      </c>
      <c r="N6" s="32" t="str">
        <f ca="1"/>
        <v>5-18-0413</v>
      </c>
      <c r="O6" s="32" t="str">
        <f ca="1"/>
        <v>Yomar Gonzalez</v>
      </c>
      <c r="P6" s="30">
        <f ca="1"/>
        <v>7</v>
      </c>
      <c r="Q6" s="32" t="str">
        <f ca="1"/>
        <v>Other - Please see comments</v>
      </c>
      <c r="R6" s="32" t="str">
        <f ca="1"/>
        <v>In progress</v>
      </c>
      <c r="T6" s="30" t="str">
        <f ca="1"/>
        <v>7-09-0206</v>
      </c>
      <c r="U6" s="30" t="str">
        <f ca="1"/>
        <v>Barron Russell</v>
      </c>
      <c r="V6" s="30">
        <f ca="1"/>
        <v>9</v>
      </c>
      <c r="W6" s="30" t="str">
        <f ca="1"/>
        <v>Sink leaks</v>
      </c>
      <c r="X6" s="30" t="str">
        <f ca="1"/>
        <v>In progress</v>
      </c>
      <c r="Z6" s="30" t="str">
        <f ca="1"/>
        <v>7-11-0405</v>
      </c>
      <c r="AA6" s="30" t="str">
        <f ca="1"/>
        <v>Antonio Sherfield</v>
      </c>
      <c r="AB6" s="30">
        <f ca="1"/>
        <v>3</v>
      </c>
      <c r="AC6" s="30" t="str">
        <f ca="1"/>
        <v>Tub-other problem</v>
      </c>
      <c r="AD6" s="30" t="str">
        <f ca="1"/>
        <v>In progress</v>
      </c>
    </row>
    <row r="7" spans="2:30" x14ac:dyDescent="0.2">
      <c r="B7" s="30" t="str">
        <f ca="1"/>
        <v>5-18-0348</v>
      </c>
      <c r="C7" s="30" t="str">
        <f ca="1"/>
        <v>Roberto Palacios</v>
      </c>
      <c r="D7" s="30">
        <f ca="1"/>
        <v>1</v>
      </c>
      <c r="E7" s="31" t="str">
        <f ca="1"/>
        <v>Other - Please see comments</v>
      </c>
      <c r="F7" s="30" t="str">
        <f ca="1"/>
        <v>In progress</v>
      </c>
      <c r="H7" s="30" t="str">
        <f ca="1"/>
        <v>5-16-0303</v>
      </c>
      <c r="I7" s="30" t="str">
        <f ca="1"/>
        <v>Latrell Dawson</v>
      </c>
      <c r="J7" s="30">
        <f ca="1"/>
        <v>9</v>
      </c>
      <c r="K7" s="31" t="str">
        <f ca="1"/>
        <v>Other - Please see comments</v>
      </c>
      <c r="L7" s="30" t="str">
        <f ca="1"/>
        <v>In progress</v>
      </c>
      <c r="N7" s="32" t="str">
        <f ca="1"/>
        <v>5-01-0213</v>
      </c>
      <c r="O7" s="32" t="str">
        <f ca="1"/>
        <v>Yomar Gonzalez</v>
      </c>
      <c r="P7" s="30">
        <f ca="1"/>
        <v>4</v>
      </c>
      <c r="Q7" s="32" t="str">
        <f ca="1"/>
        <v>Ceiling fan is noisy</v>
      </c>
      <c r="R7" s="32" t="str">
        <f ca="1"/>
        <v>In progress</v>
      </c>
      <c r="T7" s="30" t="str">
        <f ca="1"/>
        <v>7-11-0206</v>
      </c>
      <c r="U7" s="30" t="str">
        <f ca="1"/>
        <v>Barron Russell</v>
      </c>
      <c r="V7" s="30">
        <f ca="1"/>
        <v>7</v>
      </c>
      <c r="W7" s="30" t="str">
        <f ca="1"/>
        <v>Other Issue</v>
      </c>
      <c r="X7" s="30" t="str">
        <f ca="1"/>
        <v>In progress</v>
      </c>
      <c r="Z7" s="30" t="str">
        <f ca="1"/>
        <v>7-07-0204</v>
      </c>
      <c r="AA7" s="30" t="str">
        <f ca="1"/>
        <v>Antonio Sherfield</v>
      </c>
      <c r="AB7" s="30">
        <f ca="1"/>
        <v>2</v>
      </c>
      <c r="AC7" s="30" t="str">
        <f ca="1"/>
        <v>Light bulb is out</v>
      </c>
      <c r="AD7" s="30" t="str">
        <f ca="1"/>
        <v>In progress</v>
      </c>
    </row>
    <row r="8" spans="2:30" x14ac:dyDescent="0.2">
      <c r="H8" s="30" t="str">
        <f ca="1"/>
        <v>5-18-0320</v>
      </c>
      <c r="I8" s="30" t="str">
        <f ca="1"/>
        <v>Latrell Dawson</v>
      </c>
      <c r="J8" s="30">
        <f ca="1"/>
        <v>6</v>
      </c>
      <c r="K8" s="31" t="str">
        <f ca="1"/>
        <v>Frig/freezer/ice maker leaks</v>
      </c>
      <c r="L8" s="30" t="str">
        <f ca="1"/>
        <v>In progress</v>
      </c>
      <c r="N8" s="32" t="str">
        <f ca="1"/>
        <v>5-01-0218</v>
      </c>
      <c r="O8" s="32" t="str">
        <f ca="1"/>
        <v>Yomar Gonzalez</v>
      </c>
      <c r="P8" s="30">
        <f ca="1"/>
        <v>3</v>
      </c>
      <c r="Q8" s="32" t="str">
        <f ca="1"/>
        <v>Other - Please see comments</v>
      </c>
      <c r="R8" s="32" t="str">
        <f ca="1"/>
        <v>In progress</v>
      </c>
      <c r="T8" s="30" t="str">
        <f ca="1"/>
        <v>7-08-0308</v>
      </c>
      <c r="U8" s="30" t="str">
        <f ca="1"/>
        <v>Barron Russell</v>
      </c>
      <c r="V8" s="30">
        <f ca="1"/>
        <v>4</v>
      </c>
      <c r="W8" s="30" t="str">
        <f ca="1"/>
        <v>Other - Please see comments</v>
      </c>
      <c r="X8" s="30" t="str">
        <f ca="1"/>
        <v>In progress</v>
      </c>
    </row>
    <row r="9" spans="2:30" x14ac:dyDescent="0.2">
      <c r="H9" s="30" t="str">
        <f ca="1"/>
        <v>5-17-0117</v>
      </c>
      <c r="I9" s="30" t="str">
        <f ca="1"/>
        <v>Latrell Dawson</v>
      </c>
      <c r="J9" s="30">
        <f ca="1"/>
        <v>4</v>
      </c>
      <c r="K9" s="31" t="str">
        <f ca="1"/>
        <v>Dryer does not work properly</v>
      </c>
      <c r="L9" s="30" t="str">
        <f ca="1"/>
        <v>In progress</v>
      </c>
      <c r="N9" s="32" t="str">
        <f ca="1"/>
        <v>5-18-0225</v>
      </c>
      <c r="O9" s="32" t="str">
        <f ca="1"/>
        <v>Yomar Gonzalez</v>
      </c>
      <c r="P9" s="30">
        <f ca="1"/>
        <v>3</v>
      </c>
      <c r="Q9" s="32" t="str">
        <f ca="1"/>
        <v>Other - Please see comments</v>
      </c>
      <c r="R9" s="32" t="str">
        <f ca="1"/>
        <v>In progress</v>
      </c>
      <c r="T9" s="30" t="str">
        <f ca="1"/>
        <v>7-08-0107</v>
      </c>
      <c r="U9" s="30" t="str">
        <f ca="1"/>
        <v>Barron Russell</v>
      </c>
      <c r="V9" s="30">
        <f ca="1"/>
        <v>3</v>
      </c>
      <c r="W9" s="30" t="str">
        <f ca="1"/>
        <v>Other - Please see comments</v>
      </c>
      <c r="X9" s="30" t="str">
        <f ca="1"/>
        <v>In progress</v>
      </c>
    </row>
    <row r="10" spans="2:30" x14ac:dyDescent="0.2">
      <c r="H10" s="30" t="str">
        <f ca="1"/>
        <v>5-18-0102</v>
      </c>
      <c r="I10" s="30" t="str">
        <f ca="1"/>
        <v>Latrell Dawson</v>
      </c>
      <c r="J10" s="30">
        <f ca="1"/>
        <v>4</v>
      </c>
      <c r="K10" s="31" t="str">
        <f ca="1"/>
        <v>Ceiling fan is noisy</v>
      </c>
      <c r="L10" s="30" t="str">
        <f ca="1"/>
        <v>In progress</v>
      </c>
      <c r="N10" s="32" t="str">
        <f ca="1"/>
        <v>5-18-0244</v>
      </c>
      <c r="O10" s="32" t="str">
        <f ca="1"/>
        <v>Yomar Gonzalez</v>
      </c>
      <c r="P10" s="30">
        <f ca="1"/>
        <v>2</v>
      </c>
      <c r="Q10" s="32" t="str">
        <f ca="1"/>
        <v>Water leak</v>
      </c>
      <c r="R10" s="32" t="str">
        <f ca="1"/>
        <v>In progress</v>
      </c>
    </row>
    <row r="11" spans="2:30" x14ac:dyDescent="0.2">
      <c r="N11" s="32" t="str">
        <f ca="1"/>
        <v>5-18-0244</v>
      </c>
      <c r="O11" s="32" t="str">
        <f ca="1"/>
        <v>Yomar Gonzalez</v>
      </c>
      <c r="P11" s="30">
        <f ca="1"/>
        <v>2</v>
      </c>
      <c r="Q11" s="32" t="str">
        <f ca="1"/>
        <v>Heater does not heat properly</v>
      </c>
      <c r="R11" s="32" t="str">
        <f ca="1"/>
        <v>In progress</v>
      </c>
    </row>
    <row r="12" spans="2:30" x14ac:dyDescent="0.2">
      <c r="N12" s="32" t="str">
        <f ca="1"/>
        <v>5-18-0315</v>
      </c>
      <c r="O12" s="32" t="str">
        <f ca="1"/>
        <v>Yomar Gonzalez</v>
      </c>
      <c r="P12" s="30">
        <f ca="1"/>
        <v>2</v>
      </c>
      <c r="Q12" s="32" t="str">
        <f ca="1"/>
        <v>Vents/ducts dirty/odor</v>
      </c>
      <c r="R12" s="32" t="str">
        <f ca="1"/>
        <v>In progress</v>
      </c>
    </row>
    <row r="13" spans="2:30" x14ac:dyDescent="0.2">
      <c r="N13" s="32" t="str">
        <f ca="1"/>
        <v>5-18-0315</v>
      </c>
      <c r="O13" s="32" t="str">
        <f ca="1"/>
        <v>Yomar Gonzalez</v>
      </c>
      <c r="P13" s="30">
        <f ca="1"/>
        <v>2</v>
      </c>
      <c r="Q13" s="32" t="str">
        <f ca="1"/>
        <v>Light bulb is out</v>
      </c>
      <c r="R13" s="32" t="str">
        <f ca="1"/>
        <v>In progress</v>
      </c>
    </row>
    <row r="14" spans="2:30" x14ac:dyDescent="0.2">
      <c r="N14" s="32" t="str">
        <f ca="1"/>
        <v>5-11-0204</v>
      </c>
      <c r="O14" s="32" t="str">
        <f ca="1"/>
        <v>Yomar Gonzalez</v>
      </c>
      <c r="P14" s="30">
        <f ca="1"/>
        <v>2</v>
      </c>
      <c r="Q14" s="32" t="str">
        <f ca="1"/>
        <v>Other - Please see comments</v>
      </c>
      <c r="R14" s="32" t="str">
        <f ca="1"/>
        <v>In progress</v>
      </c>
    </row>
  </sheetData>
  <mergeCells count="5">
    <mergeCell ref="B2:F3"/>
    <mergeCell ref="H2:L3"/>
    <mergeCell ref="N2:R3"/>
    <mergeCell ref="T2:X3"/>
    <mergeCell ref="Z2:AD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5C141-23D6-EF43-A733-FAEB28B033ED}">
  <dimension ref="B2:R10"/>
  <sheetViews>
    <sheetView workbookViewId="0">
      <selection activeCell="U21" sqref="U21"/>
    </sheetView>
  </sheetViews>
  <sheetFormatPr baseColWidth="10" defaultRowHeight="15" x14ac:dyDescent="0.2"/>
  <cols>
    <col min="1" max="1" width="2.5" customWidth="1"/>
    <col min="2" max="2" width="9.1640625" style="36" bestFit="1" customWidth="1"/>
    <col min="3" max="3" width="9.6640625" style="36" bestFit="1" customWidth="1"/>
    <col min="4" max="4" width="8.83203125" style="36" bestFit="1" customWidth="1"/>
    <col min="5" max="5" width="23" style="36" bestFit="1" customWidth="1"/>
    <col min="6" max="6" width="9.5" style="36" customWidth="1"/>
    <col min="7" max="7" width="1" customWidth="1"/>
    <col min="8" max="8" width="10" style="13" customWidth="1"/>
    <col min="9" max="9" width="10.83203125" customWidth="1"/>
    <col min="10" max="10" width="8.83203125" style="13" bestFit="1" customWidth="1"/>
    <col min="11" max="11" width="22.6640625" bestFit="1" customWidth="1"/>
    <col min="12" max="12" width="10.33203125" customWidth="1"/>
    <col min="13" max="13" width="2.1640625" customWidth="1"/>
    <col min="14" max="14" width="9.1640625" style="13" bestFit="1" customWidth="1"/>
    <col min="15" max="15" width="9.6640625" style="13" bestFit="1" customWidth="1"/>
    <col min="16" max="16" width="8.83203125" style="13" bestFit="1" customWidth="1"/>
    <col min="17" max="17" width="22.6640625" style="13" bestFit="1" customWidth="1"/>
    <col min="18" max="18" width="9.33203125" style="13" bestFit="1" customWidth="1"/>
  </cols>
  <sheetData>
    <row r="2" spans="2:18" x14ac:dyDescent="0.2">
      <c r="B2" s="46" t="s">
        <v>633</v>
      </c>
      <c r="C2" s="46"/>
      <c r="D2" s="46"/>
      <c r="E2" s="46"/>
      <c r="F2" s="46"/>
      <c r="H2" s="47" t="s">
        <v>634</v>
      </c>
      <c r="I2" s="47"/>
      <c r="J2" s="47"/>
      <c r="K2" s="47"/>
      <c r="L2" s="47"/>
      <c r="N2" s="48" t="s">
        <v>635</v>
      </c>
      <c r="O2" s="48"/>
      <c r="P2" s="48"/>
      <c r="Q2" s="48"/>
      <c r="R2" s="48"/>
    </row>
    <row r="3" spans="2:18" x14ac:dyDescent="0.2">
      <c r="B3" s="46"/>
      <c r="C3" s="46"/>
      <c r="D3" s="46"/>
      <c r="E3" s="46"/>
      <c r="F3" s="46"/>
      <c r="H3" s="47"/>
      <c r="I3" s="47"/>
      <c r="J3" s="47"/>
      <c r="K3" s="47"/>
      <c r="L3" s="47"/>
      <c r="N3" s="48"/>
      <c r="O3" s="48"/>
      <c r="P3" s="48"/>
      <c r="Q3" s="48"/>
      <c r="R3" s="48"/>
    </row>
    <row r="4" spans="2:18" x14ac:dyDescent="0.2">
      <c r="B4" s="37" t="str" cm="1">
        <f t="array" aca="1" ref="B4:F9" ca="1">_xlfn._xlws.PY(11,0,SEV_REQUEST[])</f>
        <v>Unit</v>
      </c>
      <c r="C4" s="38" t="str">
        <f ca="1"/>
        <v>Assigned to</v>
      </c>
      <c r="D4" s="38" t="str">
        <f ca="1"/>
        <v>Days open</v>
      </c>
      <c r="E4" s="38" t="str">
        <f ca="1"/>
        <v>Issue</v>
      </c>
      <c r="F4" s="38" t="str">
        <f ca="1"/>
        <v>Status</v>
      </c>
      <c r="H4" s="37" t="str" cm="1">
        <f t="array" aca="1" ref="H4:L10" ca="1">_xlfn._xlws.PY(12,0,SEV_REQUEST[])</f>
        <v>Unit</v>
      </c>
      <c r="I4" s="11" t="str">
        <f ca="1"/>
        <v>Assigned to</v>
      </c>
      <c r="J4" s="12" t="str">
        <f ca="1"/>
        <v>Days open</v>
      </c>
      <c r="K4" s="11" t="str">
        <f ca="1"/>
        <v>Issue</v>
      </c>
      <c r="L4" s="11" t="str">
        <f ca="1"/>
        <v>Status</v>
      </c>
      <c r="N4" s="37" t="str" cm="1">
        <f t="array" aca="1" ref="N4:R9" ca="1">_xlfn._xlws.PY(13,0,SEV_REQUEST[])</f>
        <v>Unit</v>
      </c>
      <c r="O4" s="12" t="str">
        <f ca="1"/>
        <v>Assigned to</v>
      </c>
      <c r="P4" s="12" t="str">
        <f ca="1"/>
        <v>Days open</v>
      </c>
      <c r="Q4" s="12" t="str">
        <f ca="1"/>
        <v>Issue</v>
      </c>
      <c r="R4" s="12" t="str">
        <f ca="1"/>
        <v>Status</v>
      </c>
    </row>
    <row r="5" spans="2:18" x14ac:dyDescent="0.2">
      <c r="B5" s="36" t="str">
        <f ca="1"/>
        <v>5-18-0137</v>
      </c>
      <c r="C5" s="36" t="str">
        <f ca="1"/>
        <v>Unassigned</v>
      </c>
      <c r="D5" s="36">
        <f ca="1"/>
        <v>6</v>
      </c>
      <c r="E5" s="36" t="str">
        <f ca="1"/>
        <v>Other - Please see comments</v>
      </c>
      <c r="F5" s="36" t="str">
        <f ca="1"/>
        <v>In progress</v>
      </c>
      <c r="H5" s="13" t="str">
        <f ca="1"/>
        <v>7-11-0508</v>
      </c>
      <c r="I5" t="str">
        <f ca="1"/>
        <v>Unassigned</v>
      </c>
      <c r="J5" s="13">
        <f ca="1"/>
        <v>6</v>
      </c>
      <c r="K5" t="str">
        <f ca="1"/>
        <v>Make Ready</v>
      </c>
      <c r="L5" t="str">
        <f ca="1"/>
        <v>In progress</v>
      </c>
      <c r="N5" s="13" t="str">
        <f ca="1"/>
        <v>8-01-3120</v>
      </c>
      <c r="O5" s="13" t="str">
        <f ca="1"/>
        <v>Unassigned</v>
      </c>
      <c r="P5" s="13">
        <f ca="1"/>
        <v>72</v>
      </c>
      <c r="Q5" s="13" t="str">
        <f ca="1"/>
        <v>Cabinet door missing</v>
      </c>
      <c r="R5" s="13" t="str">
        <f ca="1"/>
        <v>In progress</v>
      </c>
    </row>
    <row r="6" spans="2:18" x14ac:dyDescent="0.2">
      <c r="B6" s="36" t="str">
        <f ca="1"/>
        <v>5-04-5740</v>
      </c>
      <c r="C6" s="36" t="str">
        <f ca="1"/>
        <v>Unassigned</v>
      </c>
      <c r="D6" s="36">
        <f ca="1"/>
        <v>2</v>
      </c>
      <c r="E6" s="36" t="str">
        <f ca="1"/>
        <v>Pest Control requested</v>
      </c>
      <c r="F6" s="36" t="str">
        <f ca="1"/>
        <v>In progress</v>
      </c>
      <c r="H6" s="13" t="str">
        <f ca="1"/>
        <v>7-03-0113</v>
      </c>
      <c r="I6" t="str">
        <f ca="1"/>
        <v>Unassigned</v>
      </c>
      <c r="J6" s="13">
        <f ca="1"/>
        <v>3</v>
      </c>
      <c r="K6" t="str">
        <f ca="1"/>
        <v>Drafts or poor air circulation</v>
      </c>
      <c r="L6" t="str">
        <f ca="1"/>
        <v>In progress</v>
      </c>
      <c r="N6" s="13" t="str">
        <f ca="1"/>
        <v>8-01-1005</v>
      </c>
      <c r="O6" s="13" t="str">
        <f ca="1"/>
        <v>Unassigned</v>
      </c>
      <c r="P6" s="13">
        <f ca="1"/>
        <v>1</v>
      </c>
      <c r="Q6" s="13" t="str">
        <f ca="1"/>
        <v>Other - Please see comments</v>
      </c>
      <c r="R6" s="13" t="str">
        <f ca="1"/>
        <v>In progress</v>
      </c>
    </row>
    <row r="7" spans="2:18" x14ac:dyDescent="0.2">
      <c r="B7" s="36" t="str">
        <f ca="1"/>
        <v>5-18-0128</v>
      </c>
      <c r="C7" s="36" t="str">
        <f ca="1"/>
        <v>Unassigned</v>
      </c>
      <c r="D7" s="36">
        <f ca="1"/>
        <v>2</v>
      </c>
      <c r="E7" s="36" t="str">
        <f ca="1"/>
        <v>Pest Control requested</v>
      </c>
      <c r="F7" s="36" t="str">
        <f ca="1"/>
        <v>In progress</v>
      </c>
      <c r="H7" s="13" t="str">
        <f ca="1"/>
        <v>7-02-0313</v>
      </c>
      <c r="I7" t="str">
        <f ca="1"/>
        <v>Unassigned</v>
      </c>
      <c r="J7" s="13">
        <f ca="1"/>
        <v>3</v>
      </c>
      <c r="K7" t="str">
        <f ca="1"/>
        <v>Washer will not fill/drain</v>
      </c>
      <c r="L7" t="str">
        <f ca="1"/>
        <v>In progress</v>
      </c>
      <c r="N7" s="13" t="str">
        <f ca="1"/>
        <v>8-01-4049</v>
      </c>
      <c r="O7" s="13" t="str">
        <f ca="1"/>
        <v>Unassigned</v>
      </c>
      <c r="P7" s="13">
        <f ca="1"/>
        <v>1</v>
      </c>
      <c r="Q7" s="13" t="str">
        <f ca="1"/>
        <v>SmartLock broken</v>
      </c>
      <c r="R7" s="13" t="str">
        <f ca="1"/>
        <v>In progress</v>
      </c>
    </row>
    <row r="8" spans="2:18" x14ac:dyDescent="0.2">
      <c r="B8" s="36" t="str">
        <f ca="1"/>
        <v>5-18-0111</v>
      </c>
      <c r="C8" s="36" t="str">
        <f ca="1"/>
        <v>Unassigned</v>
      </c>
      <c r="D8" s="36">
        <f ca="1"/>
        <v>1</v>
      </c>
      <c r="E8" s="36" t="str">
        <f ca="1"/>
        <v>Shower-other problem</v>
      </c>
      <c r="F8" s="36" t="str">
        <f ca="1"/>
        <v>In progress</v>
      </c>
      <c r="H8" s="13" t="str">
        <f ca="1"/>
        <v>7-04-0212</v>
      </c>
      <c r="I8" t="str">
        <f ca="1"/>
        <v>Unassigned</v>
      </c>
      <c r="J8" s="13">
        <f ca="1"/>
        <v>2</v>
      </c>
      <c r="K8" t="str">
        <f ca="1"/>
        <v>Sink-other problem</v>
      </c>
      <c r="L8" t="str">
        <f ca="1"/>
        <v>In progress</v>
      </c>
      <c r="N8" s="13" t="str">
        <f ca="1"/>
        <v>8-01-3076</v>
      </c>
      <c r="O8" s="13" t="str">
        <f ca="1"/>
        <v>Unassigned</v>
      </c>
      <c r="P8" s="13">
        <f ca="1"/>
        <v>1</v>
      </c>
      <c r="Q8" s="13" t="str">
        <f ca="1"/>
        <v>Other - Please see comments</v>
      </c>
      <c r="R8" s="13" t="str">
        <f ca="1"/>
        <v>In progress</v>
      </c>
    </row>
    <row r="9" spans="2:18" x14ac:dyDescent="0.2">
      <c r="B9" s="36" t="str">
        <f ca="1"/>
        <v>5-18-0310</v>
      </c>
      <c r="C9" s="36" t="str">
        <f ca="1"/>
        <v>Unassigned</v>
      </c>
      <c r="D9" s="36">
        <f ca="1"/>
        <v>1</v>
      </c>
      <c r="E9" s="36" t="str">
        <f ca="1"/>
        <v>Faucet-other problem</v>
      </c>
      <c r="F9" s="36" t="str">
        <f ca="1"/>
        <v>In progress</v>
      </c>
      <c r="H9" s="13" t="str">
        <f ca="1"/>
        <v>7-02-0204</v>
      </c>
      <c r="I9" t="str">
        <f ca="1"/>
        <v>Unassigned</v>
      </c>
      <c r="J9" s="13">
        <f ca="1"/>
        <v>2</v>
      </c>
      <c r="K9" t="str">
        <f ca="1"/>
        <v>DW does not work</v>
      </c>
      <c r="L9" t="str">
        <f ca="1"/>
        <v>In progress</v>
      </c>
      <c r="N9" s="13" t="str">
        <f ca="1"/>
        <v>8-01-2039</v>
      </c>
      <c r="O9" s="13" t="str">
        <f ca="1"/>
        <v>Unassigned</v>
      </c>
      <c r="P9" s="13">
        <f ca="1"/>
        <v>1</v>
      </c>
      <c r="Q9" s="13" t="str">
        <f ca="1"/>
        <v>Shower clogged</v>
      </c>
      <c r="R9" s="13" t="str">
        <f ca="1"/>
        <v>In progress</v>
      </c>
    </row>
    <row r="10" spans="2:18" x14ac:dyDescent="0.2">
      <c r="H10" s="13" t="str">
        <f ca="1"/>
        <v>7-02-0204</v>
      </c>
      <c r="I10" t="str">
        <f ca="1"/>
        <v>Unassigned</v>
      </c>
      <c r="J10" s="13">
        <f ca="1"/>
        <v>2</v>
      </c>
      <c r="K10" t="str">
        <f ca="1"/>
        <v>Other mail issue</v>
      </c>
      <c r="L10" t="str">
        <f ca="1"/>
        <v>In progress</v>
      </c>
    </row>
  </sheetData>
  <mergeCells count="3">
    <mergeCell ref="B2:F3"/>
    <mergeCell ref="H2:L3"/>
    <mergeCell ref="N2:R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D2D2-9FD1-9C4D-A41E-D973BB2CA3C4}">
  <dimension ref="B3:AD15"/>
  <sheetViews>
    <sheetView topLeftCell="E1" workbookViewId="0">
      <selection activeCell="Z5" sqref="Z5"/>
    </sheetView>
  </sheetViews>
  <sheetFormatPr baseColWidth="10" defaultRowHeight="15" x14ac:dyDescent="0.2"/>
  <cols>
    <col min="1" max="1" width="1.6640625" customWidth="1"/>
    <col min="2" max="2" width="9.1640625" style="13" bestFit="1" customWidth="1"/>
    <col min="3" max="3" width="12.33203125" style="13" bestFit="1" customWidth="1"/>
    <col min="4" max="4" width="8.83203125" style="13" bestFit="1" customWidth="1"/>
    <col min="5" max="5" width="23.5" style="13" bestFit="1" customWidth="1"/>
    <col min="6" max="6" width="11.6640625" style="13" customWidth="1"/>
    <col min="7" max="7" width="2.5" customWidth="1"/>
    <col min="8" max="8" width="9.1640625" style="13" bestFit="1" customWidth="1"/>
    <col min="9" max="9" width="12.33203125" style="13" bestFit="1" customWidth="1"/>
    <col min="10" max="10" width="8.83203125" style="13" bestFit="1" customWidth="1"/>
    <col min="11" max="11" width="26.6640625" style="13" customWidth="1"/>
    <col min="12" max="12" width="9.33203125" style="13" bestFit="1" customWidth="1"/>
    <col min="13" max="13" width="1.1640625" customWidth="1"/>
    <col min="14" max="16" width="10.83203125" style="13"/>
    <col min="17" max="17" width="27.6640625" style="13" customWidth="1"/>
    <col min="18" max="18" width="10.83203125" style="13"/>
    <col min="19" max="19" width="2.1640625" customWidth="1"/>
    <col min="20" max="20" width="10.6640625" style="13" bestFit="1" customWidth="1"/>
    <col min="21" max="21" width="13.33203125" style="13" customWidth="1"/>
    <col min="22" max="22" width="8.83203125" style="13" bestFit="1" customWidth="1"/>
    <col min="23" max="23" width="23.5" style="13" bestFit="1" customWidth="1"/>
    <col min="24" max="24" width="9.33203125" style="13" bestFit="1" customWidth="1"/>
    <col min="25" max="25" width="2.5" customWidth="1"/>
    <col min="26" max="26" width="11.1640625" style="13" bestFit="1" customWidth="1"/>
    <col min="27" max="27" width="15.1640625" style="13" customWidth="1"/>
    <col min="28" max="28" width="10.83203125" style="13" bestFit="1" customWidth="1"/>
    <col min="29" max="29" width="27.6640625" style="13" bestFit="1" customWidth="1"/>
    <col min="30" max="30" width="9.1640625" style="13" bestFit="1" customWidth="1"/>
  </cols>
  <sheetData>
    <row r="3" spans="2:30" x14ac:dyDescent="0.2">
      <c r="B3" s="49" t="s">
        <v>235</v>
      </c>
      <c r="C3" s="50"/>
      <c r="D3" s="50"/>
      <c r="E3" s="50"/>
      <c r="F3" s="51"/>
      <c r="H3" s="49" t="s">
        <v>235</v>
      </c>
      <c r="I3" s="50"/>
      <c r="J3" s="50"/>
      <c r="K3" s="50"/>
      <c r="L3" s="51"/>
      <c r="N3" s="49" t="s">
        <v>636</v>
      </c>
      <c r="O3" s="50"/>
      <c r="P3" s="50"/>
      <c r="Q3" s="50"/>
      <c r="R3" s="51"/>
      <c r="T3" s="49" t="s">
        <v>101</v>
      </c>
      <c r="U3" s="50"/>
      <c r="V3" s="50"/>
      <c r="W3" s="50"/>
      <c r="X3" s="51"/>
      <c r="Z3" s="49" t="s">
        <v>101</v>
      </c>
      <c r="AA3" s="50"/>
      <c r="AB3" s="50"/>
      <c r="AC3" s="50"/>
      <c r="AD3" s="51"/>
    </row>
    <row r="4" spans="2:30" x14ac:dyDescent="0.2">
      <c r="B4" s="52"/>
      <c r="C4" s="53"/>
      <c r="D4" s="53"/>
      <c r="E4" s="53"/>
      <c r="F4" s="54"/>
      <c r="H4" s="52"/>
      <c r="I4" s="53"/>
      <c r="J4" s="53"/>
      <c r="K4" s="53"/>
      <c r="L4" s="54"/>
      <c r="N4" s="52"/>
      <c r="O4" s="53"/>
      <c r="P4" s="53"/>
      <c r="Q4" s="53"/>
      <c r="R4" s="54"/>
      <c r="T4" s="52"/>
      <c r="U4" s="53"/>
      <c r="V4" s="53"/>
      <c r="W4" s="53"/>
      <c r="X4" s="54"/>
      <c r="Z4" s="52"/>
      <c r="AA4" s="53"/>
      <c r="AB4" s="53"/>
      <c r="AC4" s="53"/>
      <c r="AD4" s="54"/>
    </row>
    <row r="5" spans="2:30" ht="19" customHeight="1" x14ac:dyDescent="0.25">
      <c r="B5" s="39" t="str" cm="1">
        <f t="array" aca="1" ref="B5:F11" ca="1">_xlfn._xlws.PY(7,0,SEV_REQUEST[])</f>
        <v>Unit</v>
      </c>
      <c r="C5" s="12" t="str">
        <f ca="1"/>
        <v>Assigned to</v>
      </c>
      <c r="D5" s="12" t="str">
        <f ca="1"/>
        <v>Days open</v>
      </c>
      <c r="E5" s="12" t="str">
        <f ca="1"/>
        <v>Issue</v>
      </c>
      <c r="F5" s="12" t="str">
        <f ca="1"/>
        <v>Status</v>
      </c>
      <c r="H5" s="39" t="str" cm="1">
        <f t="array" aca="1" ref="H5:L9" ca="1">_xlfn._xlws.PY(14,0,SEV_REQUEST[])</f>
        <v>Unit</v>
      </c>
      <c r="I5" s="12" t="str">
        <f ca="1"/>
        <v>Assigned to</v>
      </c>
      <c r="J5" s="12" t="str">
        <f ca="1"/>
        <v>Days open</v>
      </c>
      <c r="K5" s="12" t="str">
        <f ca="1"/>
        <v>Issue</v>
      </c>
      <c r="L5" s="12" t="str">
        <f ca="1"/>
        <v>Status</v>
      </c>
      <c r="N5" s="39" t="str" cm="1">
        <f t="array" aca="1" ref="N5:R10" ca="1">_xlfn._xlws.PY(15,0,SEV_REQUEST[])</f>
        <v>Unit</v>
      </c>
      <c r="O5" s="12" t="str">
        <f ca="1"/>
        <v>Assigned to</v>
      </c>
      <c r="P5" s="12" t="str">
        <f ca="1"/>
        <v>Days open</v>
      </c>
      <c r="Q5" s="12" t="str">
        <f ca="1"/>
        <v>Issue</v>
      </c>
      <c r="R5" s="12" t="str">
        <f ca="1"/>
        <v>Status</v>
      </c>
      <c r="T5" s="39" t="str" cm="1">
        <f t="array" aca="1" ref="T5:X15" ca="1">_xlfn._xlws.PY(8,0,SEV_REQUEST[])</f>
        <v>Unit</v>
      </c>
      <c r="U5" s="12" t="str">
        <f ca="1"/>
        <v>Assigned to</v>
      </c>
      <c r="V5" s="12" t="str">
        <f ca="1"/>
        <v>Days open</v>
      </c>
      <c r="W5" s="12" t="str">
        <f ca="1"/>
        <v>Issue</v>
      </c>
      <c r="X5" s="12" t="str">
        <f ca="1"/>
        <v>Status</v>
      </c>
      <c r="Z5" s="39" t="str" cm="1">
        <f t="array" aca="1" ref="Z5:AD9" ca="1">_xlfn._xlws.PY(16,0,SEV_REQUEST[])</f>
        <v>Unit</v>
      </c>
      <c r="AA5" s="12" t="str">
        <f ca="1"/>
        <v>Assigned to</v>
      </c>
      <c r="AB5" s="12" t="str">
        <f ca="1"/>
        <v>Days open</v>
      </c>
      <c r="AC5" s="12" t="str">
        <f ca="1"/>
        <v>Issue</v>
      </c>
      <c r="AD5" s="12" t="str">
        <f ca="1"/>
        <v>Status</v>
      </c>
    </row>
    <row r="6" spans="2:30" ht="15" customHeight="1" x14ac:dyDescent="0.2">
      <c r="B6" s="13" t="str">
        <f ca="1"/>
        <v>5-18-0216</v>
      </c>
      <c r="C6" s="13" t="str">
        <f ca="1"/>
        <v>Latrell Dawson</v>
      </c>
      <c r="D6" s="13">
        <f ca="1"/>
        <v>21</v>
      </c>
      <c r="E6" s="13" t="str">
        <f ca="1"/>
        <v>Other - Please see comments</v>
      </c>
      <c r="F6" s="13" t="str">
        <f ca="1"/>
        <v>In progress</v>
      </c>
      <c r="H6" s="13" t="str">
        <f ca="1"/>
        <v>5-18-0425</v>
      </c>
      <c r="I6" s="13" t="str">
        <f ca="1"/>
        <v>Latrell Dawson</v>
      </c>
      <c r="J6" s="13">
        <f ca="1"/>
        <v>64</v>
      </c>
      <c r="K6" s="13" t="str">
        <f ca="1"/>
        <v>Gutter damaged</v>
      </c>
      <c r="L6" s="13" t="str">
        <f ca="1"/>
        <v>On hold</v>
      </c>
      <c r="N6" s="13" t="str">
        <f ca="1"/>
        <v>5-18-0137</v>
      </c>
      <c r="O6" s="13" t="str">
        <f ca="1"/>
        <v>Unassigned</v>
      </c>
      <c r="P6" s="13">
        <f ca="1"/>
        <v>6</v>
      </c>
      <c r="Q6" s="13" t="str">
        <f ca="1"/>
        <v>Other - Please see comments</v>
      </c>
      <c r="R6" s="13" t="str">
        <f ca="1"/>
        <v>In progress</v>
      </c>
      <c r="T6" s="13" t="str">
        <f ca="1"/>
        <v>5-18-0330</v>
      </c>
      <c r="U6" s="13" t="str">
        <f ca="1"/>
        <v>Yomar Gonzalez</v>
      </c>
      <c r="V6" s="13">
        <f ca="1"/>
        <v>17</v>
      </c>
      <c r="W6" s="13" t="str">
        <f ca="1"/>
        <v>Washer-other problem</v>
      </c>
      <c r="X6" s="13" t="str">
        <f ca="1"/>
        <v>In progress</v>
      </c>
      <c r="Z6" s="13" t="str">
        <f ca="1"/>
        <v>5-04-5740</v>
      </c>
      <c r="AA6" s="13" t="str">
        <f ca="1"/>
        <v>Yomar Gonzalez</v>
      </c>
      <c r="AB6" s="13">
        <f ca="1"/>
        <v>50</v>
      </c>
      <c r="AC6" s="13" t="str">
        <f ca="1"/>
        <v>Mirror-other problem</v>
      </c>
      <c r="AD6" s="13" t="str">
        <f ca="1"/>
        <v>On hold</v>
      </c>
    </row>
    <row r="7" spans="2:30" x14ac:dyDescent="0.2">
      <c r="B7" s="13" t="str">
        <f ca="1"/>
        <v>5-18-0312</v>
      </c>
      <c r="C7" s="13" t="str">
        <f ca="1"/>
        <v>Latrell Dawson</v>
      </c>
      <c r="D7" s="13">
        <f ca="1"/>
        <v>13</v>
      </c>
      <c r="E7" s="13" t="str">
        <f ca="1"/>
        <v>Paint faded/chipped</v>
      </c>
      <c r="F7" s="13" t="str">
        <f ca="1"/>
        <v>In progress</v>
      </c>
      <c r="H7" s="13" t="str">
        <f ca="1"/>
        <v>4-26-0422</v>
      </c>
      <c r="I7" s="13" t="str">
        <f ca="1"/>
        <v>Latrell Dawson</v>
      </c>
      <c r="J7" s="13">
        <f ca="1"/>
        <v>64</v>
      </c>
      <c r="K7" s="13" t="str">
        <f ca="1"/>
        <v>Wood floor broken/needs repair</v>
      </c>
      <c r="L7" s="13" t="str">
        <f ca="1"/>
        <v>On hold</v>
      </c>
      <c r="N7" s="13" t="str">
        <f ca="1"/>
        <v>5-04-5740</v>
      </c>
      <c r="O7" s="13" t="str">
        <f ca="1"/>
        <v>Unassigned</v>
      </c>
      <c r="P7" s="13">
        <f ca="1"/>
        <v>2</v>
      </c>
      <c r="Q7" s="13" t="str">
        <f ca="1"/>
        <v>Pest Control requested</v>
      </c>
      <c r="R7" s="13" t="str">
        <f ca="1"/>
        <v>In progress</v>
      </c>
      <c r="T7" s="13" t="str">
        <f ca="1"/>
        <v>5-18-0413</v>
      </c>
      <c r="U7" s="13" t="str">
        <f ca="1"/>
        <v>Yomar Gonzalez</v>
      </c>
      <c r="V7" s="13">
        <f ca="1"/>
        <v>7</v>
      </c>
      <c r="W7" s="13" t="str">
        <f ca="1"/>
        <v>Other - Please see comments</v>
      </c>
      <c r="X7" s="13" t="str">
        <f ca="1"/>
        <v>In progress</v>
      </c>
      <c r="Z7" s="13" t="str">
        <f ca="1"/>
        <v>7-04-0209</v>
      </c>
      <c r="AA7" s="13" t="str">
        <f ca="1"/>
        <v>Yomar Gonzalez</v>
      </c>
      <c r="AB7" s="13">
        <f ca="1"/>
        <v>4</v>
      </c>
      <c r="AC7" s="13" t="str">
        <f ca="1"/>
        <v>Int door hinge problems</v>
      </c>
      <c r="AD7" s="13" t="str">
        <f ca="1"/>
        <v>On hold</v>
      </c>
    </row>
    <row r="8" spans="2:30" x14ac:dyDescent="0.2">
      <c r="B8" s="13" t="str">
        <f ca="1"/>
        <v>5-16-0303</v>
      </c>
      <c r="C8" s="13" t="str">
        <f ca="1"/>
        <v>Latrell Dawson</v>
      </c>
      <c r="D8" s="13">
        <f ca="1"/>
        <v>9</v>
      </c>
      <c r="E8" s="13" t="str">
        <f ca="1"/>
        <v>Other - Please see comments</v>
      </c>
      <c r="F8" s="13" t="str">
        <f ca="1"/>
        <v>In progress</v>
      </c>
      <c r="H8" s="13" t="str">
        <f ca="1"/>
        <v>5-12-0205</v>
      </c>
      <c r="I8" s="13" t="str">
        <f ca="1"/>
        <v>Latrell Dawson</v>
      </c>
      <c r="J8" s="13">
        <f ca="1"/>
        <v>54</v>
      </c>
      <c r="K8" s="13" t="str">
        <f ca="1"/>
        <v>Cabinet door missing</v>
      </c>
      <c r="L8" s="13" t="str">
        <f ca="1"/>
        <v>On hold</v>
      </c>
      <c r="N8" s="13" t="str">
        <f ca="1"/>
        <v>5-18-0128</v>
      </c>
      <c r="O8" s="13" t="str">
        <f ca="1"/>
        <v>Unassigned</v>
      </c>
      <c r="P8" s="13">
        <f ca="1"/>
        <v>2</v>
      </c>
      <c r="Q8" s="13" t="str">
        <f ca="1"/>
        <v>Pest Control requested</v>
      </c>
      <c r="R8" s="13" t="str">
        <f ca="1"/>
        <v>In progress</v>
      </c>
      <c r="T8" s="13" t="str">
        <f ca="1"/>
        <v>5-01-0213</v>
      </c>
      <c r="U8" s="13" t="str">
        <f ca="1"/>
        <v>Yomar Gonzalez</v>
      </c>
      <c r="V8" s="13">
        <f ca="1"/>
        <v>4</v>
      </c>
      <c r="W8" s="13" t="str">
        <f ca="1"/>
        <v>Ceiling fan is noisy</v>
      </c>
      <c r="X8" s="13" t="str">
        <f ca="1"/>
        <v>In progress</v>
      </c>
      <c r="Z8" s="13" t="str">
        <f ca="1"/>
        <v>5-02-0313</v>
      </c>
      <c r="AA8" s="13" t="str">
        <f ca="1"/>
        <v>Yomar Gonzalez</v>
      </c>
      <c r="AB8" s="13">
        <f ca="1"/>
        <v>3</v>
      </c>
      <c r="AC8" s="13" t="str">
        <f ca="1"/>
        <v>Heater-other problem</v>
      </c>
      <c r="AD8" s="13" t="str">
        <f ca="1"/>
        <v>On hold</v>
      </c>
    </row>
    <row r="9" spans="2:30" x14ac:dyDescent="0.2">
      <c r="B9" s="13" t="str">
        <f ca="1"/>
        <v>5-18-0320</v>
      </c>
      <c r="C9" s="13" t="str">
        <f ca="1"/>
        <v>Latrell Dawson</v>
      </c>
      <c r="D9" s="13">
        <f ca="1"/>
        <v>6</v>
      </c>
      <c r="E9" s="13" t="str">
        <f ca="1"/>
        <v>Frig/freezer/ice maker leaks</v>
      </c>
      <c r="F9" s="13" t="str">
        <f ca="1"/>
        <v>In progress</v>
      </c>
      <c r="H9" s="13" t="str">
        <f ca="1"/>
        <v>4-26-0102</v>
      </c>
      <c r="I9" s="13" t="str">
        <f ca="1"/>
        <v>Latrell Dawson</v>
      </c>
      <c r="J9" s="13">
        <f ca="1"/>
        <v>6</v>
      </c>
      <c r="K9" s="13" t="str">
        <f ca="1"/>
        <v>Washer will not fill/drain</v>
      </c>
      <c r="L9" s="13" t="str">
        <f ca="1"/>
        <v>On hold</v>
      </c>
      <c r="N9" s="13" t="str">
        <f ca="1"/>
        <v>5-18-0111</v>
      </c>
      <c r="O9" s="13" t="str">
        <f ca="1"/>
        <v>Unassigned</v>
      </c>
      <c r="P9" s="13">
        <f ca="1"/>
        <v>1</v>
      </c>
      <c r="Q9" s="13" t="str">
        <f ca="1"/>
        <v>Shower-other problem</v>
      </c>
      <c r="R9" s="13" t="str">
        <f ca="1"/>
        <v>In progress</v>
      </c>
      <c r="T9" s="13" t="str">
        <f ca="1"/>
        <v>5-01-0218</v>
      </c>
      <c r="U9" s="13" t="str">
        <f ca="1"/>
        <v>Yomar Gonzalez</v>
      </c>
      <c r="V9" s="13">
        <f ca="1"/>
        <v>3</v>
      </c>
      <c r="W9" s="13" t="str">
        <f ca="1"/>
        <v>Other - Please see comments</v>
      </c>
      <c r="X9" s="13" t="str">
        <f ca="1"/>
        <v>In progress</v>
      </c>
      <c r="Z9" s="13" t="str">
        <f ca="1"/>
        <v>5-17-0316</v>
      </c>
      <c r="AA9" s="13" t="str">
        <f ca="1"/>
        <v>Yomar Gonzalez</v>
      </c>
      <c r="AB9" s="13">
        <f ca="1"/>
        <v>2</v>
      </c>
      <c r="AC9" s="13" t="str">
        <f ca="1"/>
        <v>Light bulb is out</v>
      </c>
      <c r="AD9" s="13" t="str">
        <f ca="1"/>
        <v>On hold</v>
      </c>
    </row>
    <row r="10" spans="2:30" x14ac:dyDescent="0.2">
      <c r="B10" s="13" t="str">
        <f ca="1"/>
        <v>5-17-0117</v>
      </c>
      <c r="C10" s="13" t="str">
        <f ca="1"/>
        <v>Latrell Dawson</v>
      </c>
      <c r="D10" s="13">
        <f ca="1"/>
        <v>4</v>
      </c>
      <c r="E10" s="13" t="str">
        <f ca="1"/>
        <v>Dryer does not work properly</v>
      </c>
      <c r="F10" s="13" t="str">
        <f ca="1"/>
        <v>In progress</v>
      </c>
      <c r="N10" s="13" t="str">
        <f ca="1"/>
        <v>5-18-0310</v>
      </c>
      <c r="O10" s="13" t="str">
        <f ca="1"/>
        <v>Unassigned</v>
      </c>
      <c r="P10" s="13">
        <f ca="1"/>
        <v>1</v>
      </c>
      <c r="Q10" s="13" t="str">
        <f ca="1"/>
        <v>Faucet-other problem</v>
      </c>
      <c r="R10" s="13" t="str">
        <f ca="1"/>
        <v>In progress</v>
      </c>
      <c r="T10" s="13" t="str">
        <f ca="1"/>
        <v>5-18-0225</v>
      </c>
      <c r="U10" s="13" t="str">
        <f ca="1"/>
        <v>Yomar Gonzalez</v>
      </c>
      <c r="V10" s="13">
        <f ca="1"/>
        <v>3</v>
      </c>
      <c r="W10" s="13" t="str">
        <f ca="1"/>
        <v>Other - Please see comments</v>
      </c>
      <c r="X10" s="13" t="str">
        <f ca="1"/>
        <v>In progress</v>
      </c>
    </row>
    <row r="11" spans="2:30" x14ac:dyDescent="0.2">
      <c r="B11" s="13" t="str">
        <f ca="1"/>
        <v>5-18-0102</v>
      </c>
      <c r="C11" s="13" t="str">
        <f ca="1"/>
        <v>Latrell Dawson</v>
      </c>
      <c r="D11" s="13">
        <f ca="1"/>
        <v>4</v>
      </c>
      <c r="E11" s="13" t="str">
        <f ca="1"/>
        <v>Ceiling fan is noisy</v>
      </c>
      <c r="F11" s="13" t="str">
        <f ca="1"/>
        <v>In progress</v>
      </c>
      <c r="T11" s="13" t="str">
        <f ca="1"/>
        <v>5-18-0244</v>
      </c>
      <c r="U11" s="13" t="str">
        <f ca="1"/>
        <v>Yomar Gonzalez</v>
      </c>
      <c r="V11" s="13">
        <f ca="1"/>
        <v>2</v>
      </c>
      <c r="W11" s="13" t="str">
        <f ca="1"/>
        <v>Water leak</v>
      </c>
      <c r="X11" s="13" t="str">
        <f ca="1"/>
        <v>In progress</v>
      </c>
    </row>
    <row r="12" spans="2:30" x14ac:dyDescent="0.2">
      <c r="T12" s="13" t="str">
        <f ca="1"/>
        <v>5-18-0244</v>
      </c>
      <c r="U12" s="13" t="str">
        <f ca="1"/>
        <v>Yomar Gonzalez</v>
      </c>
      <c r="V12" s="13">
        <f ca="1"/>
        <v>2</v>
      </c>
      <c r="W12" s="13" t="str">
        <f ca="1"/>
        <v>Heater does not heat properly</v>
      </c>
      <c r="X12" s="13" t="str">
        <f ca="1"/>
        <v>In progress</v>
      </c>
    </row>
    <row r="13" spans="2:30" x14ac:dyDescent="0.2">
      <c r="T13" s="13" t="str">
        <f ca="1"/>
        <v>5-18-0315</v>
      </c>
      <c r="U13" s="13" t="str">
        <f ca="1"/>
        <v>Yomar Gonzalez</v>
      </c>
      <c r="V13" s="13">
        <f ca="1"/>
        <v>2</v>
      </c>
      <c r="W13" s="13" t="str">
        <f ca="1"/>
        <v>Vents/ducts dirty/odor</v>
      </c>
      <c r="X13" s="13" t="str">
        <f ca="1"/>
        <v>In progress</v>
      </c>
    </row>
    <row r="14" spans="2:30" x14ac:dyDescent="0.2">
      <c r="T14" s="13" t="str">
        <f ca="1"/>
        <v>5-18-0315</v>
      </c>
      <c r="U14" s="13" t="str">
        <f ca="1"/>
        <v>Yomar Gonzalez</v>
      </c>
      <c r="V14" s="13">
        <f ca="1"/>
        <v>2</v>
      </c>
      <c r="W14" s="13" t="str">
        <f ca="1"/>
        <v>Light bulb is out</v>
      </c>
      <c r="X14" s="13" t="str">
        <f ca="1"/>
        <v>In progress</v>
      </c>
    </row>
    <row r="15" spans="2:30" x14ac:dyDescent="0.2">
      <c r="T15" s="13" t="str">
        <f ca="1"/>
        <v>5-11-0204</v>
      </c>
      <c r="U15" s="13" t="str">
        <f ca="1"/>
        <v>Yomar Gonzalez</v>
      </c>
      <c r="V15" s="13">
        <f ca="1"/>
        <v>2</v>
      </c>
      <c r="W15" s="13" t="str">
        <f ca="1"/>
        <v>Other - Please see comments</v>
      </c>
      <c r="X15" s="13" t="str">
        <f ca="1"/>
        <v>In progress</v>
      </c>
    </row>
  </sheetData>
  <mergeCells count="5">
    <mergeCell ref="B3:F4"/>
    <mergeCell ref="H3:L4"/>
    <mergeCell ref="N3:R4"/>
    <mergeCell ref="T3:X4"/>
    <mergeCell ref="Z3:AD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D58DC-CDC8-A94B-8E56-C16A8E1E0B33}">
  <dimension ref="B3:R11"/>
  <sheetViews>
    <sheetView workbookViewId="0">
      <selection activeCell="U45" sqref="U45"/>
    </sheetView>
  </sheetViews>
  <sheetFormatPr baseColWidth="10" defaultRowHeight="15" x14ac:dyDescent="0.2"/>
  <cols>
    <col min="1" max="1" width="1.6640625" customWidth="1"/>
    <col min="2" max="2" width="10.6640625" style="13" bestFit="1" customWidth="1"/>
    <col min="3" max="3" width="12.33203125" style="13" bestFit="1" customWidth="1"/>
    <col min="4" max="4" width="8.83203125" style="13" bestFit="1" customWidth="1"/>
    <col min="5" max="5" width="23.5" style="13" bestFit="1" customWidth="1"/>
    <col min="6" max="6" width="11.6640625" style="13" customWidth="1"/>
    <col min="7" max="7" width="2.5" customWidth="1"/>
    <col min="8" max="8" width="10.6640625" style="13" bestFit="1" customWidth="1"/>
    <col min="9" max="9" width="12.33203125" style="13" bestFit="1" customWidth="1"/>
    <col min="10" max="10" width="8.83203125" style="13" bestFit="1" customWidth="1"/>
    <col min="11" max="11" width="26.6640625" style="13" customWidth="1"/>
    <col min="12" max="12" width="9.33203125" style="13" bestFit="1" customWidth="1"/>
    <col min="13" max="13" width="1.1640625" customWidth="1"/>
    <col min="14" max="16" width="10.83203125" style="13"/>
    <col min="17" max="17" width="27.6640625" style="13" customWidth="1"/>
    <col min="18" max="18" width="10.83203125" style="13"/>
  </cols>
  <sheetData>
    <row r="3" spans="2:18" x14ac:dyDescent="0.2">
      <c r="B3" s="49" t="s">
        <v>88</v>
      </c>
      <c r="C3" s="50"/>
      <c r="D3" s="50"/>
      <c r="E3" s="50"/>
      <c r="F3" s="51"/>
      <c r="H3" s="49" t="s">
        <v>88</v>
      </c>
      <c r="I3" s="50"/>
      <c r="J3" s="50"/>
      <c r="K3" s="50"/>
      <c r="L3" s="51"/>
      <c r="N3" s="49" t="s">
        <v>88</v>
      </c>
      <c r="O3" s="50"/>
      <c r="P3" s="50"/>
      <c r="Q3" s="50"/>
      <c r="R3" s="51"/>
    </row>
    <row r="4" spans="2:18" x14ac:dyDescent="0.2">
      <c r="B4" s="52"/>
      <c r="C4" s="53"/>
      <c r="D4" s="53"/>
      <c r="E4" s="53"/>
      <c r="F4" s="54"/>
      <c r="H4" s="52"/>
      <c r="I4" s="53"/>
      <c r="J4" s="53"/>
      <c r="K4" s="53"/>
      <c r="L4" s="54"/>
      <c r="N4" s="52"/>
      <c r="O4" s="53"/>
      <c r="P4" s="53"/>
      <c r="Q4" s="53"/>
      <c r="R4" s="54"/>
    </row>
    <row r="5" spans="2:18" ht="19" customHeight="1" x14ac:dyDescent="0.25">
      <c r="B5" s="39" t="str" cm="1">
        <f t="array" aca="1" ref="B5:F10" ca="1">_xlfn._xlws.PY(9,0,SEV_REQUEST[])</f>
        <v>Unit</v>
      </c>
      <c r="C5" s="12" t="str">
        <f ca="1"/>
        <v>Assigned to</v>
      </c>
      <c r="D5" s="12" t="str">
        <f ca="1"/>
        <v>Days open</v>
      </c>
      <c r="E5" s="12" t="str">
        <f ca="1"/>
        <v>Issue</v>
      </c>
      <c r="F5" s="12" t="str">
        <f ca="1"/>
        <v>Status</v>
      </c>
      <c r="H5" s="39" t="str" cm="1">
        <f t="array" aca="1" ref="H5:L8" ca="1">_xlfn._xlws.PY(17,0,SEV_REQUEST[])</f>
        <v>Unit</v>
      </c>
      <c r="I5" s="12" t="str">
        <f ca="1"/>
        <v>Assigned to</v>
      </c>
      <c r="J5" s="12" t="str">
        <f ca="1"/>
        <v>Days open</v>
      </c>
      <c r="K5" s="12" t="str">
        <f ca="1"/>
        <v>Issue</v>
      </c>
      <c r="L5" s="12" t="str">
        <f ca="1"/>
        <v>Status</v>
      </c>
      <c r="N5" s="39" t="str" cm="1">
        <f t="array" aca="1" ref="N5:R11" ca="1">_xlfn._xlws.PY(18,0,SEV_REQUEST[])</f>
        <v>Unit</v>
      </c>
      <c r="O5" s="12" t="str">
        <f ca="1"/>
        <v>Assigned to</v>
      </c>
      <c r="P5" s="12" t="str">
        <f ca="1"/>
        <v>Days open</v>
      </c>
      <c r="Q5" s="12" t="str">
        <f ca="1"/>
        <v>Issue</v>
      </c>
      <c r="R5" s="12" t="str">
        <f ca="1"/>
        <v>Status</v>
      </c>
    </row>
    <row r="6" spans="2:18" ht="15" customHeight="1" x14ac:dyDescent="0.2">
      <c r="B6" s="13" t="str">
        <f ca="1"/>
        <v>7-03-0217</v>
      </c>
      <c r="C6" s="13" t="str">
        <f ca="1"/>
        <v>Barron Russell</v>
      </c>
      <c r="D6" s="13">
        <f ca="1"/>
        <v>24</v>
      </c>
      <c r="E6" s="13" t="str">
        <f ca="1"/>
        <v>Other - Please see comments</v>
      </c>
      <c r="F6" s="13" t="str">
        <f ca="1"/>
        <v>In progress</v>
      </c>
      <c r="H6" s="13" t="str">
        <f ca="1"/>
        <v>7-03-0113</v>
      </c>
      <c r="I6" s="13" t="str">
        <f ca="1"/>
        <v>Barron Russell</v>
      </c>
      <c r="J6" s="13">
        <f ca="1"/>
        <v>26</v>
      </c>
      <c r="K6" s="13" t="str">
        <f ca="1"/>
        <v>A/C does not cool properly</v>
      </c>
      <c r="L6" s="13" t="str">
        <f ca="1"/>
        <v>On hold</v>
      </c>
      <c r="N6" s="13" t="str">
        <f ca="1"/>
        <v>7-11-0508</v>
      </c>
      <c r="O6" s="13" t="str">
        <f ca="1"/>
        <v>Unassigned</v>
      </c>
      <c r="P6" s="13">
        <f ca="1"/>
        <v>6</v>
      </c>
      <c r="Q6" s="13" t="str">
        <f ca="1"/>
        <v>Make Ready</v>
      </c>
      <c r="R6" s="13" t="str">
        <f ca="1"/>
        <v>In progress</v>
      </c>
    </row>
    <row r="7" spans="2:18" x14ac:dyDescent="0.2">
      <c r="B7" s="13" t="str">
        <f ca="1"/>
        <v>7-09-0206</v>
      </c>
      <c r="C7" s="13" t="str">
        <f ca="1"/>
        <v>Barron Russell</v>
      </c>
      <c r="D7" s="13">
        <f ca="1"/>
        <v>9</v>
      </c>
      <c r="E7" s="13" t="str">
        <f ca="1"/>
        <v>Sink leaks</v>
      </c>
      <c r="F7" s="13" t="str">
        <f ca="1"/>
        <v>In progress</v>
      </c>
      <c r="H7" s="13" t="str">
        <f ca="1"/>
        <v>4-22-0220</v>
      </c>
      <c r="I7" s="13" t="str">
        <f ca="1"/>
        <v>Barron Russell</v>
      </c>
      <c r="J7" s="13">
        <f ca="1"/>
        <v>7</v>
      </c>
      <c r="K7" s="13" t="str">
        <f ca="1"/>
        <v>Washer-no cycle/rinse/spin</v>
      </c>
      <c r="L7" s="13" t="str">
        <f ca="1"/>
        <v>On hold</v>
      </c>
      <c r="N7" s="13" t="str">
        <f ca="1"/>
        <v>7-03-0113</v>
      </c>
      <c r="O7" s="13" t="str">
        <f ca="1"/>
        <v>Unassigned</v>
      </c>
      <c r="P7" s="13">
        <f ca="1"/>
        <v>3</v>
      </c>
      <c r="Q7" s="13" t="str">
        <f ca="1"/>
        <v>Drafts or poor air circulation</v>
      </c>
      <c r="R7" s="13" t="str">
        <f ca="1"/>
        <v>In progress</v>
      </c>
    </row>
    <row r="8" spans="2:18" x14ac:dyDescent="0.2">
      <c r="B8" s="13" t="str">
        <f ca="1"/>
        <v>7-11-0206</v>
      </c>
      <c r="C8" s="13" t="str">
        <f ca="1"/>
        <v>Barron Russell</v>
      </c>
      <c r="D8" s="13">
        <f ca="1"/>
        <v>7</v>
      </c>
      <c r="E8" s="13" t="str">
        <f ca="1"/>
        <v>Other Issue</v>
      </c>
      <c r="F8" s="13" t="str">
        <f ca="1"/>
        <v>In progress</v>
      </c>
      <c r="H8" s="13" t="str">
        <f ca="1"/>
        <v>4-22-0308</v>
      </c>
      <c r="I8" s="13" t="str">
        <f ca="1"/>
        <v>Barron Russell</v>
      </c>
      <c r="J8" s="13">
        <f ca="1"/>
        <v>2</v>
      </c>
      <c r="K8" s="13" t="str">
        <f ca="1"/>
        <v>Mw door/handle broken/damaged</v>
      </c>
      <c r="L8" s="13" t="str">
        <f ca="1"/>
        <v>On hold</v>
      </c>
      <c r="N8" s="13" t="str">
        <f ca="1"/>
        <v>7-02-0313</v>
      </c>
      <c r="O8" s="13" t="str">
        <f ca="1"/>
        <v>Unassigned</v>
      </c>
      <c r="P8" s="13">
        <f ca="1"/>
        <v>3</v>
      </c>
      <c r="Q8" s="13" t="str">
        <f ca="1"/>
        <v>Washer will not fill/drain</v>
      </c>
      <c r="R8" s="13" t="str">
        <f ca="1"/>
        <v>In progress</v>
      </c>
    </row>
    <row r="9" spans="2:18" x14ac:dyDescent="0.2">
      <c r="B9" s="13" t="str">
        <f ca="1"/>
        <v>7-08-0308</v>
      </c>
      <c r="C9" s="13" t="str">
        <f ca="1"/>
        <v>Barron Russell</v>
      </c>
      <c r="D9" s="13">
        <f ca="1"/>
        <v>4</v>
      </c>
      <c r="E9" s="13" t="str">
        <f ca="1"/>
        <v>Other - Please see comments</v>
      </c>
      <c r="F9" s="13" t="str">
        <f ca="1"/>
        <v>In progress</v>
      </c>
      <c r="N9" s="13" t="str">
        <f ca="1"/>
        <v>7-04-0212</v>
      </c>
      <c r="O9" s="13" t="str">
        <f ca="1"/>
        <v>Unassigned</v>
      </c>
      <c r="P9" s="13">
        <f ca="1"/>
        <v>2</v>
      </c>
      <c r="Q9" s="13" t="str">
        <f ca="1"/>
        <v>Sink-other problem</v>
      </c>
      <c r="R9" s="13" t="str">
        <f ca="1"/>
        <v>In progress</v>
      </c>
    </row>
    <row r="10" spans="2:18" x14ac:dyDescent="0.2">
      <c r="B10" s="13" t="str">
        <f ca="1"/>
        <v>7-08-0107</v>
      </c>
      <c r="C10" s="13" t="str">
        <f ca="1"/>
        <v>Barron Russell</v>
      </c>
      <c r="D10" s="13">
        <f ca="1"/>
        <v>3</v>
      </c>
      <c r="E10" s="13" t="str">
        <f ca="1"/>
        <v>Other - Please see comments</v>
      </c>
      <c r="F10" s="13" t="str">
        <f ca="1"/>
        <v>In progress</v>
      </c>
      <c r="N10" s="13" t="str">
        <f ca="1"/>
        <v>7-02-0204</v>
      </c>
      <c r="O10" s="13" t="str">
        <f ca="1"/>
        <v>Unassigned</v>
      </c>
      <c r="P10" s="13">
        <f ca="1"/>
        <v>2</v>
      </c>
      <c r="Q10" s="13" t="str">
        <f ca="1"/>
        <v>DW does not work</v>
      </c>
      <c r="R10" s="13" t="str">
        <f ca="1"/>
        <v>In progress</v>
      </c>
    </row>
    <row r="11" spans="2:18" x14ac:dyDescent="0.2">
      <c r="N11" s="13" t="str">
        <f ca="1"/>
        <v>7-02-0204</v>
      </c>
      <c r="O11" s="13" t="str">
        <f ca="1"/>
        <v>Unassigned</v>
      </c>
      <c r="P11" s="13">
        <f ca="1"/>
        <v>2</v>
      </c>
      <c r="Q11" s="13" t="str">
        <f ca="1"/>
        <v>Other mail issue</v>
      </c>
      <c r="R11" s="13" t="str">
        <f ca="1"/>
        <v>In progress</v>
      </c>
    </row>
  </sheetData>
  <mergeCells count="3">
    <mergeCell ref="B3:F4"/>
    <mergeCell ref="H3:L4"/>
    <mergeCell ref="N3:R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95194-4E5C-CB4A-AE87-B6CA4E1C6520}">
  <dimension ref="B3:R10"/>
  <sheetViews>
    <sheetView workbookViewId="0">
      <selection activeCell="O18" sqref="O18"/>
    </sheetView>
  </sheetViews>
  <sheetFormatPr baseColWidth="10" defaultRowHeight="15" x14ac:dyDescent="0.2"/>
  <cols>
    <col min="1" max="1" width="1.6640625" customWidth="1"/>
    <col min="2" max="2" width="10.6640625" style="13" bestFit="1" customWidth="1"/>
    <col min="3" max="3" width="12.33203125" style="13" bestFit="1" customWidth="1"/>
    <col min="4" max="4" width="8.83203125" style="13" bestFit="1" customWidth="1"/>
    <col min="5" max="5" width="23.5" style="13" bestFit="1" customWidth="1"/>
    <col min="6" max="6" width="11.6640625" style="13" customWidth="1"/>
    <col min="7" max="7" width="2.5" customWidth="1"/>
    <col min="8" max="8" width="10.6640625" style="13" bestFit="1" customWidth="1"/>
    <col min="9" max="9" width="12.33203125" style="13" bestFit="1" customWidth="1"/>
    <col min="10" max="10" width="8.83203125" style="13" bestFit="1" customWidth="1"/>
    <col min="11" max="11" width="26.6640625" style="13" customWidth="1"/>
    <col min="12" max="12" width="9.33203125" style="13" bestFit="1" customWidth="1"/>
    <col min="13" max="13" width="1.1640625" customWidth="1"/>
    <col min="14" max="16" width="10.83203125" style="13"/>
    <col min="17" max="17" width="27.6640625" style="13" customWidth="1"/>
    <col min="18" max="18" width="10.83203125" style="13"/>
  </cols>
  <sheetData>
    <row r="3" spans="2:18" x14ac:dyDescent="0.2">
      <c r="B3" s="49" t="s">
        <v>131</v>
      </c>
      <c r="C3" s="50"/>
      <c r="D3" s="50"/>
      <c r="E3" s="50"/>
      <c r="F3" s="51"/>
      <c r="H3" s="49" t="s">
        <v>131</v>
      </c>
      <c r="I3" s="50"/>
      <c r="J3" s="50"/>
      <c r="K3" s="50"/>
      <c r="L3" s="51"/>
      <c r="N3" s="49" t="s">
        <v>131</v>
      </c>
      <c r="O3" s="50"/>
      <c r="P3" s="50"/>
      <c r="Q3" s="50"/>
      <c r="R3" s="51"/>
    </row>
    <row r="4" spans="2:18" x14ac:dyDescent="0.2">
      <c r="B4" s="52"/>
      <c r="C4" s="53"/>
      <c r="D4" s="53"/>
      <c r="E4" s="53"/>
      <c r="F4" s="54"/>
      <c r="H4" s="52"/>
      <c r="I4" s="53"/>
      <c r="J4" s="53"/>
      <c r="K4" s="53"/>
      <c r="L4" s="54"/>
      <c r="N4" s="52"/>
      <c r="O4" s="53"/>
      <c r="P4" s="53"/>
      <c r="Q4" s="53"/>
      <c r="R4" s="54"/>
    </row>
    <row r="5" spans="2:18" ht="19" customHeight="1" x14ac:dyDescent="0.25">
      <c r="B5" s="39" t="str" cm="1">
        <f t="array" aca="1" ref="B5:F8" ca="1">_xlfn._xlws.PY(10,0,SEV_REQUEST[])</f>
        <v>Unit</v>
      </c>
      <c r="C5" s="12" t="str">
        <f ca="1"/>
        <v>Assigned to</v>
      </c>
      <c r="D5" s="12" t="str">
        <f ca="1"/>
        <v>Days open</v>
      </c>
      <c r="E5" s="12" t="str">
        <f ca="1"/>
        <v>Issue</v>
      </c>
      <c r="F5" s="12" t="str">
        <f ca="1"/>
        <v>Status</v>
      </c>
      <c r="H5" s="39" t="str" cm="1">
        <f t="array" aca="1" ref="H5:L5" ca="1">_xlfn._xlws.PY(19,0,SEV_REQUEST[])</f>
        <v>Unit</v>
      </c>
      <c r="I5" s="12" t="str">
        <f ca="1"/>
        <v>Assigned to</v>
      </c>
      <c r="J5" s="12" t="str">
        <f ca="1"/>
        <v>Days open</v>
      </c>
      <c r="K5" s="12" t="str">
        <f ca="1"/>
        <v>Issue</v>
      </c>
      <c r="L5" s="12" t="str">
        <f ca="1"/>
        <v>Status</v>
      </c>
      <c r="N5" s="39" t="str" cm="1">
        <f t="array" aca="1" ref="N5:R10" ca="1">_xlfn._xlws.PY(20,0,SEV_REQUEST[])</f>
        <v>Unit</v>
      </c>
      <c r="O5" s="12" t="str">
        <f ca="1"/>
        <v>Assigned to</v>
      </c>
      <c r="P5" s="12" t="str">
        <f ca="1"/>
        <v>Days open</v>
      </c>
      <c r="Q5" s="12" t="str">
        <f ca="1"/>
        <v>Issue</v>
      </c>
      <c r="R5" s="12" t="str">
        <f ca="1"/>
        <v>Status</v>
      </c>
    </row>
    <row r="6" spans="2:18" ht="15" customHeight="1" x14ac:dyDescent="0.2">
      <c r="B6" s="13" t="str">
        <f ca="1"/>
        <v>8-01-1036</v>
      </c>
      <c r="C6" s="13" t="str">
        <f ca="1"/>
        <v>Antonio Sherfield</v>
      </c>
      <c r="D6" s="13">
        <f ca="1"/>
        <v>31</v>
      </c>
      <c r="E6" s="13" t="str">
        <f ca="1"/>
        <v>Washer is noisy</v>
      </c>
      <c r="F6" s="13" t="str">
        <f ca="1"/>
        <v>In progress</v>
      </c>
      <c r="N6" s="13" t="str">
        <f ca="1"/>
        <v>8-01-3120</v>
      </c>
      <c r="O6" s="13" t="str">
        <f ca="1"/>
        <v>Unassigned</v>
      </c>
      <c r="P6" s="13">
        <f ca="1"/>
        <v>72</v>
      </c>
      <c r="Q6" s="13" t="str">
        <f ca="1"/>
        <v>Cabinet door missing</v>
      </c>
      <c r="R6" s="13" t="str">
        <f ca="1"/>
        <v>In progress</v>
      </c>
    </row>
    <row r="7" spans="2:18" x14ac:dyDescent="0.2">
      <c r="B7" s="13" t="str">
        <f ca="1"/>
        <v>7-11-0405</v>
      </c>
      <c r="C7" s="13" t="str">
        <f ca="1"/>
        <v>Antonio Sherfield</v>
      </c>
      <c r="D7" s="13">
        <f ca="1"/>
        <v>3</v>
      </c>
      <c r="E7" s="13" t="str">
        <f ca="1"/>
        <v>Tub-other problem</v>
      </c>
      <c r="F7" s="13" t="str">
        <f ca="1"/>
        <v>In progress</v>
      </c>
      <c r="N7" s="13" t="str">
        <f ca="1"/>
        <v>8-01-1005</v>
      </c>
      <c r="O7" s="13" t="str">
        <f ca="1"/>
        <v>Unassigned</v>
      </c>
      <c r="P7" s="13">
        <f ca="1"/>
        <v>1</v>
      </c>
      <c r="Q7" s="13" t="str">
        <f ca="1"/>
        <v>Other - Please see comments</v>
      </c>
      <c r="R7" s="13" t="str">
        <f ca="1"/>
        <v>In progress</v>
      </c>
    </row>
    <row r="8" spans="2:18" x14ac:dyDescent="0.2">
      <c r="B8" s="13" t="str">
        <f ca="1"/>
        <v>7-07-0204</v>
      </c>
      <c r="C8" s="13" t="str">
        <f ca="1"/>
        <v>Antonio Sherfield</v>
      </c>
      <c r="D8" s="13">
        <f ca="1"/>
        <v>2</v>
      </c>
      <c r="E8" s="13" t="str">
        <f ca="1"/>
        <v>Light bulb is out</v>
      </c>
      <c r="F8" s="13" t="str">
        <f ca="1"/>
        <v>In progress</v>
      </c>
      <c r="N8" s="13" t="str">
        <f ca="1"/>
        <v>8-01-4049</v>
      </c>
      <c r="O8" s="13" t="str">
        <f ca="1"/>
        <v>Unassigned</v>
      </c>
      <c r="P8" s="13">
        <f ca="1"/>
        <v>1</v>
      </c>
      <c r="Q8" s="13" t="str">
        <f ca="1"/>
        <v>SmartLock broken</v>
      </c>
      <c r="R8" s="13" t="str">
        <f ca="1"/>
        <v>In progress</v>
      </c>
    </row>
    <row r="9" spans="2:18" x14ac:dyDescent="0.2">
      <c r="N9" s="13" t="str">
        <f ca="1"/>
        <v>8-01-3076</v>
      </c>
      <c r="O9" s="13" t="str">
        <f ca="1"/>
        <v>Unassigned</v>
      </c>
      <c r="P9" s="13">
        <f ca="1"/>
        <v>1</v>
      </c>
      <c r="Q9" s="13" t="str">
        <f ca="1"/>
        <v>Other - Please see comments</v>
      </c>
      <c r="R9" s="13" t="str">
        <f ca="1"/>
        <v>In progress</v>
      </c>
    </row>
    <row r="10" spans="2:18" x14ac:dyDescent="0.2">
      <c r="N10" s="13" t="str">
        <f ca="1"/>
        <v>8-01-2039</v>
      </c>
      <c r="O10" s="13" t="str">
        <f ca="1"/>
        <v>Unassigned</v>
      </c>
      <c r="P10" s="13">
        <f ca="1"/>
        <v>1</v>
      </c>
      <c r="Q10" s="13" t="str">
        <f ca="1"/>
        <v>Shower clogged</v>
      </c>
      <c r="R10" s="13" t="str">
        <f ca="1"/>
        <v>In progress</v>
      </c>
    </row>
  </sheetData>
  <mergeCells count="3">
    <mergeCell ref="B3:F4"/>
    <mergeCell ref="H3:L4"/>
    <mergeCell ref="N3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7D829-FD23-2441-AF6D-875FFB6EA1B0}">
  <dimension ref="B3:B24"/>
  <sheetViews>
    <sheetView workbookViewId="0">
      <selection activeCell="B6" sqref="B6"/>
    </sheetView>
  </sheetViews>
  <sheetFormatPr baseColWidth="10" defaultRowHeight="15" x14ac:dyDescent="0.2"/>
  <cols>
    <col min="2" max="2" width="22.5" style="13" customWidth="1"/>
    <col min="5" max="5" width="11.1640625" customWidth="1"/>
  </cols>
  <sheetData>
    <row r="3" spans="2:2" ht="24" x14ac:dyDescent="0.3">
      <c r="B3" s="27" t="s">
        <v>632</v>
      </c>
    </row>
    <row r="4" spans="2:2" x14ac:dyDescent="0.2">
      <c r="B4" s="19" t="s">
        <v>618</v>
      </c>
    </row>
    <row r="5" spans="2:2" x14ac:dyDescent="0.2">
      <c r="B5" s="19" t="s">
        <v>50</v>
      </c>
    </row>
    <row r="6" spans="2:2" x14ac:dyDescent="0.2">
      <c r="B6" s="19" t="s">
        <v>131</v>
      </c>
    </row>
    <row r="7" spans="2:2" x14ac:dyDescent="0.2">
      <c r="B7" s="19" t="s">
        <v>88</v>
      </c>
    </row>
    <row r="8" spans="2:2" x14ac:dyDescent="0.2">
      <c r="B8" s="19" t="s">
        <v>144</v>
      </c>
    </row>
    <row r="9" spans="2:2" x14ac:dyDescent="0.2">
      <c r="B9" s="19" t="s">
        <v>116</v>
      </c>
    </row>
    <row r="10" spans="2:2" x14ac:dyDescent="0.2">
      <c r="B10" s="19" t="s">
        <v>268</v>
      </c>
    </row>
    <row r="11" spans="2:2" x14ac:dyDescent="0.2">
      <c r="B11" s="19" t="s">
        <v>128</v>
      </c>
    </row>
    <row r="12" spans="2:2" x14ac:dyDescent="0.2">
      <c r="B12" s="19" t="s">
        <v>288</v>
      </c>
    </row>
    <row r="13" spans="2:2" x14ac:dyDescent="0.2">
      <c r="B13" s="19" t="s">
        <v>235</v>
      </c>
    </row>
    <row r="14" spans="2:2" x14ac:dyDescent="0.2">
      <c r="B14" s="19" t="s">
        <v>448</v>
      </c>
    </row>
    <row r="15" spans="2:2" x14ac:dyDescent="0.2">
      <c r="B15" s="19" t="s">
        <v>85</v>
      </c>
    </row>
    <row r="16" spans="2:2" x14ac:dyDescent="0.2">
      <c r="B16" s="19" t="s">
        <v>303</v>
      </c>
    </row>
    <row r="17" spans="2:2" x14ac:dyDescent="0.2">
      <c r="B17" s="19" t="s">
        <v>185</v>
      </c>
    </row>
    <row r="18" spans="2:2" x14ac:dyDescent="0.2">
      <c r="B18" s="19" t="s">
        <v>142</v>
      </c>
    </row>
    <row r="19" spans="2:2" x14ac:dyDescent="0.2">
      <c r="B19" s="19" t="s">
        <v>318</v>
      </c>
    </row>
    <row r="20" spans="2:2" x14ac:dyDescent="0.2">
      <c r="B20" s="19" t="s">
        <v>45</v>
      </c>
    </row>
    <row r="21" spans="2:2" x14ac:dyDescent="0.2">
      <c r="B21" s="19" t="s">
        <v>311</v>
      </c>
    </row>
    <row r="22" spans="2:2" x14ac:dyDescent="0.2">
      <c r="B22" s="19" t="s">
        <v>16</v>
      </c>
    </row>
    <row r="23" spans="2:2" x14ac:dyDescent="0.2">
      <c r="B23" s="19" t="s">
        <v>57</v>
      </c>
    </row>
    <row r="24" spans="2:2" x14ac:dyDescent="0.2">
      <c r="B24" s="19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ServiceRequest</vt:lpstr>
      <vt:lpstr>Full_unassign</vt:lpstr>
      <vt:lpstr>By tech </vt:lpstr>
      <vt:lpstr>unassign</vt:lpstr>
      <vt:lpstr>Phase 5</vt:lpstr>
      <vt:lpstr>Phase 7</vt:lpstr>
      <vt:lpstr>Phase 8</vt:lpstr>
      <vt:lpstr>Staff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gonzalez</cp:lastModifiedBy>
  <dcterms:created xsi:type="dcterms:W3CDTF">2026-01-23T01:19:12Z</dcterms:created>
  <dcterms:modified xsi:type="dcterms:W3CDTF">2026-01-23T06:46:54Z</dcterms:modified>
</cp:coreProperties>
</file>