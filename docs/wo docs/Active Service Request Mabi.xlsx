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gonzalez1\Downloads\"/>
    </mc:Choice>
  </mc:AlternateContent>
  <xr:revisionPtr revIDLastSave="0" documentId="13_ncr:1_{ECF28B49-36B0-4F01-A153-0970B37982CD}" xr6:coauthVersionLast="47" xr6:coauthVersionMax="47" xr10:uidLastSave="{00000000-0000-0000-0000-000000000000}"/>
  <bookViews>
    <workbookView xWindow="-6675" yWindow="-16320" windowWidth="29040" windowHeight="15720" activeTab="8" xr2:uid="{00000000-000D-0000-FFFF-FFFF00000000}"/>
  </bookViews>
  <sheets>
    <sheet name="ServiceRequest" sheetId="2" r:id="rId1"/>
    <sheet name="Full_unassign" sheetId="3" r:id="rId2"/>
    <sheet name="By tech " sheetId="4" r:id="rId3"/>
    <sheet name="unassign" sheetId="6" r:id="rId4"/>
    <sheet name="Phase 3" sheetId="11" r:id="rId5"/>
    <sheet name="Phase 4" sheetId="10" r:id="rId6"/>
    <sheet name="Phase 4c" sheetId="9" r:id="rId7"/>
    <sheet name="Staff " sheetId="5" r:id="rId8"/>
    <sheet name="Move ins" sheetId="12" r:id="rId9"/>
  </sheets>
  <definedNames>
    <definedName name="staff_mabi">'Staff '!$E$4:$E$8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2" l="1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A2" i="2"/>
  <c r="B2" i="2"/>
  <c r="M2" i="2"/>
  <c r="C2" i="2"/>
  <c r="B5" i="3" a="1"/>
  <c r="H5" i="3" a="1"/>
  <c r="B5" i="3" l="1"/>
  <c r="H5" i="3"/>
  <c r="N5" i="3" a="1"/>
  <c r="N5" i="3" l="1"/>
  <c r="T5" i="3" a="1"/>
  <c r="T5" i="3" l="1"/>
  <c r="Z5" i="3" a="1"/>
  <c r="Z5" i="3" l="1"/>
  <c r="B4" i="4" a="1"/>
  <c r="B4" i="4" l="1"/>
  <c r="H4" i="4" a="1"/>
  <c r="H4" i="4" l="1"/>
  <c r="N4" i="4" a="1"/>
  <c r="N4" i="4" l="1"/>
  <c r="T4" i="4" a="1"/>
  <c r="T4" i="4" l="1"/>
  <c r="Z4" i="4" a="1"/>
  <c r="Z4" i="4" l="1"/>
  <c r="AF4" i="4" a="1"/>
  <c r="AF4" i="4" l="1"/>
  <c r="B4" i="6" a="1"/>
  <c r="B4" i="6" l="1"/>
  <c r="H4" i="6" a="1"/>
  <c r="H4" i="6" l="1"/>
  <c r="N4" i="6" a="1"/>
  <c r="N4" i="6" l="1"/>
  <c r="B5" i="11" a="1"/>
  <c r="B5" i="11" l="1"/>
  <c r="H5" i="11" a="1"/>
  <c r="H5" i="11" l="1"/>
  <c r="N5" i="11" a="1"/>
  <c r="N5" i="11" l="1"/>
  <c r="T5" i="11" a="1"/>
  <c r="T5" i="11" l="1"/>
  <c r="Z5" i="11" a="1"/>
  <c r="Z5" i="11" l="1"/>
  <c r="AF5" i="11" a="1"/>
  <c r="AF5" i="11" l="1"/>
  <c r="AL5" i="11" a="1"/>
  <c r="AL5" i="11" l="1"/>
  <c r="B5" i="10" a="1"/>
  <c r="B5" i="10" l="1"/>
  <c r="H5" i="10" a="1"/>
  <c r="H5" i="10" l="1"/>
  <c r="N5" i="10" a="1"/>
  <c r="N5" i="10" l="1"/>
  <c r="T5" i="10" a="1"/>
  <c r="T5" i="10" l="1"/>
  <c r="Z5" i="10" a="1"/>
  <c r="Z5" i="10" l="1"/>
  <c r="AF5" i="10" a="1"/>
  <c r="AF5" i="10" l="1"/>
  <c r="AL5" i="10" a="1"/>
  <c r="AL5" i="10" l="1"/>
  <c r="B5" i="9" a="1"/>
  <c r="B5" i="9" l="1"/>
  <c r="H5" i="9" a="1"/>
  <c r="H5" i="9" l="1"/>
  <c r="N5" i="9" a="1"/>
  <c r="N5" i="9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 = xl(%P2%)
phase_col = df.iloc[:, 0].astype(str).str.strip()
allowed_phases = ["3", "4", "4c"]
phase_mask = phase_col.isin(allowed_phases)
final_mask = phase_mask 
df_view = df.loc[final_mask, [4, 9, 2, 8,11]]
df_view.columns = [
    "Unit",
    "Assigned to",
    "Days open",
    "Issue",
    "Status"
]
df_view = df_view.sort_values(
    by="Days open",
    ascending=False
)
df_view = df_view.reset_index(drop=True)
df_view</code>
    </pythonScript>
    <pythonScript>
      <code>df = xl(%P2%)
# --------------------
# filters (CONTROL TILE)
# --------------------
# normalize Phase (force numeric)
phase_col = df.iloc[:, 0].astype(str).str.strip()
allowed_phases = ["3", "4", "4c"]
phase_mask = phase_col.isin(allowed_phases)
# normalize Assigned
assigned_col = df.iloc[:, 9].fillna("").astype(str).str.strip()
allowed_assigned = ["Unassigned", ""]
assigned_mask = assigned_col.isin(allowed_assigned)
# combined filter
final_mask = phase_mask &amp; assigned_mask
# --------------------
# select columns
# --------------------
df_view = df.loc[final_mask, [4, 9, 2, 8,11]]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--------------------
# filters (CONTROL TILE)
# --------------------
# normalize Phase (force numeric)
phase_col = df.iloc[:, 0].astype(str).str.strip()
allowed_phases = ["3"]
phase_mask = phase_col.isin(allowed_phases)
# normalize Assigned
assigned_col = df.iloc[:, 9].fillna("").astype(str).str.strip()
allowed_assigned = ["Unassigned", ""]
assigned_mask = assigned_col.isin(allowed_assigned)
# combined filter
final_mask = phase_mask &amp; assigned_mask
# --------------------
# select columns
# --------------------
df_view = df.loc[final_mask, [4, 9, 2, 8,11]]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--------------------
# filters (CONTROL TILE)
# --------------------
# normalize Phase (force numeric)
phase_col = df.iloc[:, 0].astype(str).str.strip()
allowed_phases = [ "4"]
phase_mask = phase_col.isin(allowed_phases)
# normalize Assigned
assigned_col = df.iloc[:, 9].fillna("").astype(str).str.strip()
allowed_assigned = ["Unassigned", ""]
assigned_mask = assigned_col.isin(allowed_assigned)
# combined filter
final_mask = phase_mask &amp; assigned_mask
# --------------------
# select columns
# --------------------
df_view = df.loc[final_mask, [4, 9, 2, 8,11]]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--------------------
# filters (CONTROL TILE)
# --------------------
# normalize Phase (force numeric)
phase_col = df.iloc[:, 0].astype(str).str.strip()
allowed_phases = [ "4c"]
phase_mask = phase_col.isin(allowed_phases)
# normalize Assigned
assigned_col = df.iloc[:, 9].fillna("").astype(str).str.strip()
allowed_assigned = ["Unassigned", ""]
assigned_mask = assigned_col.isin(allowed_assigned)
# combined filter
final_mask = phase_mask &amp; assigned_mask
# --------------------
# select columns
# --------------------
df_view = df.loc[final_mask, [4, 9, 2, 8,11]]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select columns by index positions
df_view = df.iloc[:, [4, 9, 2, 8,11]]
# rename selected columns
df_view.columns = [
    "Unit",
    "Assigned to",
    "Days open",
    "Issue",
    "Status"
]
# filter: only Unassigned
df_view = df_view[df_view["Assigned to"] == "Mabi"]
# sort by Days open (descending)
df_view = df_view.sort_values(by="Days open", ascending=False)
# reset index after filtering &amp; sorting
df_view = df_view.reset_index(drop=True)
# display result
df_view</code>
    </pythonScript>
    <pythonScript>
      <code>df = xl(%P2%)
# --------------------
# filters (CONTROL TILE)
# --------------------
# Assigned filter
allowed_assigned = ["Dennis Arevalo"]
assigned_col = df.iloc[:, 9].fillna("").astype(str).str.strip()
assigned_mask = assigned_col.isin(allowed_assigned)
# Status filter
allowed_status = ["In progress"]
status_col = df.iloc[:, 11].fillna("").astype(str).str.strip()
status_mask = status_col.isin(allowed_status)
# combine filters
final_mask = assigned_mask &amp; status_mask
# --------------------
# select columns
# --------------------
df_view = df.loc[final_mask, [4, 9, 2, 8, 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--------------------
# filters (CONTROL TILE)
# --------------------
# Assigned filter
allowed_assigned = ["Rayniel Rincon"]
assigned_col = df.iloc[:, 9].fillna("").astype(str).str.strip()
assigned_mask = assigned_col.isin(allowed_assigned)
# Status filter
allowed_status = ["In progress"]
status_col = df.iloc[:, 11].fillna("").astype(str).str.strip()
status_mask = status_col.isin(allowed_status)
# combine filters
final_mask = assigned_mask &amp; status_mask
# --------------------
# select columns
# --------------------
df_view = df.loc[final_mask, [4, 9, 2, 8, 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--------------------
# filters (CONTROL TILE)
# --------------------
# Assigned filter
allowed_assigned = ["Alexander Gonzalez"]
assigned_col = df.iloc[:, 9].fillna("").astype(str).str.strip()
assigned_mask = assigned_col.isin(allowed_assigned)
# Status filter
allowed_status = ["In progress"]
status_col = df.iloc[:, 11].fillna("").astype(str).str.strip()
status_mask = status_col.isin(allowed_status)
# combine filters
final_mask = assigned_mask &amp; status_mask
# --------------------
# select columns
# --------------------
df_view = df.loc[final_mask, [4, 9, 2, 8, 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--------------------
# filters (CONTROL TILE)
# --------------------
# Assigned filter
allowed_assigned = ["Diego Zapata"]
assigned_col = df.iloc[:, 9].fillna("").astype(str).str.strip()
assigned_mask = assigned_col.isin(allowed_assigned)
# Status filter
allowed_status = ["In progress"]
status_col = df.iloc[:, 11].fillna("").astype(str).str.strip()
status_mask = status_col.isin(allowed_status)
# combine filters
final_mask = assigned_mask &amp; status_mask
# --------------------
# select columns
# --------------------
df_view = df.loc[final_mask, [4, 9, 2, 8, 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--------------------
# filters (CONTROL TILE)
# --------------------
# Assigned filter
allowed_assigned = ["Victor Castaneda"]
assigned_col = df.iloc[:, 9].fillna("").astype(str).str.strip()
assigned_mask = assigned_col.isin(allowed_assigned)
# Status filter
allowed_status = ["In progress"]
status_col = df.iloc[:, 11].fillna("").astype(str).str.strip()
status_mask = status_col.isin(allowed_status)
# combine filters
final_mask = assigned_mask &amp; status_mask
# --------------------
# select columns
# --------------------
df_view = df.loc[final_mask, [4, 9, 2, 8, 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--------------------
# filters (CONTROL TILE)
# --------------------
# normalize Phase (force numeric)
phase_col = df.iloc[:, 0].astype(str).str.strip()
allowed_phases = ["4"]
phase_mask = phase_col.isin(allowed_phases)
# normalize Assigned
assigned_col = df.iloc[:, 9].fillna("").astype(str).str.strip()
allowed_assigned = ["Unassigned", ""]
assigned_mask = assigned_col.isin(allowed_assigned)
# combined filter
final_mask = phase_mask &amp; assigned_mask
# --------------------
# select columns
# --------------------
df_view = df.loc[final_mask, [4, 9, 2, 8,11]]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--------------------
# filters (CONTROL TILE)
# --------------------
# normalize Phase (force numeric)
phase_col = df.iloc[:, 0].astype(str).str.strip()
allowed_phases = ["4c"]
phase_mask = phase_col.isin(allowed_phases)
# normalize Assigned
assigned_col = df.iloc[:, 9].fillna("").astype(str).str.strip()
allowed_assigned = ["Unassigned", ""]
assigned_mask = assigned_col.isin(allowed_assigned)
# combined filter
final_mask = phase_mask &amp; assigned_mask
# --------------------
# select columns
# --------------------
df_view = df.loc[final_mask, [4, 9, 2, 8,11]]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--------------------
# filters (CONTROL TILE)
# --------------------
# Assigned filter
allowed_assigned = ["Alexander Gonzalez"]
assigned_col = df.iloc[:, 9].fillna("").astype(str).str.strip()
assigned_mask = assigned_col.isin(allowed_assigned)
# Status filter
allowed_status = ["On hold"]
status_col = df.iloc[:, 11].fillna("").astype(str).str.strip()
status_mask = status_col.isin(allowed_status)
# combine filters
final_mask = assigned_mask &amp; status_mask
# --------------------
# select columns
# --------------------
df_view = df.loc[final_mask, [4, 9, 2, 8, 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allowed_assigned = ["Unassigned"]
assigned_col = df.iloc[:, 9].fillna("").astype(str).str.strip()
assigned_mask = assigned_col.isin(allowed_assigned)
phase_col = df.iloc[:, 0].astype(str).str.strip()
allowed_phases = ["3"]
phase_mask = phase_col.isin(allowed_phases)
final_mask = assigned_mask &amp;  phase_mask
df_view = df.loc[final_mask, [4, 9, 2, 8, 11]]
df_view.columns = [
    "Unit",
    "Assigned to",
    "Days open",
    "Issue",
    "Status"
]
df_view = df_view.sort_values(
    by="Days open",
    ascending=False
)
df_view = df_view.reset_index(drop=True)
df_view</code>
    </pythonScript>
    <pythonScript>
      <code>df = xl(%P2%)
# --------------------
# filters (CONTROL TILE)
# --------------------
# Assigned filter
allowed_assigned = ["Victor Castaneda"]
assigned_col = df.iloc[:, 9].fillna("").astype(str).str.strip()
assigned_mask = assigned_col.isin(allowed_assigned)
# Status filter
allowed_status = ["In progress"]
status_col = df.iloc[:, 11].fillna("").astype(str).str.strip()
status_mask = status_col.isin(allowed_status)
phase_col = df.iloc[:, 0].astype(str).str.strip()
allowed_phases = ["3"]
phase_mask = phase_col.isin(allowed_phases)
# combine filters
final_mask = assigned_mask &amp; status_mask &amp; phase_mask 
# --------------------
# select columns
# --------------------
df_view = df.loc[final_mask, [4, 9, 2, 8, 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--------------------
# filters (CONTROL TILE)
# --------------------
# Assigned filter
allowed_assigned = ["Victor Castaneda"]
assigned_col = df.iloc[:, 9].fillna("").astype(str).str.strip()
assigned_mask = assigned_col.isin(allowed_assigned)
# Status filter
allowed_status = ["On hold"]
status_col = df.iloc[:, 11].fillna("").astype(str).str.strip()
status_mask = status_col.isin(allowed_status)
phase_col = df.iloc[:, 0].astype(str).str.strip()
allowed_phases = ["3"]
phase_mask = phase_col.isin(allowed_phases)
# combine filters
final_mask = assigned_mask &amp; status_mask &amp; phase_mask 
# --------------------
# select columns
# --------------------
df_view = df.loc[final_mask, [4, 9, 2, 8, 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--------------------
# filters (CONTROL TILE)
# --------------------
# Assigned filter
allowed_assigned = ["Dennis Arevalo"]
assigned_col = df.iloc[:, 9].fillna("").astype(str).str.strip()
assigned_mask = assigned_col.isin(allowed_assigned)
# Status filter
allowed_status = ["In progress"]
status_col = df.iloc[:, 11].fillna("").astype(str).str.strip()
status_mask = status_col.isin(allowed_status)
phase_col = df.iloc[:, 0].astype(str).str.strip()
allowed_phases = ["3"]
phase_mask = phase_col.isin(allowed_phases)
# combine filters
final_mask = assigned_mask &amp; status_mask &amp; phase_mask 
# --------------------
# select columns
# --------------------
df_view = df.loc[final_mask, [4, 9, 2, 8, 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--------------------
# filters (CONTROL TILE)
# --------------------
# Assigned filter
allowed_assigned = ["Dennis Arevalo"]
assigned_col = df.iloc[:, 9].fillna("").astype(str).str.strip()
assigned_mask = assigned_col.isin(allowed_assigned)
# Status filter
allowed_status = ["On hold"]
status_col = df.iloc[:, 11].fillna("").astype(str).str.strip()
status_mask = status_col.isin(allowed_status)
phase_col = df.iloc[:, 0].astype(str).str.strip()
allowed_phases = ["3"]
phase_mask = phase_col.isin(allowed_phases)
# combine filters
final_mask = assigned_mask &amp; status_mask &amp; phase_mask 
# --------------------
# select columns
# --------------------
df_view = df.loc[final_mask, [4, 9, 2, 8, 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--------------------
# filters (CONTROL TILE)
# --------------------
# Assigned filter
allowed_assigned = ["Rayniel Rincon"]
assigned_col = df.iloc[:, 9].fillna("").astype(str).str.strip()
assigned_mask = assigned_col.isin(allowed_assigned)
# Status filter
allowed_status = ["On hold"]
status_col = df.iloc[:, 11].fillna("").astype(str).str.strip()
status_mask = status_col.isin(allowed_status)
# combine filters
final_mask = assigned_mask &amp; status_mask
# --------------------
# select columns
# --------------------
df_view = df.loc[final_mask, [4, 9, 2, 8, 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allowed_assigned = ["Unassigned"]
assigned_col = df.iloc[:, 9].fillna("").astype(str).str.strip()
assigned_mask = assigned_col.isin(allowed_assigned)
phase_col = df.iloc[:, 0].astype(str).str.strip()
allowed_phases = ["4"]
phase_mask = phase_col.isin(allowed_phases)
final_mask = assigned_mask &amp;  phase_mask
df_view = df.loc[final_mask, [4, 9, 2, 8, 11]]
df_view.columns = [
    "Unit",
    "Assigned to",
    "Days open",
    "Issue",
    "Status"
]
df_view = df_view.sort_values(
    by="Days open",
    ascending=False
)
df_view = df_view.reset_index(drop=True)
df_view</code>
    </pythonScript>
    <pythonScript>
      <code>df = xl(%P2%)
# --------------------
# filters (CONTROL TILE)
# --------------------
# Assigned filter
allowed_assigned = ["Diego Zapata"]
assigned_col = df.iloc[:, 9].fillna("").astype(str).str.strip()
assigned_mask = assigned_col.isin(allowed_assigned)
# Status filter
allowed_status = ["In progress"]
status_col = df.iloc[:, 11].fillna("").astype(str).str.strip()
status_mask = status_col.isin(allowed_status)
phase_col = df.iloc[:, 0].astype(str).str.strip()
allowed_phases = ["4"]
phase_mask = phase_col.isin(allowed_phases)
# combine filters
final_mask = assigned_mask &amp; status_mask &amp; phase_mask 
# --------------------
# select columns
# --------------------
df_view = df.loc[final_mask, [4, 9, 2, 8, 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--------------------
# filters (CONTROL TILE)
# --------------------
# Assigned filter
allowed_assigned = ["Diego Zapata"]
assigned_col = df.iloc[:, 9].fillna("").astype(str).str.strip()
assigned_mask = assigned_col.isin(allowed_assigned)
# Status filter
allowed_status = ["On hold"]
status_col = df.iloc[:, 11].fillna("").astype(str).str.strip()
status_mask = status_col.isin(allowed_status)
phase_col = df.iloc[:, 0].astype(str).str.strip()
allowed_phases = ["4"]
phase_mask = phase_col.isin(allowed_phases)
# combine filters
final_mask = assigned_mask &amp; status_mask &amp; phase_mask 
# --------------------
# select columns
# --------------------
df_view = df.loc[final_mask, [4, 9, 2, 8, 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--------------------
# filters (CONTROL TILE)
# --------------------
# Assigned filter
allowed_assigned = ["Dennis Arevalo"]
assigned_col = df.iloc[:, 9].fillna("").astype(str).str.strip()
assigned_mask = assigned_col.isin(allowed_assigned)
# Status filter
allowed_status = ["In progress"]
status_col = df.iloc[:, 11].fillna("").astype(str).str.strip()
status_mask = status_col.isin(allowed_status)
phase_col = df.iloc[:, 0].astype(str).str.strip()
allowed_phases = ["4"]
phase_mask = phase_col.isin(allowed_phases)
# combine filters
final_mask = assigned_mask &amp; status_mask &amp; phase_mask 
# --------------------
# select columns
# --------------------
df_view = df.loc[final_mask, [4, 9, 2, 8, 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--------------------
# filters (CONTROL TILE)
# --------------------
# Assigned filter
allowed_assigned = ["Dennis Arevalo"]
assigned_col = df.iloc[:, 9].fillna("").astype(str).str.strip()
assigned_mask = assigned_col.isin(allowed_assigned)
# Status filter
allowed_status = ["On hold"]
status_col = df.iloc[:, 11].fillna("").astype(str).str.strip()
status_mask = status_col.isin(allowed_status)
phase_col = df.iloc[:, 0].astype(str).str.strip()
allowed_phases = ["4"]
phase_mask = phase_col.isin(allowed_phases)
# combine filters
final_mask = assigned_mask &amp; status_mask &amp; phase_mask 
# --------------------
# select columns
# --------------------
df_view = df.loc[final_mask, [4, 9, 2, 8, 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--------------------
# filters (CONTROL TILE)
# --------------------
# Assigned filter
allowed_assigned = ["Victor Castaneda"]
assigned_col = df.iloc[:, 9].fillna("").astype(str).str.strip()
assigned_mask = assigned_col.isin(allowed_assigned)
# Status filter
allowed_status = ["In progress"]
status_col = df.iloc[:, 11].fillna("").astype(str).str.strip()
status_mask = status_col.isin(allowed_status)
phase_col = df.iloc[:, 0].astype(str).str.strip()
allowed_phases = ["4c"]
phase_mask = phase_col.isin(allowed_phases)
# combine filters
final_mask = assigned_mask &amp; status_mask &amp; phase_mask 
# --------------------
# select columns
# --------------------
df_view = df.loc[final_mask, [4, 9, 2, 8, 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--------------------
# filters (CONTROL TILE)
# --------------------
# Assigned filter
allowed_assigned = ["Victor Castaneda"]
assigned_col = df.iloc[:, 9].fillna("").astype(str).str.strip()
assigned_mask = assigned_col.isin(allowed_assigned)
# Status filter
allowed_status = ["On hold"]
status_col = df.iloc[:, 11].fillna("").astype(str).str.strip()
status_mask = status_col.isin(allowed_status)
phase_col = df.iloc[:, 0].astype(str).str.strip()
allowed_phases = ["4c"]
phase_mask = phase_col.isin(allowed_phases)
# combine filters
final_mask = assigned_mask &amp; status_mask &amp; phase_mask 
# --------------------
# select columns
# --------------------
df_view = df.loc[final_mask, [4, 9, 2, 8, 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allowed_assigned = ["Unassigned"]
assigned_col = df.iloc[:, 9].fillna("").astype(str).str.strip()
assigned_mask = assigned_col.isin(allowed_assigned)
phase_col = df.iloc[:, 0].astype(str).str.strip()
allowed_phases = ["4c"]
phase_mask = phase_col.isin(allowed_phases)
final_mask = assigned_mask &amp;  phase_mask
df_view = df.loc[final_mask, [4, 9, 2, 8, 11]]
df_view.columns = [
    "Unit",
    "Assigned to",
    "Days open",
    "Issue",
    "Status"
]
df_view = df_view.sort_values(
    by="Days open",
    ascending=False
)
df_view = df_view.reset_index(drop=True)
df_view</code>
    </pythonScript>
  </pythonScripts>
</python>
</file>

<file path=xl/sharedStrings.xml><?xml version="1.0" encoding="utf-8"?>
<sst xmlns="http://schemas.openxmlformats.org/spreadsheetml/2006/main" count="128" uniqueCount="90">
  <si>
    <t>Number</t>
  </si>
  <si>
    <t>Location</t>
  </si>
  <si>
    <t>Created date</t>
  </si>
  <si>
    <t>Due date</t>
  </si>
  <si>
    <t>Days open</t>
  </si>
  <si>
    <t>Service Category</t>
  </si>
  <si>
    <t>Issue</t>
  </si>
  <si>
    <t>Assigned to</t>
  </si>
  <si>
    <t>Priority</t>
  </si>
  <si>
    <t>Status</t>
  </si>
  <si>
    <t>Unassigned</t>
  </si>
  <si>
    <t>Roberto Palacios</t>
  </si>
  <si>
    <t>Alexander Gonzalez</t>
  </si>
  <si>
    <t>Victor Castaneda</t>
  </si>
  <si>
    <t>Miguel Gil</t>
  </si>
  <si>
    <t>Barron Russell</t>
  </si>
  <si>
    <t>Yomar Gonzalez</t>
  </si>
  <si>
    <t>Dennis Arevalo</t>
  </si>
  <si>
    <t>Edna Pacheco</t>
  </si>
  <si>
    <t>Antonio Sherfield</t>
  </si>
  <si>
    <t>Rafael Anez</t>
  </si>
  <si>
    <t>Chuck Griffis</t>
  </si>
  <si>
    <t>Minnie Reyes</t>
  </si>
  <si>
    <t>Latrell Dawson</t>
  </si>
  <si>
    <t>Diego Zapata</t>
  </si>
  <si>
    <t>Facilities Tech</t>
  </si>
  <si>
    <t>Miguel Gonzalez</t>
  </si>
  <si>
    <t>Shawn Gove</t>
  </si>
  <si>
    <t>Rayniel Rincon</t>
  </si>
  <si>
    <t>Maint supervisor</t>
  </si>
  <si>
    <t>Adrian Wright</t>
  </si>
  <si>
    <t>PH</t>
  </si>
  <si>
    <t>BLD</t>
  </si>
  <si>
    <t>Full Service request  Report Unassigned Mabi</t>
  </si>
  <si>
    <t>Full Service request  Report -Mabi Side</t>
  </si>
  <si>
    <t>Staff</t>
  </si>
  <si>
    <t>Unassigned Ph 3</t>
  </si>
  <si>
    <t>Unassigned Ph 4</t>
  </si>
  <si>
    <t>Unassigned Ph 4c</t>
  </si>
  <si>
    <t>Mabi</t>
  </si>
  <si>
    <t>Phase 3</t>
  </si>
  <si>
    <t>Phase 4</t>
  </si>
  <si>
    <t>Phase 4c</t>
  </si>
  <si>
    <t>Rayniel Rincon /Diego Zapata/Dennis Arevalo</t>
  </si>
  <si>
    <t>Alexander Gonzalez/Victor Castaneda/Dennis Arevalo</t>
  </si>
  <si>
    <t xml:space="preserve">Unit </t>
  </si>
  <si>
    <t xml:space="preserve">Date </t>
  </si>
  <si>
    <t xml:space="preserve">Days move in </t>
  </si>
  <si>
    <t>staff mabi</t>
  </si>
  <si>
    <t>Wo classification</t>
  </si>
  <si>
    <t xml:space="preserve"> 3-27-0301</t>
  </si>
  <si>
    <t xml:space="preserve"> 01/23/2026</t>
  </si>
  <si>
    <t xml:space="preserve"> 5-02-0404</t>
  </si>
  <si>
    <t xml:space="preserve"> 3-16-0109</t>
  </si>
  <si>
    <t xml:space="preserve"> 01/24/2026</t>
  </si>
  <si>
    <t xml:space="preserve"> 4-23-0124</t>
  </si>
  <si>
    <t xml:space="preserve"> 5-10-0104</t>
  </si>
  <si>
    <t xml:space="preserve"> 8-01-3074</t>
  </si>
  <si>
    <t xml:space="preserve"> 3-17-0203</t>
  </si>
  <si>
    <t xml:space="preserve"> 01/27/2026</t>
  </si>
  <si>
    <t xml:space="preserve"> 4-23-0201</t>
  </si>
  <si>
    <t xml:space="preserve"> 5-02-0413</t>
  </si>
  <si>
    <t xml:space="preserve"> 3-03-0208</t>
  </si>
  <si>
    <t xml:space="preserve"> 01/29/2026</t>
  </si>
  <si>
    <t xml:space="preserve"> 5-18-0437</t>
  </si>
  <si>
    <t xml:space="preserve"> 7-03-0318</t>
  </si>
  <si>
    <t xml:space="preserve"> 4-23-0101</t>
  </si>
  <si>
    <t xml:space="preserve"> 01/30/2026</t>
  </si>
  <si>
    <t xml:space="preserve"> 5-05-5714</t>
  </si>
  <si>
    <t xml:space="preserve"> 5-09-0107</t>
  </si>
  <si>
    <t xml:space="preserve"> 5-18-0116</t>
  </si>
  <si>
    <t xml:space="preserve"> 5-18-0215</t>
  </si>
  <si>
    <t xml:space="preserve"> 7-06-0106</t>
  </si>
  <si>
    <t xml:space="preserve"> 8-01-1099</t>
  </si>
  <si>
    <t xml:space="preserve"> 3-01-0101</t>
  </si>
  <si>
    <t xml:space="preserve"> 01/31/2026</t>
  </si>
  <si>
    <t xml:space="preserve"> 4-22-0316</t>
  </si>
  <si>
    <t xml:space="preserve"> 5-18-0335</t>
  </si>
  <si>
    <t xml:space="preserve"> 5-11-0307</t>
  </si>
  <si>
    <t xml:space="preserve"> 02/03/2026</t>
  </si>
  <si>
    <t xml:space="preserve"> 4-22-0212</t>
  </si>
  <si>
    <t xml:space="preserve"> 02/04/2026</t>
  </si>
  <si>
    <t xml:space="preserve"> 4-23-0317</t>
  </si>
  <si>
    <t xml:space="preserve"> 4-23-0123</t>
  </si>
  <si>
    <t xml:space="preserve"> 02/05/2026</t>
  </si>
  <si>
    <t xml:space="preserve"> 7-09-0304</t>
  </si>
  <si>
    <t xml:space="preserve"> 02/06/2026</t>
  </si>
  <si>
    <t xml:space="preserve"> 4-21-0205</t>
  </si>
  <si>
    <t xml:space="preserve"> 02/07/2026</t>
  </si>
  <si>
    <t xml:space="preserve"> 8-01-1012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</si>
</sst>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4"/>
      <color theme="0"/>
      <name val="Calibri"/>
      <family val="2"/>
    </font>
    <font>
      <sz val="18"/>
      <color theme="1"/>
      <name val="Calibri"/>
      <family val="2"/>
    </font>
    <font>
      <sz val="24"/>
      <color theme="1"/>
      <name val="Calibri"/>
      <family val="2"/>
    </font>
    <font>
      <sz val="18"/>
      <color theme="0"/>
      <name val="Calibri"/>
      <family val="2"/>
    </font>
    <font>
      <sz val="18"/>
      <color rgb="FF000000"/>
      <name val="Calibri"/>
      <family val="2"/>
    </font>
    <font>
      <sz val="20"/>
      <color rgb="FF000000"/>
      <name val="Calibri"/>
      <family val="2"/>
    </font>
    <font>
      <sz val="22"/>
      <color rgb="FF000000"/>
      <name val="Calibri"/>
      <family val="2"/>
    </font>
    <font>
      <sz val="8"/>
      <name val="Calibri"/>
      <family val="2"/>
    </font>
    <font>
      <sz val="2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4"/>
      </patternFill>
    </fill>
  </fills>
  <borders count="1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Border="0"/>
  </cellStyleXfs>
  <cellXfs count="7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3" fillId="3" borderId="0" xfId="0" applyFont="1" applyFill="1" applyAlignment="1">
      <alignment horizontal="left" vertical="top"/>
    </xf>
    <xf numFmtId="0" fontId="1" fillId="4" borderId="2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4" borderId="3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 applyAlignment="1">
      <alignment vertical="top"/>
    </xf>
    <xf numFmtId="0" fontId="2" fillId="0" borderId="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top"/>
    </xf>
    <xf numFmtId="0" fontId="3" fillId="3" borderId="4" xfId="0" applyFont="1" applyFill="1" applyBorder="1"/>
    <xf numFmtId="0" fontId="7" fillId="3" borderId="0" xfId="0" applyFont="1" applyFill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0" xfId="0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3" borderId="5" xfId="0" applyFont="1" applyFill="1" applyBorder="1" applyAlignment="1">
      <alignment horizontal="center"/>
    </xf>
    <xf numFmtId="1" fontId="3" fillId="3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Border="1" applyAlignment="1">
      <alignment vertical="top"/>
    </xf>
    <xf numFmtId="0" fontId="1" fillId="4" borderId="0" xfId="0" applyFont="1" applyFill="1" applyAlignment="1">
      <alignment horizontal="left" vertical="top"/>
    </xf>
    <xf numFmtId="0" fontId="6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</cellXfs>
  <cellStyles count="1">
    <cellStyle name="Normal" xfId="0" builtinId="0"/>
  </cellStyles>
  <dxfs count="21"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theme="1"/>
      </font>
      <fill>
        <patternFill patternType="solid">
          <fgColor theme="4" tint="0.79998168889431442"/>
          <bgColor theme="4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border outline="0">
        <right style="thin">
          <color theme="4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1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23/09/relationships/Python" Target="pytho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9D71D5-7193-3241-8883-91741B636CDC}" name="SEV_REQUEST" displayName="SEV_REQUEST" ref="A1:M2" totalsRowShown="0" headerRowDxfId="20" dataDxfId="19" tableBorderDxfId="18">
  <autoFilter ref="A1:M2" xr:uid="{E39D71D5-7193-3241-8883-91741B636CDC}"/>
  <tableColumns count="13">
    <tableColumn id="1" xr3:uid="{D1FED3FE-F765-8F49-B8B4-14525A2F0059}" name="PH" dataDxfId="17">
      <calculatedColumnFormula>IF(TRIM(CLEAN(E2))="","",_xlfn.TEXTBEFORE(E2,"-"))</calculatedColumnFormula>
    </tableColumn>
    <tableColumn id="2" xr3:uid="{595726BC-6A17-8441-9FA0-776B2D14EDEE}" name="BLD" dataDxfId="16">
      <calculatedColumnFormula>IF(TRIM(CLEAN(E2))="","",_xlfn.TEXTBEFORE(_xlfn.TEXTAFTER(E2,"-"),"-"))</calculatedColumnFormula>
    </tableColumn>
    <tableColumn id="7" xr3:uid="{13127E20-53D6-8946-9FE6-298C76D2F2D4}" name="Days open" dataDxfId="15">
      <calculatedColumnFormula>IF(SEV_REQUEST[[#This Row],[Created date]]="","",TODAY()-SEV_REQUEST[[#This Row],[Created date]])</calculatedColumnFormula>
    </tableColumn>
    <tableColumn id="3" xr3:uid="{A4F5B389-309E-8E45-8E44-DD80E93366C9}" name="Number" dataDxfId="14"/>
    <tableColumn id="4" xr3:uid="{42B5AAAD-E299-A140-92DF-CC12BC7FEDCB}" name="Location" dataDxfId="13"/>
    <tableColumn id="5" xr3:uid="{BE200EB7-93F3-7C4F-99FE-FCA87E0C9045}" name="Created date" dataDxfId="12"/>
    <tableColumn id="6" xr3:uid="{400891A9-0A48-D640-A858-50CC12373E04}" name="Due date" dataDxfId="11"/>
    <tableColumn id="8" xr3:uid="{A4FFBF90-53E1-2740-B2C6-6DEC2CE531D0}" name="Service Category" dataDxfId="10"/>
    <tableColumn id="9" xr3:uid="{4C775966-F245-164B-B053-1534F5C910D9}" name="Issue" dataDxfId="9"/>
    <tableColumn id="10" xr3:uid="{2DFC0089-EA74-9F4E-9F92-15D75DA6B5F0}" name="Assigned to" dataDxfId="8"/>
    <tableColumn id="11" xr3:uid="{C571A42C-D55C-3647-AD9E-5B9C0EAD90AB}" name="Priority" dataDxfId="7"/>
    <tableColumn id="12" xr3:uid="{3879D988-9CEA-3543-B461-B0F17483A0A8}" name="Status" dataDxfId="6"/>
    <tableColumn id="13" xr3:uid="{E56588C0-687C-9541-AACD-AE5D96A5E704}" name="Wo classification" dataDxfId="5">
      <calculatedColumnFormula>IF(
  TRIM(CLEAN(SEV_REQUEST[[#This Row],[Location]]))="",
  "",
  IF(
    IFERROR(
      _xlfn.XLOOKUP(
        TRIM(CLEAN(SEV_REQUEST[[#This Row],[Location]])),
        Table2[[Unit ]],
        Table2[[Days move in ]]
      ),
      999
    ) &lt; 30,
    "Make Ready WO",
    "Regular WO"
  )
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F5F3E4-AEA2-F844-BA63-ED3D79D43399}" name="Table2" displayName="Table2" ref="B3:D32" totalsRowShown="0" headerRowDxfId="4" dataDxfId="3">
  <autoFilter ref="B3:D32" xr:uid="{05F5F3E4-AEA2-F844-BA63-ED3D79D43399}"/>
  <tableColumns count="3">
    <tableColumn id="1" xr3:uid="{FE72B0A9-516C-9049-9E24-11BA1C469048}" name="Unit " dataDxfId="2"/>
    <tableColumn id="2" xr3:uid="{875EBE6B-B836-1B4A-8FF2-E1E349510F59}" name="Date " dataDxfId="1"/>
    <tableColumn id="3" xr3:uid="{882AB90C-AC65-7844-8F39-7FAE83AB2F16}" name="Days move in " dataDxfId="0">
      <calculatedColumnFormula>IF(
  TRIM(CLEAN(Table2[[#This Row],[Date ]]))="",
  "",
  TODAY()-DATEVALUE(Table2[[#This Row],[Date ]])
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J6" sqref="J6"/>
    </sheetView>
  </sheetViews>
  <sheetFormatPr defaultColWidth="9.109375" defaultRowHeight="14.4" x14ac:dyDescent="0.3"/>
  <cols>
    <col min="1" max="1" width="7.77734375" style="2" customWidth="1"/>
    <col min="2" max="2" width="5.44140625" style="1" customWidth="1"/>
    <col min="3" max="3" width="13.44140625" style="2" customWidth="1"/>
    <col min="4" max="4" width="11.6640625" style="1" customWidth="1"/>
    <col min="5" max="5" width="15.44140625" style="1" customWidth="1"/>
    <col min="6" max="6" width="15.6640625" style="1" customWidth="1"/>
    <col min="7" max="7" width="12.33203125" style="1" customWidth="1"/>
    <col min="8" max="8" width="22.33203125" customWidth="1"/>
    <col min="9" max="9" width="34.5546875" style="1" customWidth="1"/>
    <col min="10" max="10" width="31.44140625" style="1" customWidth="1"/>
    <col min="11" max="11" width="18.6640625" style="1" customWidth="1"/>
    <col min="12" max="12" width="15.33203125" style="1" customWidth="1"/>
    <col min="13" max="13" width="18.6640625" style="1" customWidth="1"/>
    <col min="14" max="14" width="15.77734375" style="1" customWidth="1"/>
    <col min="15" max="16384" width="9.109375" style="1"/>
  </cols>
  <sheetData>
    <row r="1" spans="1:14" s="6" customFormat="1" x14ac:dyDescent="0.3">
      <c r="A1" s="3" t="s">
        <v>31</v>
      </c>
      <c r="B1" s="3" t="s">
        <v>32</v>
      </c>
      <c r="C1" s="10" t="s">
        <v>4</v>
      </c>
      <c r="D1" s="4" t="s">
        <v>0</v>
      </c>
      <c r="E1" s="5" t="s">
        <v>1</v>
      </c>
      <c r="F1" s="5" t="s">
        <v>2</v>
      </c>
      <c r="G1" s="5" t="s">
        <v>3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37" t="s">
        <v>49</v>
      </c>
    </row>
    <row r="2" spans="1:14" x14ac:dyDescent="0.3">
      <c r="A2" s="2" t="str">
        <f>IF(TRIM(CLEAN(E2))="","",_xlfn.TEXTBEFORE(E2,"-"))</f>
        <v/>
      </c>
      <c r="B2" s="1" t="str">
        <f>IF(TRIM(CLEAN(E2))="","",_xlfn.TEXTBEFORE(_xlfn.TEXTAFTER(E2,"-"),"-"))</f>
        <v/>
      </c>
      <c r="C2" s="11" t="str">
        <f ca="1">IF(SEV_REQUEST[[#This Row],[Created date]]="","",TODAY()-SEV_REQUEST[[#This Row],[Created date]])</f>
        <v/>
      </c>
      <c r="H2" s="1"/>
      <c r="M2" s="36" t="str">
        <f>IF(
  TRIM(CLEAN(SEV_REQUEST[[#This Row],[Location]]))="",
  "",
  IF(
    IFERROR(
      _xlfn.XLOOKUP(
        TRIM(CLEAN(SEV_REQUEST[[#This Row],[Location]])),
        Table2[[Unit ]],
        Table2[[Days move in ]]
      ),
      999
    ) &lt; 30,
    "Make Ready WO",
    "Regular WO"
  )
)</f>
        <v/>
      </c>
      <c r="N2" s="13"/>
    </row>
  </sheetData>
  <dataValidations count="1">
    <dataValidation type="list" allowBlank="1" showInputMessage="1" showErrorMessage="1" sqref="J2" xr:uid="{BA6A1F9B-CC0F-422B-9BD9-2D19357446C9}">
      <formula1>staff_mabi</formula1>
    </dataValidation>
  </dataValidations>
  <pageMargins left="0.75" right="0.75" top="0.75" bottom="0.5" header="0.5" footer="0.75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84FBFA-FAC6-4646-8F77-0E802D0A6DBF}">
          <x14:formula1>
            <xm:f>'Staff '!$E$3:$E$8</xm:f>
          </x14:formula1>
          <xm:sqref>J1 J3:J1048576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4D333-51E1-7246-B3F5-421BF4B053FE}">
  <dimension ref="B1:AD7"/>
  <sheetViews>
    <sheetView workbookViewId="0">
      <selection activeCell="H3" sqref="H3:L4"/>
    </sheetView>
  </sheetViews>
  <sheetFormatPr defaultColWidth="10.77734375" defaultRowHeight="14.4" x14ac:dyDescent="0.3"/>
  <cols>
    <col min="1" max="1" width="3.33203125" style="12" customWidth="1"/>
    <col min="2" max="2" width="12.33203125" style="15" customWidth="1"/>
    <col min="3" max="3" width="17.6640625" style="15" customWidth="1"/>
    <col min="4" max="4" width="8.77734375" style="15" bestFit="1" customWidth="1"/>
    <col min="5" max="5" width="22.6640625" style="15" customWidth="1"/>
    <col min="6" max="6" width="10.77734375" style="15"/>
    <col min="7" max="7" width="3" style="12" customWidth="1"/>
    <col min="8" max="8" width="10.6640625" style="15" bestFit="1" customWidth="1"/>
    <col min="9" max="9" width="11.44140625" style="15" customWidth="1"/>
    <col min="10" max="10" width="8.77734375" style="15" bestFit="1" customWidth="1"/>
    <col min="11" max="11" width="28.77734375" style="15" customWidth="1"/>
    <col min="12" max="12" width="15.44140625" style="15" customWidth="1"/>
    <col min="13" max="13" width="2.33203125" style="12" customWidth="1"/>
    <col min="14" max="14" width="9.109375" style="32" bestFit="1" customWidth="1"/>
    <col min="15" max="15" width="9.6640625" style="32" bestFit="1" customWidth="1"/>
    <col min="16" max="16" width="8.77734375" style="32" bestFit="1" customWidth="1"/>
    <col min="17" max="17" width="25.44140625" style="32" bestFit="1" customWidth="1"/>
    <col min="18" max="18" width="9.33203125" style="32" bestFit="1" customWidth="1"/>
    <col min="19" max="19" width="2.44140625" style="12" customWidth="1"/>
    <col min="20" max="20" width="9.109375" style="32" bestFit="1" customWidth="1"/>
    <col min="21" max="21" width="9.6640625" style="32" bestFit="1" customWidth="1"/>
    <col min="22" max="22" width="8.77734375" style="32" bestFit="1" customWidth="1"/>
    <col min="23" max="23" width="27.44140625" style="32" bestFit="1" customWidth="1"/>
    <col min="24" max="24" width="9.33203125" style="32" bestFit="1" customWidth="1"/>
    <col min="25" max="25" width="3.33203125" style="12" customWidth="1"/>
    <col min="26" max="26" width="10.6640625" style="32" bestFit="1" customWidth="1"/>
    <col min="27" max="27" width="9.6640625" style="32" bestFit="1" customWidth="1"/>
    <col min="28" max="28" width="8.77734375" style="32" bestFit="1" customWidth="1"/>
    <col min="29" max="29" width="26.109375" style="32" bestFit="1" customWidth="1"/>
    <col min="30" max="30" width="9.33203125" style="32" bestFit="1" customWidth="1"/>
    <col min="31" max="16384" width="10.77734375" style="12"/>
  </cols>
  <sheetData>
    <row r="1" spans="2:30" x14ac:dyDescent="0.3">
      <c r="B1" s="14"/>
      <c r="C1" s="14"/>
      <c r="D1" s="14"/>
      <c r="E1" s="14"/>
      <c r="F1" s="14"/>
      <c r="H1" s="14"/>
      <c r="I1" s="14"/>
      <c r="J1" s="14"/>
      <c r="K1" s="14"/>
      <c r="L1" s="14"/>
    </row>
    <row r="2" spans="2:30" x14ac:dyDescent="0.3">
      <c r="B2" s="14"/>
      <c r="C2" s="14"/>
      <c r="D2" s="14"/>
      <c r="E2" s="14"/>
      <c r="F2" s="14"/>
      <c r="H2" s="14"/>
      <c r="I2" s="14"/>
      <c r="J2" s="14"/>
      <c r="K2" s="14"/>
      <c r="L2" s="14"/>
    </row>
    <row r="3" spans="2:30" ht="15" customHeight="1" x14ac:dyDescent="0.3">
      <c r="B3" s="39" t="s">
        <v>34</v>
      </c>
      <c r="C3" s="39"/>
      <c r="D3" s="39"/>
      <c r="E3" s="39"/>
      <c r="F3" s="39"/>
      <c r="H3" s="69" t="s">
        <v>33</v>
      </c>
      <c r="I3" s="69"/>
      <c r="J3" s="69"/>
      <c r="K3" s="69"/>
      <c r="L3" s="69"/>
      <c r="N3" s="38" t="s">
        <v>36</v>
      </c>
      <c r="O3" s="38"/>
      <c r="P3" s="38"/>
      <c r="Q3" s="38"/>
      <c r="R3" s="38"/>
      <c r="T3" s="38" t="s">
        <v>37</v>
      </c>
      <c r="U3" s="38"/>
      <c r="V3" s="38"/>
      <c r="W3" s="38"/>
      <c r="X3" s="38"/>
      <c r="Z3" s="38" t="s">
        <v>38</v>
      </c>
      <c r="AA3" s="38"/>
      <c r="AB3" s="38"/>
      <c r="AC3" s="38"/>
      <c r="AD3" s="38"/>
    </row>
    <row r="4" spans="2:30" ht="15" customHeight="1" x14ac:dyDescent="0.3">
      <c r="B4" s="39"/>
      <c r="C4" s="39"/>
      <c r="D4" s="39"/>
      <c r="E4" s="39"/>
      <c r="F4" s="39"/>
      <c r="H4" s="69"/>
      <c r="I4" s="69"/>
      <c r="J4" s="69"/>
      <c r="K4" s="69"/>
      <c r="L4" s="69"/>
      <c r="N4" s="38"/>
      <c r="O4" s="38"/>
      <c r="P4" s="38"/>
      <c r="Q4" s="38"/>
      <c r="R4" s="38"/>
      <c r="T4" s="38"/>
      <c r="U4" s="38"/>
      <c r="V4" s="38"/>
      <c r="W4" s="38"/>
      <c r="X4" s="38"/>
      <c r="Z4" s="38"/>
      <c r="AA4" s="38"/>
      <c r="AB4" s="38"/>
      <c r="AC4" s="38"/>
      <c r="AD4" s="38"/>
    </row>
    <row r="5" spans="2:30" x14ac:dyDescent="0.3">
      <c r="B5" s="16" t="str" cm="1">
        <f t="array" aca="1" ref="B5:F5" ca="1">_xlfn._xlws.PY(0,0,SEV_REQUEST[])</f>
        <v>Unit</v>
      </c>
      <c r="C5" s="16" t="str">
        <f ca="1"/>
        <v>Assigned to</v>
      </c>
      <c r="D5" s="16" t="str">
        <f ca="1"/>
        <v>Days open</v>
      </c>
      <c r="E5" s="16" t="str">
        <f ca="1"/>
        <v>Issue</v>
      </c>
      <c r="F5" s="16" t="str">
        <f ca="1"/>
        <v>Status</v>
      </c>
      <c r="H5" s="16" t="str" cm="1">
        <f t="array" aca="1" ref="H5:L5" ca="1">_xlfn._xlws.PY(1,0,SEV_REQUEST[])</f>
        <v>Unit</v>
      </c>
      <c r="I5" s="16" t="str">
        <f ca="1"/>
        <v>Assigned to</v>
      </c>
      <c r="J5" s="16" t="str">
        <f ca="1"/>
        <v>Days open</v>
      </c>
      <c r="K5" s="16" t="str">
        <f ca="1"/>
        <v>Issue</v>
      </c>
      <c r="L5" s="16" t="str">
        <f ca="1"/>
        <v>Status</v>
      </c>
      <c r="N5" s="16" t="str" cm="1">
        <f t="array" aca="1" ref="N5:R5" ca="1">_xlfn._xlws.PY(2,0,SEV_REQUEST[])</f>
        <v>Unit</v>
      </c>
      <c r="O5" s="8" t="str">
        <f ca="1"/>
        <v>Assigned to</v>
      </c>
      <c r="P5" s="8" t="str">
        <f ca="1"/>
        <v>Days open</v>
      </c>
      <c r="Q5" s="8" t="str">
        <f ca="1"/>
        <v>Issue</v>
      </c>
      <c r="R5" s="8" t="str">
        <f ca="1"/>
        <v>Status</v>
      </c>
      <c r="T5" s="16" t="str" cm="1">
        <f t="array" aca="1" ref="T5:X5" ca="1">_xlfn._xlws.PY(3,0,SEV_REQUEST[])</f>
        <v>Unit</v>
      </c>
      <c r="U5" s="8" t="str">
        <f ca="1"/>
        <v>Assigned to</v>
      </c>
      <c r="V5" s="8" t="str">
        <f ca="1"/>
        <v>Days open</v>
      </c>
      <c r="W5" s="8" t="str">
        <f ca="1"/>
        <v>Issue</v>
      </c>
      <c r="X5" s="8" t="str">
        <f ca="1"/>
        <v>Status</v>
      </c>
      <c r="Z5" s="16" t="str" cm="1">
        <f t="array" aca="1" ref="Z5:AD5" ca="1">_xlfn._xlws.PY(4,0,SEV_REQUEST[])</f>
        <v>Unit</v>
      </c>
      <c r="AA5" s="8" t="str">
        <f ca="1"/>
        <v>Assigned to</v>
      </c>
      <c r="AB5" s="8" t="str">
        <f ca="1"/>
        <v>Days open</v>
      </c>
      <c r="AC5" s="8" t="str">
        <f ca="1"/>
        <v>Issue</v>
      </c>
      <c r="AD5" s="8" t="str">
        <f ca="1"/>
        <v>Status</v>
      </c>
    </row>
    <row r="7" spans="2:30" x14ac:dyDescent="0.3">
      <c r="B7" s="17"/>
      <c r="C7" s="17"/>
      <c r="D7" s="17"/>
      <c r="E7" s="17"/>
      <c r="F7" s="17"/>
    </row>
  </sheetData>
  <mergeCells count="5">
    <mergeCell ref="Z3:AD4"/>
    <mergeCell ref="B3:F4"/>
    <mergeCell ref="H3:L4"/>
    <mergeCell ref="N3:R4"/>
    <mergeCell ref="T3:X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6899-CE00-7342-9E9F-4CE48DAB9C2B}">
  <dimension ref="B1:AJ4"/>
  <sheetViews>
    <sheetView topLeftCell="C1" workbookViewId="0">
      <selection activeCell="Q29" sqref="Q29"/>
    </sheetView>
  </sheetViews>
  <sheetFormatPr defaultColWidth="11.5546875" defaultRowHeight="14.4" x14ac:dyDescent="0.3"/>
  <cols>
    <col min="1" max="1" width="3" customWidth="1"/>
    <col min="2" max="2" width="10.6640625" style="22" bestFit="1" customWidth="1"/>
    <col min="3" max="3" width="13.77734375" style="22" bestFit="1" customWidth="1"/>
    <col min="4" max="4" width="8.77734375" style="22" bestFit="1" customWidth="1"/>
    <col min="5" max="5" width="22.6640625" style="23" bestFit="1" customWidth="1"/>
    <col min="6" max="6" width="9.33203125" style="22" bestFit="1" customWidth="1"/>
    <col min="7" max="7" width="1" customWidth="1"/>
    <col min="8" max="8" width="9.109375" style="22" bestFit="1" customWidth="1"/>
    <col min="9" max="9" width="13.44140625" style="22" customWidth="1"/>
    <col min="10" max="10" width="8.77734375" style="22" bestFit="1" customWidth="1"/>
    <col min="11" max="11" width="24.33203125" style="22" bestFit="1" customWidth="1"/>
    <col min="12" max="12" width="10.77734375" style="22" customWidth="1"/>
    <col min="13" max="13" width="1" customWidth="1"/>
    <col min="14" max="14" width="10.6640625" style="22" bestFit="1" customWidth="1"/>
    <col min="15" max="15" width="12.33203125" style="22" bestFit="1" customWidth="1"/>
    <col min="16" max="16" width="8.77734375" style="22" bestFit="1" customWidth="1"/>
    <col min="17" max="17" width="25.6640625" style="23" bestFit="1" customWidth="1"/>
    <col min="18" max="18" width="9.33203125" style="22" bestFit="1" customWidth="1"/>
    <col min="19" max="19" width="1.109375" style="9" customWidth="1"/>
    <col min="20" max="20" width="9.109375" style="24" bestFit="1" customWidth="1"/>
    <col min="21" max="21" width="15.6640625" style="24" bestFit="1" customWidth="1"/>
    <col min="22" max="22" width="8.77734375" style="22" bestFit="1" customWidth="1"/>
    <col min="23" max="23" width="24.77734375" style="24" bestFit="1" customWidth="1"/>
    <col min="24" max="24" width="9.33203125" style="24" bestFit="1" customWidth="1"/>
    <col min="25" max="25" width="2" customWidth="1"/>
    <col min="26" max="26" width="11.77734375" style="22" customWidth="1"/>
    <col min="27" max="27" width="13.77734375" style="22" bestFit="1" customWidth="1"/>
    <col min="28" max="28" width="8.77734375" style="22" bestFit="1" customWidth="1"/>
    <col min="29" max="29" width="24.33203125" style="22" customWidth="1"/>
    <col min="30" max="30" width="11" style="22" customWidth="1"/>
    <col min="31" max="31" width="1.33203125" customWidth="1"/>
    <col min="32" max="32" width="10.6640625" style="22" bestFit="1" customWidth="1"/>
    <col min="33" max="33" width="14.33203125" style="22" bestFit="1" customWidth="1"/>
    <col min="34" max="34" width="8.77734375" style="22" bestFit="1" customWidth="1"/>
    <col min="35" max="35" width="24.6640625" style="22" customWidth="1"/>
    <col min="36" max="36" width="9.33203125" style="22" customWidth="1"/>
  </cols>
  <sheetData>
    <row r="1" spans="2:36" x14ac:dyDescent="0.3">
      <c r="B1" s="25"/>
      <c r="C1" s="25"/>
      <c r="D1" s="25"/>
      <c r="E1" s="26"/>
      <c r="F1" s="25"/>
      <c r="G1" s="27"/>
      <c r="H1" s="25"/>
      <c r="I1" s="25"/>
      <c r="J1" s="25"/>
      <c r="K1" s="25"/>
      <c r="L1" s="25"/>
      <c r="M1" s="27"/>
      <c r="N1" s="25"/>
      <c r="O1" s="25"/>
      <c r="P1" s="25"/>
      <c r="Q1" s="26"/>
      <c r="R1" s="25"/>
      <c r="S1" s="25"/>
      <c r="T1" s="27"/>
      <c r="U1" s="27"/>
      <c r="V1" s="25"/>
      <c r="W1" s="27"/>
      <c r="X1" s="27"/>
      <c r="Z1" s="25"/>
      <c r="AA1" s="25"/>
      <c r="AB1" s="25"/>
      <c r="AC1" s="25"/>
      <c r="AD1" s="25"/>
      <c r="AF1" s="25"/>
      <c r="AG1" s="25"/>
      <c r="AH1" s="25"/>
      <c r="AI1" s="25"/>
      <c r="AJ1" s="25"/>
    </row>
    <row r="2" spans="2:36" x14ac:dyDescent="0.3">
      <c r="B2" s="40" t="s">
        <v>39</v>
      </c>
      <c r="C2" s="40"/>
      <c r="D2" s="40"/>
      <c r="E2" s="40"/>
      <c r="F2" s="40"/>
      <c r="H2" s="42" t="s">
        <v>17</v>
      </c>
      <c r="I2" s="43"/>
      <c r="J2" s="43"/>
      <c r="K2" s="43"/>
      <c r="L2" s="44"/>
      <c r="N2" s="41" t="s">
        <v>28</v>
      </c>
      <c r="O2" s="41"/>
      <c r="P2" s="41"/>
      <c r="Q2" s="41"/>
      <c r="R2" s="41"/>
      <c r="T2" s="41" t="s">
        <v>12</v>
      </c>
      <c r="U2" s="41"/>
      <c r="V2" s="41"/>
      <c r="W2" s="41"/>
      <c r="X2" s="41"/>
      <c r="Z2" s="41" t="s">
        <v>24</v>
      </c>
      <c r="AA2" s="41"/>
      <c r="AB2" s="41"/>
      <c r="AC2" s="41"/>
      <c r="AD2" s="41"/>
      <c r="AF2" s="41" t="s">
        <v>13</v>
      </c>
      <c r="AG2" s="41"/>
      <c r="AH2" s="41"/>
      <c r="AI2" s="41"/>
      <c r="AJ2" s="41"/>
    </row>
    <row r="3" spans="2:36" x14ac:dyDescent="0.3">
      <c r="B3" s="40"/>
      <c r="C3" s="40"/>
      <c r="D3" s="40"/>
      <c r="E3" s="40"/>
      <c r="F3" s="40"/>
      <c r="H3" s="45"/>
      <c r="I3" s="46"/>
      <c r="J3" s="46"/>
      <c r="K3" s="46"/>
      <c r="L3" s="47"/>
      <c r="N3" s="41"/>
      <c r="O3" s="41"/>
      <c r="P3" s="41"/>
      <c r="Q3" s="41"/>
      <c r="R3" s="41"/>
      <c r="T3" s="41"/>
      <c r="U3" s="41"/>
      <c r="V3" s="41"/>
      <c r="W3" s="41"/>
      <c r="X3" s="41"/>
      <c r="Z3" s="41"/>
      <c r="AA3" s="41"/>
      <c r="AB3" s="41"/>
      <c r="AC3" s="41"/>
      <c r="AD3" s="41"/>
      <c r="AF3" s="41"/>
      <c r="AG3" s="41"/>
      <c r="AH3" s="41"/>
      <c r="AI3" s="41"/>
      <c r="AJ3" s="41"/>
    </row>
    <row r="4" spans="2:36" ht="18" x14ac:dyDescent="0.35">
      <c r="B4" s="20" t="str" cm="1">
        <f t="array" aca="1" ref="B4:F4" ca="1">_xlfn._xlws.PY(5,0,SEV_REQUEST[])</f>
        <v>Unit</v>
      </c>
      <c r="C4" s="16" t="str">
        <f ca="1"/>
        <v>Assigned to</v>
      </c>
      <c r="D4" s="16" t="str">
        <f ca="1"/>
        <v>Days open</v>
      </c>
      <c r="E4" s="21" t="str">
        <f ca="1"/>
        <v>Issue</v>
      </c>
      <c r="F4" s="16" t="str">
        <f ca="1"/>
        <v>Status</v>
      </c>
      <c r="H4" s="20" t="str" cm="1">
        <f t="array" aca="1" ref="H4:L4" ca="1">_xlfn._xlws.PY(6,0,SEV_REQUEST[])</f>
        <v>Unit</v>
      </c>
      <c r="I4" s="33" t="str">
        <f ca="1"/>
        <v>Assigned to</v>
      </c>
      <c r="J4" s="33" t="str">
        <f ca="1"/>
        <v>Days open</v>
      </c>
      <c r="K4" s="33" t="str">
        <f ca="1"/>
        <v>Issue</v>
      </c>
      <c r="L4" s="33" t="str">
        <f ca="1"/>
        <v>Status</v>
      </c>
      <c r="N4" s="20" t="str" cm="1">
        <f t="array" aca="1" ref="N4:R4" ca="1">_xlfn._xlws.PY(7,0,SEV_REQUEST[])</f>
        <v>Unit</v>
      </c>
      <c r="O4" s="16" t="str">
        <f ca="1"/>
        <v>Assigned to</v>
      </c>
      <c r="P4" s="16" t="str">
        <f ca="1"/>
        <v>Days open</v>
      </c>
      <c r="Q4" s="21" t="str">
        <f ca="1"/>
        <v>Issue</v>
      </c>
      <c r="R4" s="16" t="str">
        <f ca="1"/>
        <v>Status</v>
      </c>
      <c r="T4" s="20" t="str" cm="1">
        <f t="array" aca="1" ref="T4:X4" ca="1">_xlfn._xlws.PY(8,0,SEV_REQUEST[])</f>
        <v>Unit</v>
      </c>
      <c r="U4" s="18" t="str">
        <f ca="1"/>
        <v>Assigned to</v>
      </c>
      <c r="V4" s="16" t="str">
        <f ca="1"/>
        <v>Days open</v>
      </c>
      <c r="W4" s="18" t="str">
        <f ca="1"/>
        <v>Issue</v>
      </c>
      <c r="X4" s="18" t="str">
        <f ca="1"/>
        <v>Status</v>
      </c>
      <c r="Z4" s="20" t="str" cm="1">
        <f t="array" aca="1" ref="Z4:AD4" ca="1">_xlfn._xlws.PY(9,0,SEV_REQUEST[])</f>
        <v>Unit</v>
      </c>
      <c r="AA4" s="16" t="str">
        <f ca="1"/>
        <v>Assigned to</v>
      </c>
      <c r="AB4" s="16" t="str">
        <f ca="1"/>
        <v>Days open</v>
      </c>
      <c r="AC4" s="16" t="str">
        <f ca="1"/>
        <v>Issue</v>
      </c>
      <c r="AD4" s="16" t="str">
        <f ca="1"/>
        <v>Status</v>
      </c>
      <c r="AF4" s="20" t="str" cm="1">
        <f t="array" aca="1" ref="AF4:AJ4" ca="1">_xlfn._xlws.PY(10,0,SEV_REQUEST[])</f>
        <v>Unit</v>
      </c>
      <c r="AG4" s="16" t="str">
        <f ca="1"/>
        <v>Assigned to</v>
      </c>
      <c r="AH4" s="16" t="str">
        <f ca="1"/>
        <v>Days open</v>
      </c>
      <c r="AI4" s="16" t="str">
        <f ca="1"/>
        <v>Issue</v>
      </c>
      <c r="AJ4" s="16" t="str">
        <f ca="1"/>
        <v>Status</v>
      </c>
    </row>
  </sheetData>
  <mergeCells count="6">
    <mergeCell ref="B2:F3"/>
    <mergeCell ref="N2:R3"/>
    <mergeCell ref="T2:X3"/>
    <mergeCell ref="Z2:AD3"/>
    <mergeCell ref="AF2:AJ3"/>
    <mergeCell ref="H2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5C141-23D6-EF43-A733-FAEB28B033ED}">
  <dimension ref="B2:R4"/>
  <sheetViews>
    <sheetView topLeftCell="A2" workbookViewId="0">
      <selection activeCell="R22" sqref="R22"/>
    </sheetView>
  </sheetViews>
  <sheetFormatPr defaultColWidth="11.5546875" defaultRowHeight="14.4" x14ac:dyDescent="0.3"/>
  <cols>
    <col min="1" max="1" width="2.44140625" customWidth="1"/>
    <col min="2" max="2" width="9.109375" style="28" bestFit="1" customWidth="1"/>
    <col min="3" max="3" width="9.6640625" style="28" bestFit="1" customWidth="1"/>
    <col min="4" max="4" width="8.77734375" style="28" bestFit="1" customWidth="1"/>
    <col min="5" max="5" width="26.44140625" style="28" customWidth="1"/>
    <col min="6" max="6" width="9.44140625" style="28" customWidth="1"/>
    <col min="7" max="7" width="1" customWidth="1"/>
    <col min="8" max="8" width="10" style="9" customWidth="1"/>
    <col min="9" max="9" width="10.77734375" customWidth="1"/>
    <col min="10" max="10" width="8.77734375" style="9" bestFit="1" customWidth="1"/>
    <col min="11" max="11" width="22.6640625" bestFit="1" customWidth="1"/>
    <col min="12" max="12" width="10.33203125" customWidth="1"/>
    <col min="13" max="13" width="2.109375" customWidth="1"/>
    <col min="14" max="14" width="10.77734375" style="9" customWidth="1"/>
    <col min="15" max="15" width="12.109375" style="9" customWidth="1"/>
    <col min="16" max="16" width="8.77734375" style="9" bestFit="1" customWidth="1"/>
    <col min="17" max="17" width="27" style="9" customWidth="1"/>
    <col min="18" max="18" width="9.33203125" style="9" bestFit="1" customWidth="1"/>
  </cols>
  <sheetData>
    <row r="2" spans="2:18" x14ac:dyDescent="0.3">
      <c r="B2" s="48" t="s">
        <v>40</v>
      </c>
      <c r="C2" s="48"/>
      <c r="D2" s="48"/>
      <c r="E2" s="48"/>
      <c r="F2" s="48"/>
      <c r="H2" s="49" t="s">
        <v>41</v>
      </c>
      <c r="I2" s="49"/>
      <c r="J2" s="49"/>
      <c r="K2" s="49"/>
      <c r="L2" s="49"/>
      <c r="N2" s="50" t="s">
        <v>42</v>
      </c>
      <c r="O2" s="50"/>
      <c r="P2" s="50"/>
      <c r="Q2" s="50"/>
      <c r="R2" s="50"/>
    </row>
    <row r="3" spans="2:18" x14ac:dyDescent="0.3">
      <c r="B3" s="48"/>
      <c r="C3" s="48"/>
      <c r="D3" s="48"/>
      <c r="E3" s="48"/>
      <c r="F3" s="48"/>
      <c r="H3" s="49"/>
      <c r="I3" s="49"/>
      <c r="J3" s="49"/>
      <c r="K3" s="49"/>
      <c r="L3" s="49"/>
      <c r="N3" s="50"/>
      <c r="O3" s="50"/>
      <c r="P3" s="50"/>
      <c r="Q3" s="50"/>
      <c r="R3" s="50"/>
    </row>
    <row r="4" spans="2:18" x14ac:dyDescent="0.3">
      <c r="B4" s="29" t="str" cm="1">
        <f t="array" aca="1" ref="B4:F4" ca="1">_xlfn._xlws.PY(2,0,SEV_REQUEST[])</f>
        <v>Unit</v>
      </c>
      <c r="C4" s="30" t="str">
        <f ca="1"/>
        <v>Assigned to</v>
      </c>
      <c r="D4" s="30" t="str">
        <f ca="1"/>
        <v>Days open</v>
      </c>
      <c r="E4" s="30" t="str">
        <f ca="1"/>
        <v>Issue</v>
      </c>
      <c r="F4" s="30" t="str">
        <f ca="1"/>
        <v>Status</v>
      </c>
      <c r="H4" s="29" t="str" cm="1">
        <f t="array" aca="1" ref="H4:L4" ca="1">_xlfn._xlws.PY(11,0,SEV_REQUEST[])</f>
        <v>Unit</v>
      </c>
      <c r="I4" s="7" t="str">
        <f ca="1"/>
        <v>Assigned to</v>
      </c>
      <c r="J4" s="8" t="str">
        <f ca="1"/>
        <v>Days open</v>
      </c>
      <c r="K4" s="7" t="str">
        <f ca="1"/>
        <v>Issue</v>
      </c>
      <c r="L4" s="7" t="str">
        <f ca="1"/>
        <v>Status</v>
      </c>
      <c r="N4" s="29" t="str" cm="1">
        <f t="array" aca="1" ref="N4:R4" ca="1">_xlfn._xlws.PY(12,0,SEV_REQUEST[])</f>
        <v>Unit</v>
      </c>
      <c r="O4" s="8" t="str">
        <f ca="1"/>
        <v>Assigned to</v>
      </c>
      <c r="P4" s="8" t="str">
        <f ca="1"/>
        <v>Days open</v>
      </c>
      <c r="Q4" s="8" t="str">
        <f ca="1"/>
        <v>Issue</v>
      </c>
      <c r="R4" s="8" t="str">
        <f ca="1"/>
        <v>Status</v>
      </c>
    </row>
  </sheetData>
  <mergeCells count="3">
    <mergeCell ref="B2:F3"/>
    <mergeCell ref="H2:L3"/>
    <mergeCell ref="N2:R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FED9-164F-4944-955F-F73EE428F190}">
  <dimension ref="B3:AP6"/>
  <sheetViews>
    <sheetView topLeftCell="A4" workbookViewId="0">
      <selection activeCell="E37" sqref="E37"/>
    </sheetView>
  </sheetViews>
  <sheetFormatPr defaultColWidth="11.5546875" defaultRowHeight="14.4" x14ac:dyDescent="0.3"/>
  <cols>
    <col min="1" max="1" width="1.6640625" customWidth="1"/>
    <col min="2" max="2" width="10.6640625" style="9" bestFit="1" customWidth="1"/>
    <col min="3" max="3" width="15" style="9" customWidth="1"/>
    <col min="4" max="4" width="8.77734375" style="9" bestFit="1" customWidth="1"/>
    <col min="5" max="5" width="23.44140625" style="9" bestFit="1" customWidth="1"/>
    <col min="6" max="6" width="11.6640625" style="9" customWidth="1"/>
    <col min="7" max="7" width="2.44140625" customWidth="1"/>
    <col min="8" max="8" width="10.6640625" style="9" bestFit="1" customWidth="1"/>
    <col min="9" max="9" width="12.33203125" style="9" bestFit="1" customWidth="1"/>
    <col min="10" max="10" width="8.77734375" style="9" bestFit="1" customWidth="1"/>
    <col min="11" max="11" width="26.6640625" style="9" customWidth="1"/>
    <col min="12" max="12" width="9.33203125" style="9" bestFit="1" customWidth="1"/>
    <col min="13" max="13" width="1.109375" customWidth="1"/>
    <col min="14" max="16" width="10.77734375" style="9"/>
    <col min="17" max="17" width="27.6640625" style="9" customWidth="1"/>
    <col min="18" max="18" width="11.77734375" style="9" customWidth="1"/>
    <col min="19" max="19" width="2.109375" customWidth="1"/>
    <col min="20" max="20" width="9.109375" style="9" bestFit="1" customWidth="1"/>
    <col min="21" max="21" width="13.77734375" style="9" bestFit="1" customWidth="1"/>
    <col min="22" max="22" width="8.77734375" style="9" bestFit="1" customWidth="1"/>
    <col min="23" max="23" width="25.33203125" style="9" bestFit="1" customWidth="1"/>
    <col min="24" max="24" width="9.33203125" style="9" bestFit="1" customWidth="1"/>
    <col min="25" max="25" width="2.44140625" customWidth="1"/>
    <col min="26" max="26" width="10.6640625" style="9" bestFit="1" customWidth="1"/>
    <col min="27" max="27" width="10.77734375" style="9" bestFit="1" customWidth="1"/>
    <col min="28" max="28" width="8.77734375" style="9" bestFit="1" customWidth="1"/>
    <col min="29" max="29" width="15" style="9" bestFit="1" customWidth="1"/>
    <col min="30" max="30" width="7.109375" style="9" bestFit="1" customWidth="1"/>
    <col min="31" max="31" width="2.6640625" customWidth="1"/>
    <col min="33" max="33" width="13.44140625" customWidth="1"/>
    <col min="37" max="37" width="1.6640625" customWidth="1"/>
  </cols>
  <sheetData>
    <row r="3" spans="2:42" x14ac:dyDescent="0.3">
      <c r="B3" s="51" t="s">
        <v>12</v>
      </c>
      <c r="C3" s="52"/>
      <c r="D3" s="52"/>
      <c r="E3" s="52"/>
      <c r="F3" s="53"/>
      <c r="H3" s="51" t="s">
        <v>12</v>
      </c>
      <c r="I3" s="52"/>
      <c r="J3" s="52"/>
      <c r="K3" s="52"/>
      <c r="L3" s="53"/>
      <c r="N3" s="57" t="s">
        <v>44</v>
      </c>
      <c r="O3" s="58"/>
      <c r="P3" s="58"/>
      <c r="Q3" s="58"/>
      <c r="R3" s="59"/>
      <c r="T3" s="51" t="s">
        <v>13</v>
      </c>
      <c r="U3" s="52"/>
      <c r="V3" s="52"/>
      <c r="W3" s="52"/>
      <c r="X3" s="53"/>
      <c r="Z3" s="51" t="s">
        <v>13</v>
      </c>
      <c r="AA3" s="52"/>
      <c r="AB3" s="52"/>
      <c r="AC3" s="52"/>
      <c r="AD3" s="53"/>
      <c r="AF3" s="51" t="s">
        <v>17</v>
      </c>
      <c r="AG3" s="52"/>
      <c r="AH3" s="52"/>
      <c r="AI3" s="52"/>
      <c r="AJ3" s="53"/>
      <c r="AL3" s="51" t="s">
        <v>17</v>
      </c>
      <c r="AM3" s="52"/>
      <c r="AN3" s="52"/>
      <c r="AO3" s="52"/>
      <c r="AP3" s="53"/>
    </row>
    <row r="4" spans="2:42" x14ac:dyDescent="0.3">
      <c r="B4" s="54"/>
      <c r="C4" s="55"/>
      <c r="D4" s="55"/>
      <c r="E4" s="55"/>
      <c r="F4" s="56"/>
      <c r="H4" s="54"/>
      <c r="I4" s="55"/>
      <c r="J4" s="55"/>
      <c r="K4" s="55"/>
      <c r="L4" s="56"/>
      <c r="N4" s="60"/>
      <c r="O4" s="61"/>
      <c r="P4" s="61"/>
      <c r="Q4" s="61"/>
      <c r="R4" s="62"/>
      <c r="T4" s="54"/>
      <c r="U4" s="55"/>
      <c r="V4" s="55"/>
      <c r="W4" s="55"/>
      <c r="X4" s="56"/>
      <c r="Z4" s="54"/>
      <c r="AA4" s="55"/>
      <c r="AB4" s="55"/>
      <c r="AC4" s="55"/>
      <c r="AD4" s="56"/>
      <c r="AF4" s="54"/>
      <c r="AG4" s="55"/>
      <c r="AH4" s="55"/>
      <c r="AI4" s="55"/>
      <c r="AJ4" s="56"/>
      <c r="AL4" s="54"/>
      <c r="AM4" s="55"/>
      <c r="AN4" s="55"/>
      <c r="AO4" s="55"/>
      <c r="AP4" s="56"/>
    </row>
    <row r="5" spans="2:42" ht="19.05" customHeight="1" x14ac:dyDescent="0.35">
      <c r="B5" s="31" t="str" cm="1">
        <f t="array" aca="1" ref="B5:F5" ca="1">_xlfn._xlws.PY(8,0,SEV_REQUEST[])</f>
        <v>Unit</v>
      </c>
      <c r="C5" s="8" t="str">
        <f ca="1"/>
        <v>Assigned to</v>
      </c>
      <c r="D5" s="8" t="str">
        <f ca="1"/>
        <v>Days open</v>
      </c>
      <c r="E5" s="8" t="str">
        <f ca="1"/>
        <v>Issue</v>
      </c>
      <c r="F5" s="8" t="str">
        <f ca="1"/>
        <v>Status</v>
      </c>
      <c r="H5" s="31" t="str" cm="1">
        <f t="array" aca="1" ref="H5:L5" ca="1">_xlfn._xlws.PY(13,0,SEV_REQUEST[])</f>
        <v>Unit</v>
      </c>
      <c r="I5" s="8" t="str">
        <f ca="1"/>
        <v>Assigned to</v>
      </c>
      <c r="J5" s="8" t="str">
        <f ca="1"/>
        <v>Days open</v>
      </c>
      <c r="K5" s="8" t="str">
        <f ca="1"/>
        <v>Issue</v>
      </c>
      <c r="L5" s="8" t="str">
        <f ca="1"/>
        <v>Status</v>
      </c>
      <c r="N5" s="31" t="str" cm="1">
        <f t="array" aca="1" ref="N5:R5" ca="1">_xlfn._xlws.PY(14,0,SEV_REQUEST[])</f>
        <v>Unit</v>
      </c>
      <c r="O5" s="8" t="str">
        <f ca="1"/>
        <v>Assigned to</v>
      </c>
      <c r="P5" s="8" t="str">
        <f ca="1"/>
        <v>Days open</v>
      </c>
      <c r="Q5" s="8" t="str">
        <f ca="1"/>
        <v>Issue</v>
      </c>
      <c r="R5" s="8" t="str">
        <f ca="1"/>
        <v>Status</v>
      </c>
      <c r="T5" s="31" t="str" cm="1">
        <f t="array" aca="1" ref="T5:X5" ca="1">_xlfn._xlws.PY(15,0,SEV_REQUEST[])</f>
        <v>Unit</v>
      </c>
      <c r="U5" s="8" t="str">
        <f ca="1"/>
        <v>Assigned to</v>
      </c>
      <c r="V5" s="8" t="str">
        <f ca="1"/>
        <v>Days open</v>
      </c>
      <c r="W5" s="8" t="str">
        <f ca="1"/>
        <v>Issue</v>
      </c>
      <c r="X5" s="8" t="str">
        <f ca="1"/>
        <v>Status</v>
      </c>
      <c r="Z5" s="31" t="str" cm="1">
        <f t="array" aca="1" ref="Z5:AD5" ca="1">_xlfn._xlws.PY(16,0,SEV_REQUEST[])</f>
        <v>Unit</v>
      </c>
      <c r="AA5" s="8" t="str">
        <f ca="1"/>
        <v>Assigned to</v>
      </c>
      <c r="AB5" s="8" t="str">
        <f ca="1"/>
        <v>Days open</v>
      </c>
      <c r="AC5" s="8" t="str">
        <f ca="1"/>
        <v>Issue</v>
      </c>
      <c r="AD5" s="8" t="str">
        <f ca="1"/>
        <v>Status</v>
      </c>
      <c r="AF5" s="31" t="str" cm="1">
        <f t="array" aca="1" ref="AF5:AJ5" ca="1">_xlfn._xlws.PY(17,0,SEV_REQUEST[])</f>
        <v>Unit</v>
      </c>
      <c r="AG5" s="7" t="str">
        <f ca="1"/>
        <v>Assigned to</v>
      </c>
      <c r="AH5" s="7" t="str">
        <f ca="1"/>
        <v>Days open</v>
      </c>
      <c r="AI5" s="7" t="str">
        <f ca="1"/>
        <v>Issue</v>
      </c>
      <c r="AJ5" s="7" t="str">
        <f ca="1"/>
        <v>Status</v>
      </c>
      <c r="AL5" s="31" t="str" cm="1">
        <f t="array" aca="1" ref="AL5:AP5" ca="1">_xlfn._xlws.PY(18,0,SEV_REQUEST[])</f>
        <v>Unit</v>
      </c>
      <c r="AM5" s="7" t="str">
        <f ca="1"/>
        <v>Assigned to</v>
      </c>
      <c r="AN5" s="7" t="str">
        <f ca="1"/>
        <v>Days open</v>
      </c>
      <c r="AO5" s="7" t="str">
        <f ca="1"/>
        <v>Issue</v>
      </c>
      <c r="AP5" s="7" t="str">
        <f ca="1"/>
        <v>Status</v>
      </c>
    </row>
    <row r="6" spans="2:42" ht="15" customHeight="1" x14ac:dyDescent="0.3"/>
  </sheetData>
  <mergeCells count="7">
    <mergeCell ref="AL3:AP4"/>
    <mergeCell ref="B3:F4"/>
    <mergeCell ref="H3:L4"/>
    <mergeCell ref="N3:R4"/>
    <mergeCell ref="T3:X4"/>
    <mergeCell ref="Z3:AD4"/>
    <mergeCell ref="AF3:A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EB20-3F39-6747-8DBD-3EAA9390C19A}">
  <dimension ref="B3:AP6"/>
  <sheetViews>
    <sheetView topLeftCell="B1" workbookViewId="0">
      <selection activeCell="N3" sqref="N3:R4"/>
    </sheetView>
  </sheetViews>
  <sheetFormatPr defaultColWidth="11.5546875" defaultRowHeight="14.4" x14ac:dyDescent="0.3"/>
  <cols>
    <col min="1" max="1" width="1.6640625" customWidth="1"/>
    <col min="2" max="2" width="10.6640625" style="9" bestFit="1" customWidth="1"/>
    <col min="3" max="3" width="12.33203125" style="9" bestFit="1" customWidth="1"/>
    <col min="4" max="4" width="8.77734375" style="9" bestFit="1" customWidth="1"/>
    <col min="5" max="5" width="23.44140625" style="9" bestFit="1" customWidth="1"/>
    <col min="6" max="6" width="11.6640625" style="9" customWidth="1"/>
    <col min="7" max="7" width="2.44140625" customWidth="1"/>
    <col min="8" max="8" width="10.6640625" style="9" bestFit="1" customWidth="1"/>
    <col min="9" max="9" width="12.33203125" style="9" bestFit="1" customWidth="1"/>
    <col min="10" max="10" width="8.77734375" style="9" bestFit="1" customWidth="1"/>
    <col min="11" max="11" width="26.6640625" style="9" customWidth="1"/>
    <col min="12" max="12" width="9.33203125" style="9" bestFit="1" customWidth="1"/>
    <col min="13" max="13" width="1.109375" customWidth="1"/>
    <col min="14" max="16" width="10.77734375" style="9"/>
    <col min="17" max="17" width="27.6640625" style="9" customWidth="1"/>
    <col min="18" max="18" width="11.77734375" style="9" customWidth="1"/>
    <col min="19" max="19" width="2.109375" customWidth="1"/>
    <col min="20" max="22" width="13.44140625" style="9" customWidth="1"/>
    <col min="23" max="23" width="16.33203125" style="9" customWidth="1"/>
    <col min="24" max="24" width="13.44140625" style="9" customWidth="1"/>
    <col min="25" max="25" width="2.44140625" customWidth="1"/>
    <col min="26" max="26" width="9.109375" style="9" bestFit="1" customWidth="1"/>
    <col min="27" max="27" width="10.77734375" style="9" bestFit="1" customWidth="1"/>
    <col min="28" max="28" width="8.77734375" style="9" bestFit="1" customWidth="1"/>
    <col min="29" max="29" width="15" style="9" bestFit="1" customWidth="1"/>
    <col min="30" max="30" width="7.109375" style="9" bestFit="1" customWidth="1"/>
    <col min="31" max="31" width="2.6640625" customWidth="1"/>
    <col min="37" max="37" width="1.6640625" customWidth="1"/>
  </cols>
  <sheetData>
    <row r="3" spans="2:42" x14ac:dyDescent="0.3">
      <c r="B3" s="51" t="s">
        <v>28</v>
      </c>
      <c r="C3" s="52"/>
      <c r="D3" s="52"/>
      <c r="E3" s="52"/>
      <c r="F3" s="53"/>
      <c r="H3" s="51" t="s">
        <v>28</v>
      </c>
      <c r="I3" s="52"/>
      <c r="J3" s="52"/>
      <c r="K3" s="52"/>
      <c r="L3" s="53"/>
      <c r="N3" s="63" t="s">
        <v>43</v>
      </c>
      <c r="O3" s="64"/>
      <c r="P3" s="64"/>
      <c r="Q3" s="64"/>
      <c r="R3" s="65"/>
      <c r="T3" s="51" t="s">
        <v>24</v>
      </c>
      <c r="U3" s="52"/>
      <c r="V3" s="52"/>
      <c r="W3" s="52"/>
      <c r="X3" s="53"/>
      <c r="Z3" s="51" t="s">
        <v>24</v>
      </c>
      <c r="AA3" s="52"/>
      <c r="AB3" s="52"/>
      <c r="AC3" s="52"/>
      <c r="AD3" s="53"/>
      <c r="AF3" s="51" t="s">
        <v>17</v>
      </c>
      <c r="AG3" s="52"/>
      <c r="AH3" s="52"/>
      <c r="AI3" s="52"/>
      <c r="AJ3" s="53"/>
      <c r="AL3" s="51" t="s">
        <v>17</v>
      </c>
      <c r="AM3" s="52"/>
      <c r="AN3" s="52"/>
      <c r="AO3" s="52"/>
      <c r="AP3" s="53"/>
    </row>
    <row r="4" spans="2:42" x14ac:dyDescent="0.3">
      <c r="B4" s="54"/>
      <c r="C4" s="55"/>
      <c r="D4" s="55"/>
      <c r="E4" s="55"/>
      <c r="F4" s="56"/>
      <c r="H4" s="54"/>
      <c r="I4" s="55"/>
      <c r="J4" s="55"/>
      <c r="K4" s="55"/>
      <c r="L4" s="56"/>
      <c r="N4" s="66"/>
      <c r="O4" s="67"/>
      <c r="P4" s="67"/>
      <c r="Q4" s="67"/>
      <c r="R4" s="68"/>
      <c r="T4" s="54"/>
      <c r="U4" s="55"/>
      <c r="V4" s="55"/>
      <c r="W4" s="55"/>
      <c r="X4" s="56"/>
      <c r="Z4" s="54"/>
      <c r="AA4" s="55"/>
      <c r="AB4" s="55"/>
      <c r="AC4" s="55"/>
      <c r="AD4" s="56"/>
      <c r="AF4" s="54"/>
      <c r="AG4" s="55"/>
      <c r="AH4" s="55"/>
      <c r="AI4" s="55"/>
      <c r="AJ4" s="56"/>
      <c r="AL4" s="54"/>
      <c r="AM4" s="55"/>
      <c r="AN4" s="55"/>
      <c r="AO4" s="55"/>
      <c r="AP4" s="56"/>
    </row>
    <row r="5" spans="2:42" ht="19.05" customHeight="1" x14ac:dyDescent="0.35">
      <c r="B5" s="31" t="str" cm="1">
        <f t="array" aca="1" ref="B5:F5" ca="1">_xlfn._xlws.PY(7,0,SEV_REQUEST[])</f>
        <v>Unit</v>
      </c>
      <c r="C5" s="8" t="str">
        <f ca="1"/>
        <v>Assigned to</v>
      </c>
      <c r="D5" s="8" t="str">
        <f ca="1"/>
        <v>Days open</v>
      </c>
      <c r="E5" s="8" t="str">
        <f ca="1"/>
        <v>Issue</v>
      </c>
      <c r="F5" s="8" t="str">
        <f ca="1"/>
        <v>Status</v>
      </c>
      <c r="H5" s="31" t="str" cm="1">
        <f t="array" aca="1" ref="H5:L5" ca="1">_xlfn._xlws.PY(19,0,SEV_REQUEST[])</f>
        <v>Unit</v>
      </c>
      <c r="I5" s="8" t="str">
        <f ca="1"/>
        <v>Assigned to</v>
      </c>
      <c r="J5" s="8" t="str">
        <f ca="1"/>
        <v>Days open</v>
      </c>
      <c r="K5" s="8" t="str">
        <f ca="1"/>
        <v>Issue</v>
      </c>
      <c r="L5" s="8" t="str">
        <f ca="1"/>
        <v>Status</v>
      </c>
      <c r="N5" s="31" t="str" cm="1">
        <f t="array" aca="1" ref="N5:R5" ca="1">_xlfn._xlws.PY(20,0,SEV_REQUEST[])</f>
        <v>Unit</v>
      </c>
      <c r="O5" s="8" t="str">
        <f ca="1"/>
        <v>Assigned to</v>
      </c>
      <c r="P5" s="8" t="str">
        <f ca="1"/>
        <v>Days open</v>
      </c>
      <c r="Q5" s="8" t="str">
        <f ca="1"/>
        <v>Issue</v>
      </c>
      <c r="R5" s="8" t="str">
        <f ca="1"/>
        <v>Status</v>
      </c>
      <c r="T5" s="31" t="str" cm="1">
        <f t="array" aca="1" ref="T5:X5" ca="1">_xlfn._xlws.PY(21,0,SEV_REQUEST[])</f>
        <v>Unit</v>
      </c>
      <c r="U5" s="8" t="str">
        <f ca="1"/>
        <v>Assigned to</v>
      </c>
      <c r="V5" s="8" t="str">
        <f ca="1"/>
        <v>Days open</v>
      </c>
      <c r="W5" s="8" t="str">
        <f ca="1"/>
        <v>Issue</v>
      </c>
      <c r="X5" s="8" t="str">
        <f ca="1"/>
        <v>Status</v>
      </c>
      <c r="Z5" s="31" t="str" cm="1">
        <f t="array" aca="1" ref="Z5:AD5" ca="1">_xlfn._xlws.PY(22,0,SEV_REQUEST[])</f>
        <v>Unit</v>
      </c>
      <c r="AA5" s="8" t="str">
        <f ca="1"/>
        <v>Assigned to</v>
      </c>
      <c r="AB5" s="8" t="str">
        <f ca="1"/>
        <v>Days open</v>
      </c>
      <c r="AC5" s="8" t="str">
        <f ca="1"/>
        <v>Issue</v>
      </c>
      <c r="AD5" s="8" t="str">
        <f ca="1"/>
        <v>Status</v>
      </c>
      <c r="AF5" s="31" t="str" cm="1">
        <f t="array" aca="1" ref="AF5:AJ5" ca="1">_xlfn._xlws.PY(23,0,SEV_REQUEST[])</f>
        <v>Unit</v>
      </c>
      <c r="AG5" s="7" t="str">
        <f ca="1"/>
        <v>Assigned to</v>
      </c>
      <c r="AH5" s="7" t="str">
        <f ca="1"/>
        <v>Days open</v>
      </c>
      <c r="AI5" s="7" t="str">
        <f ca="1"/>
        <v>Issue</v>
      </c>
      <c r="AJ5" s="7" t="str">
        <f ca="1"/>
        <v>Status</v>
      </c>
      <c r="AL5" s="31" t="str" cm="1">
        <f t="array" aca="1" ref="AL5:AP5" ca="1">_xlfn._xlws.PY(24,0,SEV_REQUEST[])</f>
        <v>Unit</v>
      </c>
      <c r="AM5" s="7" t="str">
        <f ca="1"/>
        <v>Assigned to</v>
      </c>
      <c r="AN5" s="7" t="str">
        <f ca="1"/>
        <v>Days open</v>
      </c>
      <c r="AO5" s="7" t="str">
        <f ca="1"/>
        <v>Issue</v>
      </c>
      <c r="AP5" s="7" t="str">
        <f ca="1"/>
        <v>Status</v>
      </c>
    </row>
    <row r="6" spans="2:42" ht="15" customHeight="1" x14ac:dyDescent="0.3"/>
  </sheetData>
  <mergeCells count="7">
    <mergeCell ref="AL3:AP4"/>
    <mergeCell ref="B3:F4"/>
    <mergeCell ref="H3:L4"/>
    <mergeCell ref="N3:R4"/>
    <mergeCell ref="T3:X4"/>
    <mergeCell ref="Z3:AD4"/>
    <mergeCell ref="AF3:A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5194-4E5C-CB4A-AE87-B6CA4E1C6520}">
  <dimension ref="B3:R6"/>
  <sheetViews>
    <sheetView workbookViewId="0">
      <selection activeCell="T16" sqref="T16"/>
    </sheetView>
  </sheetViews>
  <sheetFormatPr defaultColWidth="11.5546875" defaultRowHeight="14.4" x14ac:dyDescent="0.3"/>
  <cols>
    <col min="1" max="1" width="1.6640625" customWidth="1"/>
    <col min="2" max="2" width="11.6640625" style="9" bestFit="1" customWidth="1"/>
    <col min="3" max="3" width="16.77734375" style="9" customWidth="1"/>
    <col min="4" max="4" width="8.77734375" style="9" bestFit="1" customWidth="1"/>
    <col min="5" max="5" width="23.44140625" style="9" bestFit="1" customWidth="1"/>
    <col min="6" max="6" width="11.6640625" style="9" customWidth="1"/>
    <col min="7" max="7" width="2.44140625" customWidth="1"/>
    <col min="8" max="8" width="11.6640625" style="9" bestFit="1" customWidth="1"/>
    <col min="9" max="9" width="12.33203125" style="9" bestFit="1" customWidth="1"/>
    <col min="10" max="10" width="8.77734375" style="9" bestFit="1" customWidth="1"/>
    <col min="11" max="11" width="26.6640625" style="9" customWidth="1"/>
    <col min="12" max="12" width="9.33203125" style="9" bestFit="1" customWidth="1"/>
    <col min="13" max="13" width="1.109375" customWidth="1"/>
    <col min="14" max="16" width="10.77734375" style="9"/>
    <col min="17" max="17" width="27.6640625" style="9" customWidth="1"/>
    <col min="18" max="18" width="10.77734375" style="9"/>
  </cols>
  <sheetData>
    <row r="3" spans="2:18" ht="14.4" customHeight="1" x14ac:dyDescent="0.3">
      <c r="B3" s="51" t="s">
        <v>13</v>
      </c>
      <c r="C3" s="52"/>
      <c r="D3" s="52"/>
      <c r="E3" s="52"/>
      <c r="F3" s="53"/>
      <c r="H3" s="51" t="s">
        <v>13</v>
      </c>
      <c r="I3" s="52"/>
      <c r="J3" s="52"/>
      <c r="K3" s="52"/>
      <c r="L3" s="53"/>
      <c r="N3" s="51" t="s">
        <v>13</v>
      </c>
      <c r="O3" s="52"/>
      <c r="P3" s="52"/>
      <c r="Q3" s="52"/>
      <c r="R3" s="53"/>
    </row>
    <row r="4" spans="2:18" ht="14.4" customHeight="1" x14ac:dyDescent="0.3">
      <c r="B4" s="54"/>
      <c r="C4" s="55"/>
      <c r="D4" s="55"/>
      <c r="E4" s="55"/>
      <c r="F4" s="56"/>
      <c r="H4" s="54"/>
      <c r="I4" s="55"/>
      <c r="J4" s="55"/>
      <c r="K4" s="55"/>
      <c r="L4" s="56"/>
      <c r="N4" s="54"/>
      <c r="O4" s="55"/>
      <c r="P4" s="55"/>
      <c r="Q4" s="55"/>
      <c r="R4" s="56"/>
    </row>
    <row r="5" spans="2:18" ht="19.05" customHeight="1" x14ac:dyDescent="0.35">
      <c r="B5" s="31" t="str" cm="1">
        <f t="array" aca="1" ref="B5:F5" ca="1">_xlfn._xlws.PY(25,0,SEV_REQUEST[])</f>
        <v>Unit</v>
      </c>
      <c r="C5" s="8" t="str">
        <f ca="1"/>
        <v>Assigned to</v>
      </c>
      <c r="D5" s="8" t="str">
        <f ca="1"/>
        <v>Days open</v>
      </c>
      <c r="E5" s="8" t="str">
        <f ca="1"/>
        <v>Issue</v>
      </c>
      <c r="F5" s="8" t="str">
        <f ca="1"/>
        <v>Status</v>
      </c>
      <c r="H5" s="31" t="str" cm="1">
        <f t="array" aca="1" ref="H5:L5" ca="1">_xlfn._xlws.PY(26,0,SEV_REQUEST[])</f>
        <v>Unit</v>
      </c>
      <c r="I5" s="8" t="str">
        <f ca="1"/>
        <v>Assigned to</v>
      </c>
      <c r="J5" s="8" t="str">
        <f ca="1"/>
        <v>Days open</v>
      </c>
      <c r="K5" s="8" t="str">
        <f ca="1"/>
        <v>Issue</v>
      </c>
      <c r="L5" s="8" t="str">
        <f ca="1"/>
        <v>Status</v>
      </c>
      <c r="N5" s="31" t="str" cm="1">
        <f t="array" aca="1" ref="N5:R5" ca="1">_xlfn._xlws.PY(27,0,SEV_REQUEST[])</f>
        <v>Unit</v>
      </c>
      <c r="O5" s="8" t="str">
        <f ca="1"/>
        <v>Assigned to</v>
      </c>
      <c r="P5" s="8" t="str">
        <f ca="1"/>
        <v>Days open</v>
      </c>
      <c r="Q5" s="8" t="str">
        <f ca="1"/>
        <v>Issue</v>
      </c>
      <c r="R5" s="8" t="str">
        <f ca="1"/>
        <v>Status</v>
      </c>
    </row>
    <row r="6" spans="2:18" ht="15" customHeight="1" x14ac:dyDescent="0.3"/>
  </sheetData>
  <mergeCells count="3">
    <mergeCell ref="B3:F4"/>
    <mergeCell ref="H3:L4"/>
    <mergeCell ref="N3:R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D829-FD23-2441-AF6D-875FFB6EA1B0}">
  <dimension ref="B3:E19"/>
  <sheetViews>
    <sheetView workbookViewId="0">
      <selection activeCell="E3" sqref="E3:E8"/>
    </sheetView>
  </sheetViews>
  <sheetFormatPr defaultColWidth="11.5546875" defaultRowHeight="14.4" x14ac:dyDescent="0.3"/>
  <cols>
    <col min="2" max="2" width="22.44140625" style="9" customWidth="1"/>
    <col min="5" max="5" width="24" customWidth="1"/>
  </cols>
  <sheetData>
    <row r="3" spans="2:5" ht="23.4" x14ac:dyDescent="0.45">
      <c r="B3" s="19" t="s">
        <v>35</v>
      </c>
      <c r="E3" t="s">
        <v>48</v>
      </c>
    </row>
    <row r="4" spans="2:5" x14ac:dyDescent="0.3">
      <c r="B4" s="13" t="s">
        <v>30</v>
      </c>
      <c r="E4" s="13" t="s">
        <v>17</v>
      </c>
    </row>
    <row r="5" spans="2:5" x14ac:dyDescent="0.3">
      <c r="B5" s="13" t="s">
        <v>19</v>
      </c>
      <c r="E5" s="13" t="s">
        <v>12</v>
      </c>
    </row>
    <row r="6" spans="2:5" x14ac:dyDescent="0.3">
      <c r="B6" s="13" t="s">
        <v>15</v>
      </c>
      <c r="E6" s="13" t="s">
        <v>24</v>
      </c>
    </row>
    <row r="7" spans="2:5" x14ac:dyDescent="0.3">
      <c r="B7" s="13" t="s">
        <v>21</v>
      </c>
      <c r="E7" s="13" t="s">
        <v>28</v>
      </c>
    </row>
    <row r="8" spans="2:5" x14ac:dyDescent="0.3">
      <c r="B8" s="13" t="s">
        <v>18</v>
      </c>
      <c r="E8" s="13" t="s">
        <v>13</v>
      </c>
    </row>
    <row r="9" spans="2:5" x14ac:dyDescent="0.3">
      <c r="B9" s="13" t="s">
        <v>25</v>
      </c>
    </row>
    <row r="10" spans="2:5" x14ac:dyDescent="0.3">
      <c r="B10" s="13" t="s">
        <v>23</v>
      </c>
    </row>
    <row r="11" spans="2:5" x14ac:dyDescent="0.3">
      <c r="B11" s="13" t="s">
        <v>29</v>
      </c>
    </row>
    <row r="12" spans="2:5" x14ac:dyDescent="0.3">
      <c r="B12" s="13" t="s">
        <v>14</v>
      </c>
    </row>
    <row r="13" spans="2:5" x14ac:dyDescent="0.3">
      <c r="B13" s="13" t="s">
        <v>26</v>
      </c>
    </row>
    <row r="14" spans="2:5" x14ac:dyDescent="0.3">
      <c r="B14" s="13" t="s">
        <v>22</v>
      </c>
    </row>
    <row r="15" spans="2:5" x14ac:dyDescent="0.3">
      <c r="B15" s="13" t="s">
        <v>20</v>
      </c>
    </row>
    <row r="16" spans="2:5" x14ac:dyDescent="0.3">
      <c r="B16" s="13" t="s">
        <v>11</v>
      </c>
    </row>
    <row r="17" spans="2:2" x14ac:dyDescent="0.3">
      <c r="B17" s="13" t="s">
        <v>27</v>
      </c>
    </row>
    <row r="18" spans="2:2" x14ac:dyDescent="0.3">
      <c r="B18" s="13" t="s">
        <v>10</v>
      </c>
    </row>
    <row r="19" spans="2:2" x14ac:dyDescent="0.3">
      <c r="B19" s="13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1C2D6-7248-C64D-AD68-BF1106D6E781}">
  <dimension ref="B3:D32"/>
  <sheetViews>
    <sheetView tabSelected="1" workbookViewId="0">
      <selection activeCell="J32" sqref="J32"/>
    </sheetView>
  </sheetViews>
  <sheetFormatPr defaultColWidth="11.5546875" defaultRowHeight="14.4" x14ac:dyDescent="0.3"/>
  <cols>
    <col min="2" max="2" width="14" style="9" customWidth="1"/>
    <col min="3" max="3" width="10.77734375" style="9"/>
    <col min="4" max="4" width="13.77734375" style="35" customWidth="1"/>
  </cols>
  <sheetData>
    <row r="3" spans="2:4" x14ac:dyDescent="0.3">
      <c r="B3" s="8" t="s">
        <v>45</v>
      </c>
      <c r="C3" s="8" t="s">
        <v>46</v>
      </c>
      <c r="D3" s="34" t="s">
        <v>47</v>
      </c>
    </row>
    <row r="4" spans="2:4" x14ac:dyDescent="0.3">
      <c r="B4" t="s">
        <v>50</v>
      </c>
      <c r="C4" t="s">
        <v>51</v>
      </c>
      <c r="D4" s="35">
        <f ca="1">IF(
  TRIM(CLEAN(Table2[[#This Row],[Date ]]))="",
  "",
  TODAY()-DATEVALUE(Table2[[#This Row],[Date ]])
)</f>
        <v>0</v>
      </c>
    </row>
    <row r="5" spans="2:4" x14ac:dyDescent="0.3">
      <c r="B5" t="s">
        <v>52</v>
      </c>
      <c r="C5" t="s">
        <v>51</v>
      </c>
      <c r="D5" s="35">
        <f ca="1">IF(
  TRIM(CLEAN(Table2[[#This Row],[Date ]]))="",
  "",
  TODAY()-DATEVALUE(Table2[[#This Row],[Date ]])
)</f>
        <v>0</v>
      </c>
    </row>
    <row r="6" spans="2:4" x14ac:dyDescent="0.3">
      <c r="B6" t="s">
        <v>53</v>
      </c>
      <c r="C6" t="s">
        <v>54</v>
      </c>
      <c r="D6" s="35">
        <f ca="1">IF(
  TRIM(CLEAN(Table2[[#This Row],[Date ]]))="",
  "",
  TODAY()-DATEVALUE(Table2[[#This Row],[Date ]])
)</f>
        <v>-1</v>
      </c>
    </row>
    <row r="7" spans="2:4" x14ac:dyDescent="0.3">
      <c r="B7" t="s">
        <v>55</v>
      </c>
      <c r="C7" t="s">
        <v>54</v>
      </c>
      <c r="D7" s="35">
        <f ca="1">IF(
  TRIM(CLEAN(Table2[[#This Row],[Date ]]))="",
  "",
  TODAY()-DATEVALUE(Table2[[#This Row],[Date ]])
)</f>
        <v>-1</v>
      </c>
    </row>
    <row r="8" spans="2:4" x14ac:dyDescent="0.3">
      <c r="B8" t="s">
        <v>56</v>
      </c>
      <c r="C8" t="s">
        <v>54</v>
      </c>
      <c r="D8" s="35">
        <f ca="1">IF(
  TRIM(CLEAN(Table2[[#This Row],[Date ]]))="",
  "",
  TODAY()-DATEVALUE(Table2[[#This Row],[Date ]])
)</f>
        <v>-1</v>
      </c>
    </row>
    <row r="9" spans="2:4" x14ac:dyDescent="0.3">
      <c r="B9" t="s">
        <v>57</v>
      </c>
      <c r="C9" t="s">
        <v>54</v>
      </c>
      <c r="D9" s="35">
        <f ca="1">IF(
  TRIM(CLEAN(Table2[[#This Row],[Date ]]))="",
  "",
  TODAY()-DATEVALUE(Table2[[#This Row],[Date ]])
)</f>
        <v>-1</v>
      </c>
    </row>
    <row r="10" spans="2:4" x14ac:dyDescent="0.3">
      <c r="B10" t="s">
        <v>58</v>
      </c>
      <c r="C10" t="s">
        <v>59</v>
      </c>
      <c r="D10" s="35">
        <f ca="1">IF(
  TRIM(CLEAN(Table2[[#This Row],[Date ]]))="",
  "",
  TODAY()-DATEVALUE(Table2[[#This Row],[Date ]])
)</f>
        <v>-4</v>
      </c>
    </row>
    <row r="11" spans="2:4" x14ac:dyDescent="0.3">
      <c r="B11" t="s">
        <v>60</v>
      </c>
      <c r="C11" t="s">
        <v>59</v>
      </c>
      <c r="D11" s="35">
        <f ca="1">IF(
  TRIM(CLEAN(Table2[[#This Row],[Date ]]))="",
  "",
  TODAY()-DATEVALUE(Table2[[#This Row],[Date ]])
)</f>
        <v>-4</v>
      </c>
    </row>
    <row r="12" spans="2:4" x14ac:dyDescent="0.3">
      <c r="B12" t="s">
        <v>61</v>
      </c>
      <c r="C12" t="s">
        <v>59</v>
      </c>
      <c r="D12" s="35">
        <f ca="1">IF(
  TRIM(CLEAN(Table2[[#This Row],[Date ]]))="",
  "",
  TODAY()-DATEVALUE(Table2[[#This Row],[Date ]])
)</f>
        <v>-4</v>
      </c>
    </row>
    <row r="13" spans="2:4" x14ac:dyDescent="0.3">
      <c r="B13" t="s">
        <v>62</v>
      </c>
      <c r="C13" t="s">
        <v>63</v>
      </c>
      <c r="D13" s="35">
        <f ca="1">IF(
  TRIM(CLEAN(Table2[[#This Row],[Date ]]))="",
  "",
  TODAY()-DATEVALUE(Table2[[#This Row],[Date ]])
)</f>
        <v>-6</v>
      </c>
    </row>
    <row r="14" spans="2:4" x14ac:dyDescent="0.3">
      <c r="B14" t="s">
        <v>64</v>
      </c>
      <c r="C14" t="s">
        <v>63</v>
      </c>
      <c r="D14" s="35">
        <f ca="1">IF(
  TRIM(CLEAN(Table2[[#This Row],[Date ]]))="",
  "",
  TODAY()-DATEVALUE(Table2[[#This Row],[Date ]])
)</f>
        <v>-6</v>
      </c>
    </row>
    <row r="15" spans="2:4" x14ac:dyDescent="0.3">
      <c r="B15" t="s">
        <v>65</v>
      </c>
      <c r="C15" t="s">
        <v>63</v>
      </c>
      <c r="D15" s="35">
        <f ca="1">IF(
  TRIM(CLEAN(Table2[[#This Row],[Date ]]))="",
  "",
  TODAY()-DATEVALUE(Table2[[#This Row],[Date ]])
)</f>
        <v>-6</v>
      </c>
    </row>
    <row r="16" spans="2:4" x14ac:dyDescent="0.3">
      <c r="B16" t="s">
        <v>66</v>
      </c>
      <c r="C16" t="s">
        <v>67</v>
      </c>
      <c r="D16" s="35">
        <f ca="1">IF(
  TRIM(CLEAN(Table2[[#This Row],[Date ]]))="",
  "",
  TODAY()-DATEVALUE(Table2[[#This Row],[Date ]])
)</f>
        <v>-7</v>
      </c>
    </row>
    <row r="17" spans="2:4" x14ac:dyDescent="0.3">
      <c r="B17" t="s">
        <v>68</v>
      </c>
      <c r="C17" t="s">
        <v>67</v>
      </c>
      <c r="D17" s="35">
        <f ca="1">IF(
  TRIM(CLEAN(Table2[[#This Row],[Date ]]))="",
  "",
  TODAY()-DATEVALUE(Table2[[#This Row],[Date ]])
)</f>
        <v>-7</v>
      </c>
    </row>
    <row r="18" spans="2:4" x14ac:dyDescent="0.3">
      <c r="B18" t="s">
        <v>69</v>
      </c>
      <c r="C18" t="s">
        <v>67</v>
      </c>
      <c r="D18" s="35">
        <f ca="1">IF(
  TRIM(CLEAN(Table2[[#This Row],[Date ]]))="",
  "",
  TODAY()-DATEVALUE(Table2[[#This Row],[Date ]])
)</f>
        <v>-7</v>
      </c>
    </row>
    <row r="19" spans="2:4" x14ac:dyDescent="0.3">
      <c r="B19" t="s">
        <v>70</v>
      </c>
      <c r="C19" t="s">
        <v>67</v>
      </c>
      <c r="D19" s="35">
        <f ca="1">IF(
  TRIM(CLEAN(Table2[[#This Row],[Date ]]))="",
  "",
  TODAY()-DATEVALUE(Table2[[#This Row],[Date ]])
)</f>
        <v>-7</v>
      </c>
    </row>
    <row r="20" spans="2:4" x14ac:dyDescent="0.3">
      <c r="B20" t="s">
        <v>71</v>
      </c>
      <c r="C20" t="s">
        <v>67</v>
      </c>
      <c r="D20" s="35">
        <f ca="1">IF(
  TRIM(CLEAN(Table2[[#This Row],[Date ]]))="",
  "",
  TODAY()-DATEVALUE(Table2[[#This Row],[Date ]])
)</f>
        <v>-7</v>
      </c>
    </row>
    <row r="21" spans="2:4" x14ac:dyDescent="0.3">
      <c r="B21" t="s">
        <v>72</v>
      </c>
      <c r="C21" t="s">
        <v>67</v>
      </c>
      <c r="D21" s="35">
        <f ca="1">IF(
  TRIM(CLEAN(Table2[[#This Row],[Date ]]))="",
  "",
  TODAY()-DATEVALUE(Table2[[#This Row],[Date ]])
)</f>
        <v>-7</v>
      </c>
    </row>
    <row r="22" spans="2:4" x14ac:dyDescent="0.3">
      <c r="B22" t="s">
        <v>73</v>
      </c>
      <c r="C22" t="s">
        <v>67</v>
      </c>
      <c r="D22" s="35">
        <f ca="1">IF(
  TRIM(CLEAN(Table2[[#This Row],[Date ]]))="",
  "",
  TODAY()-DATEVALUE(Table2[[#This Row],[Date ]])
)</f>
        <v>-7</v>
      </c>
    </row>
    <row r="23" spans="2:4" x14ac:dyDescent="0.3">
      <c r="B23" t="s">
        <v>74</v>
      </c>
      <c r="C23" t="s">
        <v>75</v>
      </c>
      <c r="D23" s="35">
        <f ca="1">IF(
  TRIM(CLEAN(Table2[[#This Row],[Date ]]))="",
  "",
  TODAY()-DATEVALUE(Table2[[#This Row],[Date ]])
)</f>
        <v>-8</v>
      </c>
    </row>
    <row r="24" spans="2:4" x14ac:dyDescent="0.3">
      <c r="B24" t="s">
        <v>76</v>
      </c>
      <c r="C24" t="s">
        <v>75</v>
      </c>
      <c r="D24" s="35">
        <f ca="1">IF(
  TRIM(CLEAN(Table2[[#This Row],[Date ]]))="",
  "",
  TODAY()-DATEVALUE(Table2[[#This Row],[Date ]])
)</f>
        <v>-8</v>
      </c>
    </row>
    <row r="25" spans="2:4" x14ac:dyDescent="0.3">
      <c r="B25" t="s">
        <v>77</v>
      </c>
      <c r="C25" t="s">
        <v>75</v>
      </c>
      <c r="D25" s="35">
        <f ca="1">IF(
  TRIM(CLEAN(Table2[[#This Row],[Date ]]))="",
  "",
  TODAY()-DATEVALUE(Table2[[#This Row],[Date ]])
)</f>
        <v>-8</v>
      </c>
    </row>
    <row r="26" spans="2:4" x14ac:dyDescent="0.3">
      <c r="B26" t="s">
        <v>78</v>
      </c>
      <c r="C26" t="s">
        <v>79</v>
      </c>
      <c r="D26" s="35">
        <f ca="1">IF(
  TRIM(CLEAN(Table2[[#This Row],[Date ]]))="",
  "",
  TODAY()-DATEVALUE(Table2[[#This Row],[Date ]])
)</f>
        <v>-11</v>
      </c>
    </row>
    <row r="27" spans="2:4" x14ac:dyDescent="0.3">
      <c r="B27" t="s">
        <v>80</v>
      </c>
      <c r="C27" t="s">
        <v>81</v>
      </c>
      <c r="D27" s="35">
        <f ca="1">IF(
  TRIM(CLEAN(Table2[[#This Row],[Date ]]))="",
  "",
  TODAY()-DATEVALUE(Table2[[#This Row],[Date ]])
)</f>
        <v>-12</v>
      </c>
    </row>
    <row r="28" spans="2:4" x14ac:dyDescent="0.3">
      <c r="B28" t="s">
        <v>82</v>
      </c>
      <c r="C28" t="s">
        <v>81</v>
      </c>
      <c r="D28" s="35">
        <f ca="1">IF(
  TRIM(CLEAN(Table2[[#This Row],[Date ]]))="",
  "",
  TODAY()-DATEVALUE(Table2[[#This Row],[Date ]])
)</f>
        <v>-12</v>
      </c>
    </row>
    <row r="29" spans="2:4" x14ac:dyDescent="0.3">
      <c r="B29" t="s">
        <v>83</v>
      </c>
      <c r="C29" t="s">
        <v>84</v>
      </c>
      <c r="D29" s="35">
        <f ca="1">IF(
  TRIM(CLEAN(Table2[[#This Row],[Date ]]))="",
  "",
  TODAY()-DATEVALUE(Table2[[#This Row],[Date ]])
)</f>
        <v>-13</v>
      </c>
    </row>
    <row r="30" spans="2:4" x14ac:dyDescent="0.3">
      <c r="B30" t="s">
        <v>85</v>
      </c>
      <c r="C30" t="s">
        <v>86</v>
      </c>
      <c r="D30" s="35">
        <f ca="1">IF(
  TRIM(CLEAN(Table2[[#This Row],[Date ]]))="",
  "",
  TODAY()-DATEVALUE(Table2[[#This Row],[Date ]])
)</f>
        <v>-14</v>
      </c>
    </row>
    <row r="31" spans="2:4" x14ac:dyDescent="0.3">
      <c r="B31" t="s">
        <v>87</v>
      </c>
      <c r="C31" t="s">
        <v>88</v>
      </c>
      <c r="D31" s="35">
        <f ca="1">IF(
  TRIM(CLEAN(Table2[[#This Row],[Date ]]))="",
  "",
  TODAY()-DATEVALUE(Table2[[#This Row],[Date ]])
)</f>
        <v>-15</v>
      </c>
    </row>
    <row r="32" spans="2:4" x14ac:dyDescent="0.3">
      <c r="B32" t="s">
        <v>89</v>
      </c>
      <c r="C32" t="s">
        <v>88</v>
      </c>
      <c r="D32" s="35">
        <f ca="1">IF(
  TRIM(CLEAN(Table2[[#This Row],[Date ]]))="",
  "",
  TODAY()-DATEVALUE(Table2[[#This Row],[Date ]])
)</f>
        <v>-15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ServiceRequest</vt:lpstr>
      <vt:lpstr>Full_unassign</vt:lpstr>
      <vt:lpstr>By tech </vt:lpstr>
      <vt:lpstr>unassign</vt:lpstr>
      <vt:lpstr>Phase 3</vt:lpstr>
      <vt:lpstr>Phase 4</vt:lpstr>
      <vt:lpstr>Phase 4c</vt:lpstr>
      <vt:lpstr>Staff </vt:lpstr>
      <vt:lpstr>Move ins</vt:lpstr>
      <vt:lpstr>staff_mabi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Gonzalez</cp:lastModifiedBy>
  <dcterms:created xsi:type="dcterms:W3CDTF">2026-01-23T01:19:12Z</dcterms:created>
  <dcterms:modified xsi:type="dcterms:W3CDTF">2026-01-23T17:21:36Z</dcterms:modified>
</cp:coreProperties>
</file>